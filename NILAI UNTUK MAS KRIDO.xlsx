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soft User\Desktop\"/>
    </mc:Choice>
  </mc:AlternateContent>
  <bookViews>
    <workbookView xWindow="0" yWindow="0" windowWidth="20490" windowHeight="8910" activeTab="8"/>
  </bookViews>
  <sheets>
    <sheet name="TKP" sheetId="1" r:id="rId1"/>
    <sheet name="DPIB" sheetId="2" r:id="rId2"/>
    <sheet name="MESIN" sheetId="3" r:id="rId3"/>
    <sheet name="OTO" sheetId="4" r:id="rId4"/>
    <sheet name="LAS" sheetId="5" r:id="rId5"/>
    <sheet name="LISTRIK" sheetId="6" r:id="rId6"/>
    <sheet name="ELEKTRO" sheetId="7" r:id="rId7"/>
    <sheet name="TKJ" sheetId="8" r:id="rId8"/>
    <sheet name="DKV" sheetId="9" r:id="rId9"/>
  </sheets>
  <externalReferences>
    <externalReference r:id="rId10"/>
    <externalReference r:id="rId11"/>
    <externalReference r:id="rId12"/>
    <externalReference r:id="rId13"/>
  </externalReferences>
  <definedNames>
    <definedName name="grades1" localSheetId="8">DKV!$BL$3:$BM$11</definedName>
    <definedName name="grades1" localSheetId="1">DPIB!$BP$3:$BQ$11</definedName>
    <definedName name="grades1" localSheetId="6">ELEKTRO!$BM$3:$BN$11</definedName>
    <definedName name="grades1" localSheetId="4">LAS!$BJ$3:$BK$10</definedName>
    <definedName name="grades1" localSheetId="5">LISTRIK!$BG$3:$BH$11</definedName>
    <definedName name="grades1" localSheetId="2">MESIN!$BT$3:$BU$11</definedName>
    <definedName name="grades1" localSheetId="3">OTO!$BM$3:$BN$11</definedName>
    <definedName name="grades1" localSheetId="7">TKJ!$BM$2:$BN$11</definedName>
    <definedName name="grades1" localSheetId="0">TKP!$BR$3:$BS$11</definedName>
    <definedName name="grades1">'[1]ganjil 1'!$BR$3:$BS$11</definedName>
    <definedName name="grades2" localSheetId="8">DKV!$BO$3:$BP$11</definedName>
    <definedName name="grades2" localSheetId="7">TKJ!$BP$3:$BQ$11</definedName>
    <definedName name="grades2">'[4]ganjil 1'!$BP$3:$BQ$11</definedName>
    <definedName name="grades3" localSheetId="0">TKP!#REF!</definedName>
    <definedName name="grades3">'[1]ganjil 1'!#REF!</definedName>
    <definedName name="grades4" localSheetId="8">DKV!$BS$3:$BT$6</definedName>
    <definedName name="grades4" localSheetId="1">DPIB!$BS$3:$BT$6</definedName>
    <definedName name="grades4" localSheetId="6">ELEKTRO!$BP$3:$BQ$6</definedName>
    <definedName name="grades4" localSheetId="4">LAS!$BM$3:$BN$6</definedName>
    <definedName name="grades4" localSheetId="5">LISTRIK!$BJ$3:$BK$6</definedName>
    <definedName name="grades4" localSheetId="2">MESIN!$BW$3:$BX$6</definedName>
    <definedName name="grades4" localSheetId="3">OTO!$BP$2:$BQ$6</definedName>
    <definedName name="grades4" localSheetId="7">TKJ!$BT$3:$BU$6</definedName>
    <definedName name="grades4" localSheetId="0">TKP!$BU$2:$BV$6</definedName>
    <definedName name="grades4">'[2]ganjil 1'!$BS$3:$BT$6</definedName>
    <definedName name="grades45" localSheetId="0">TKP!$BU$2:$BV$6</definedName>
    <definedName name="grades6" localSheetId="3">OTO!$BP$3:$BQ$6</definedName>
    <definedName name="grades6" localSheetId="0">TKP!$BU$2:$BV$7</definedName>
    <definedName name="grades6">'[3]ganjil 1'!$BP$3:$BQ$6</definedName>
    <definedName name="gradeseskul" localSheetId="1">DPIB!$BY$3:$BZ$7</definedName>
    <definedName name="gradeseskul" localSheetId="3">OTO!$BU$3:$BV$7</definedName>
    <definedName name="gradeseskul" localSheetId="0">TKP!$BU$3:$BV$7</definedName>
    <definedName name="gradeseskul">'[1]ganjil 1'!$BU$3:$BV$7</definedName>
    <definedName name="_xlnm.Print_Area" localSheetId="8">DKV!$A$1:$BJ$74</definedName>
    <definedName name="_xlnm.Print_Area" localSheetId="6">ELEKTRO!$A$1:$BF$106</definedName>
    <definedName name="_xlnm.Print_Area" localSheetId="4">LAS!$A$1:$BG$38</definedName>
    <definedName name="_xlnm.Print_Area" localSheetId="5">LISTRIK!$A$1:$BE$146</definedName>
    <definedName name="_xlnm.Print_Area" localSheetId="2">MESIN!$A$1:$BO$109</definedName>
    <definedName name="_xlnm.Print_Area" localSheetId="3">OTO!$A$1:$BK$108</definedName>
    <definedName name="_xlnm.Print_Area" localSheetId="7">TKJ!$A$1:$BK$73</definedName>
    <definedName name="_xlnm.Print_Area" localSheetId="0">TKP!$A$1:$BP$37</definedName>
    <definedName name="_xlnm.Print_Titles" localSheetId="8">DKV!$A:$A,DKV!$1:$1</definedName>
    <definedName name="_xlnm.Print_Titles" localSheetId="6">ELEKTRO!$A:$A,ELEKTRO!$1:$1</definedName>
    <definedName name="_xlnm.Print_Titles" localSheetId="4">LAS!$A:$A,LAS!$1:$1</definedName>
    <definedName name="_xlnm.Print_Titles" localSheetId="5">LISTRIK!$A:$A,LISTRIK!$1:$1</definedName>
    <definedName name="_xlnm.Print_Titles" localSheetId="2">MESIN!$A:$A,MESIN!$1:$1</definedName>
    <definedName name="_xlnm.Print_Titles" localSheetId="3">OTO!$A:$A,OTO!$1:$1</definedName>
    <definedName name="_xlnm.Print_Titles" localSheetId="7">TKJ!$A:$A,TKJ!$1:$1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E73" i="9" l="1"/>
  <c r="AZ73" i="9"/>
  <c r="AR73" i="9"/>
  <c r="AP73" i="9"/>
  <c r="AN73" i="9"/>
  <c r="AM73" i="9"/>
  <c r="AL73" i="9"/>
  <c r="AJ73" i="9"/>
  <c r="AH73" i="9"/>
  <c r="AF73" i="9"/>
  <c r="AD73" i="9"/>
  <c r="AB73" i="9"/>
  <c r="Z73" i="9"/>
  <c r="X73" i="9"/>
  <c r="V73" i="9"/>
  <c r="T73" i="9"/>
  <c r="R73" i="9"/>
  <c r="P73" i="9"/>
  <c r="N73" i="9"/>
  <c r="BE72" i="9"/>
  <c r="AZ72" i="9"/>
  <c r="AR72" i="9"/>
  <c r="AP72" i="9"/>
  <c r="AN72" i="9"/>
  <c r="AM72" i="9"/>
  <c r="AL72" i="9"/>
  <c r="AJ72" i="9"/>
  <c r="AH72" i="9"/>
  <c r="AF72" i="9"/>
  <c r="AD72" i="9"/>
  <c r="AB72" i="9"/>
  <c r="Z72" i="9"/>
  <c r="X72" i="9"/>
  <c r="V72" i="9"/>
  <c r="T72" i="9"/>
  <c r="R72" i="9"/>
  <c r="P72" i="9"/>
  <c r="N72" i="9"/>
  <c r="BE71" i="9"/>
  <c r="AZ71" i="9"/>
  <c r="AR71" i="9"/>
  <c r="AP71" i="9"/>
  <c r="AN71" i="9"/>
  <c r="AM71" i="9"/>
  <c r="AL71" i="9"/>
  <c r="AJ71" i="9"/>
  <c r="AH71" i="9"/>
  <c r="AF71" i="9"/>
  <c r="AD71" i="9"/>
  <c r="AB71" i="9"/>
  <c r="Z71" i="9"/>
  <c r="X71" i="9"/>
  <c r="V71" i="9"/>
  <c r="T71" i="9"/>
  <c r="R71" i="9"/>
  <c r="P71" i="9"/>
  <c r="N71" i="9"/>
  <c r="BE70" i="9"/>
  <c r="AZ70" i="9"/>
  <c r="AR70" i="9"/>
  <c r="AP70" i="9"/>
  <c r="AN70" i="9"/>
  <c r="AM70" i="9"/>
  <c r="AL70" i="9"/>
  <c r="AJ70" i="9"/>
  <c r="AH70" i="9"/>
  <c r="AF70" i="9"/>
  <c r="AD70" i="9"/>
  <c r="AB70" i="9"/>
  <c r="Z70" i="9"/>
  <c r="X70" i="9"/>
  <c r="V70" i="9"/>
  <c r="T70" i="9"/>
  <c r="R70" i="9"/>
  <c r="P70" i="9"/>
  <c r="N70" i="9"/>
  <c r="BE69" i="9"/>
  <c r="AZ69" i="9"/>
  <c r="AR69" i="9"/>
  <c r="AP69" i="9"/>
  <c r="AN69" i="9"/>
  <c r="AM69" i="9"/>
  <c r="AL69" i="9"/>
  <c r="AJ69" i="9"/>
  <c r="AH69" i="9"/>
  <c r="AF69" i="9"/>
  <c r="AD69" i="9"/>
  <c r="AB69" i="9"/>
  <c r="Z69" i="9"/>
  <c r="X69" i="9"/>
  <c r="V69" i="9"/>
  <c r="T69" i="9"/>
  <c r="R69" i="9"/>
  <c r="P69" i="9"/>
  <c r="N69" i="9"/>
  <c r="BE68" i="9"/>
  <c r="AZ68" i="9"/>
  <c r="AR68" i="9"/>
  <c r="AP68" i="9"/>
  <c r="AN68" i="9"/>
  <c r="AM68" i="9"/>
  <c r="AL68" i="9"/>
  <c r="AJ68" i="9"/>
  <c r="AH68" i="9"/>
  <c r="AF68" i="9"/>
  <c r="AD68" i="9"/>
  <c r="AB68" i="9"/>
  <c r="Z68" i="9"/>
  <c r="X68" i="9"/>
  <c r="V68" i="9"/>
  <c r="T68" i="9"/>
  <c r="R68" i="9"/>
  <c r="P68" i="9"/>
  <c r="N68" i="9"/>
  <c r="BE67" i="9"/>
  <c r="AZ67" i="9"/>
  <c r="AR67" i="9"/>
  <c r="AP67" i="9"/>
  <c r="AN67" i="9"/>
  <c r="AM67" i="9"/>
  <c r="AL67" i="9"/>
  <c r="AJ67" i="9"/>
  <c r="AH67" i="9"/>
  <c r="AF67" i="9"/>
  <c r="AD67" i="9"/>
  <c r="AB67" i="9"/>
  <c r="Z67" i="9"/>
  <c r="X67" i="9"/>
  <c r="V67" i="9"/>
  <c r="T67" i="9"/>
  <c r="R67" i="9"/>
  <c r="P67" i="9"/>
  <c r="N67" i="9"/>
  <c r="BE66" i="9"/>
  <c r="AZ66" i="9"/>
  <c r="AR66" i="9"/>
  <c r="AP66" i="9"/>
  <c r="AN66" i="9"/>
  <c r="AM66" i="9"/>
  <c r="AL66" i="9"/>
  <c r="AJ66" i="9"/>
  <c r="AH66" i="9"/>
  <c r="AF66" i="9"/>
  <c r="AD66" i="9"/>
  <c r="AB66" i="9"/>
  <c r="Z66" i="9"/>
  <c r="X66" i="9"/>
  <c r="V66" i="9"/>
  <c r="T66" i="9"/>
  <c r="R66" i="9"/>
  <c r="P66" i="9"/>
  <c r="N66" i="9"/>
  <c r="BE65" i="9"/>
  <c r="AZ65" i="9"/>
  <c r="AR65" i="9"/>
  <c r="AP65" i="9"/>
  <c r="AN65" i="9"/>
  <c r="AM65" i="9"/>
  <c r="AL65" i="9"/>
  <c r="AJ65" i="9"/>
  <c r="AH65" i="9"/>
  <c r="AF65" i="9"/>
  <c r="AD65" i="9"/>
  <c r="AB65" i="9"/>
  <c r="Z65" i="9"/>
  <c r="X65" i="9"/>
  <c r="V65" i="9"/>
  <c r="T65" i="9"/>
  <c r="R65" i="9"/>
  <c r="P65" i="9"/>
  <c r="N65" i="9"/>
  <c r="BE64" i="9"/>
  <c r="AZ64" i="9"/>
  <c r="AR64" i="9"/>
  <c r="AP64" i="9"/>
  <c r="AN64" i="9"/>
  <c r="AM64" i="9"/>
  <c r="AL64" i="9"/>
  <c r="AJ64" i="9"/>
  <c r="AH64" i="9"/>
  <c r="AF64" i="9"/>
  <c r="AD64" i="9"/>
  <c r="AB64" i="9"/>
  <c r="Z64" i="9"/>
  <c r="X64" i="9"/>
  <c r="V64" i="9"/>
  <c r="T64" i="9"/>
  <c r="R64" i="9"/>
  <c r="P64" i="9"/>
  <c r="N64" i="9"/>
  <c r="BE63" i="9"/>
  <c r="AZ63" i="9"/>
  <c r="AR63" i="9"/>
  <c r="AP63" i="9"/>
  <c r="AN63" i="9"/>
  <c r="AM63" i="9"/>
  <c r="AL63" i="9"/>
  <c r="AJ63" i="9"/>
  <c r="AH63" i="9"/>
  <c r="AF63" i="9"/>
  <c r="AD63" i="9"/>
  <c r="AB63" i="9"/>
  <c r="Z63" i="9"/>
  <c r="X63" i="9"/>
  <c r="V63" i="9"/>
  <c r="T63" i="9"/>
  <c r="R63" i="9"/>
  <c r="P63" i="9"/>
  <c r="N63" i="9"/>
  <c r="BE62" i="9"/>
  <c r="AZ62" i="9"/>
  <c r="AR62" i="9"/>
  <c r="AP62" i="9"/>
  <c r="AN62" i="9"/>
  <c r="AM62" i="9"/>
  <c r="AL62" i="9"/>
  <c r="AJ62" i="9"/>
  <c r="AH62" i="9"/>
  <c r="AF62" i="9"/>
  <c r="AD62" i="9"/>
  <c r="AB62" i="9"/>
  <c r="Z62" i="9"/>
  <c r="X62" i="9"/>
  <c r="V62" i="9"/>
  <c r="T62" i="9"/>
  <c r="R62" i="9"/>
  <c r="P62" i="9"/>
  <c r="N62" i="9"/>
  <c r="BE61" i="9"/>
  <c r="AZ61" i="9"/>
  <c r="AR61" i="9"/>
  <c r="AP61" i="9"/>
  <c r="AN61" i="9"/>
  <c r="AM61" i="9"/>
  <c r="AL61" i="9"/>
  <c r="AJ61" i="9"/>
  <c r="AH61" i="9"/>
  <c r="AF61" i="9"/>
  <c r="AD61" i="9"/>
  <c r="AB61" i="9"/>
  <c r="Z61" i="9"/>
  <c r="X61" i="9"/>
  <c r="V61" i="9"/>
  <c r="T61" i="9"/>
  <c r="R61" i="9"/>
  <c r="P61" i="9"/>
  <c r="N61" i="9"/>
  <c r="BE60" i="9"/>
  <c r="AZ60" i="9"/>
  <c r="AR60" i="9"/>
  <c r="AP60" i="9"/>
  <c r="AN60" i="9"/>
  <c r="AM60" i="9"/>
  <c r="AL60" i="9"/>
  <c r="AJ60" i="9"/>
  <c r="AH60" i="9"/>
  <c r="AF60" i="9"/>
  <c r="AD60" i="9"/>
  <c r="AB60" i="9"/>
  <c r="Z60" i="9"/>
  <c r="X60" i="9"/>
  <c r="V60" i="9"/>
  <c r="T60" i="9"/>
  <c r="R60" i="9"/>
  <c r="P60" i="9"/>
  <c r="N60" i="9"/>
  <c r="BE59" i="9"/>
  <c r="AZ59" i="9"/>
  <c r="AR59" i="9"/>
  <c r="AP59" i="9"/>
  <c r="AN59" i="9"/>
  <c r="AM59" i="9"/>
  <c r="AL59" i="9"/>
  <c r="AJ59" i="9"/>
  <c r="AH59" i="9"/>
  <c r="AF59" i="9"/>
  <c r="AD59" i="9"/>
  <c r="AB59" i="9"/>
  <c r="Z59" i="9"/>
  <c r="X59" i="9"/>
  <c r="V59" i="9"/>
  <c r="T59" i="9"/>
  <c r="R59" i="9"/>
  <c r="P59" i="9"/>
  <c r="N59" i="9"/>
  <c r="BE58" i="9"/>
  <c r="AZ58" i="9"/>
  <c r="AR58" i="9"/>
  <c r="AP58" i="9"/>
  <c r="AN58" i="9"/>
  <c r="AM58" i="9"/>
  <c r="AL58" i="9"/>
  <c r="AJ58" i="9"/>
  <c r="AH58" i="9"/>
  <c r="AF58" i="9"/>
  <c r="AD58" i="9"/>
  <c r="AB58" i="9"/>
  <c r="Z58" i="9"/>
  <c r="X58" i="9"/>
  <c r="V58" i="9"/>
  <c r="T58" i="9"/>
  <c r="R58" i="9"/>
  <c r="P58" i="9"/>
  <c r="N58" i="9"/>
  <c r="BE57" i="9"/>
  <c r="AZ57" i="9"/>
  <c r="AR57" i="9"/>
  <c r="AP57" i="9"/>
  <c r="AN57" i="9"/>
  <c r="AM57" i="9"/>
  <c r="AL57" i="9"/>
  <c r="AJ57" i="9"/>
  <c r="AH57" i="9"/>
  <c r="AF57" i="9"/>
  <c r="AD57" i="9"/>
  <c r="AB57" i="9"/>
  <c r="Z57" i="9"/>
  <c r="X57" i="9"/>
  <c r="V57" i="9"/>
  <c r="T57" i="9"/>
  <c r="R57" i="9"/>
  <c r="P57" i="9"/>
  <c r="N57" i="9"/>
  <c r="BE56" i="9"/>
  <c r="AZ56" i="9"/>
  <c r="AR56" i="9"/>
  <c r="AP56" i="9"/>
  <c r="AN56" i="9"/>
  <c r="AM56" i="9"/>
  <c r="AL56" i="9"/>
  <c r="AJ56" i="9"/>
  <c r="AH56" i="9"/>
  <c r="AF56" i="9"/>
  <c r="AD56" i="9"/>
  <c r="AB56" i="9"/>
  <c r="Z56" i="9"/>
  <c r="X56" i="9"/>
  <c r="V56" i="9"/>
  <c r="T56" i="9"/>
  <c r="R56" i="9"/>
  <c r="P56" i="9"/>
  <c r="N56" i="9"/>
  <c r="BE55" i="9"/>
  <c r="AZ55" i="9"/>
  <c r="AR55" i="9"/>
  <c r="AP55" i="9"/>
  <c r="AN55" i="9"/>
  <c r="AM55" i="9"/>
  <c r="AL55" i="9"/>
  <c r="AJ55" i="9"/>
  <c r="AH55" i="9"/>
  <c r="AF55" i="9"/>
  <c r="AD55" i="9"/>
  <c r="AB55" i="9"/>
  <c r="Z55" i="9"/>
  <c r="X55" i="9"/>
  <c r="V55" i="9"/>
  <c r="T55" i="9"/>
  <c r="R55" i="9"/>
  <c r="P55" i="9"/>
  <c r="N55" i="9"/>
  <c r="BJ54" i="9"/>
  <c r="BE54" i="9"/>
  <c r="AZ54" i="9"/>
  <c r="AR54" i="9"/>
  <c r="AP54" i="9"/>
  <c r="AN54" i="9"/>
  <c r="AM54" i="9"/>
  <c r="AL54" i="9"/>
  <c r="AJ54" i="9"/>
  <c r="AH54" i="9"/>
  <c r="AF54" i="9"/>
  <c r="AD54" i="9"/>
  <c r="AB54" i="9"/>
  <c r="Z54" i="9"/>
  <c r="X54" i="9"/>
  <c r="V54" i="9"/>
  <c r="T54" i="9"/>
  <c r="R54" i="9"/>
  <c r="P54" i="9"/>
  <c r="N54" i="9"/>
  <c r="BE53" i="9"/>
  <c r="AZ53" i="9"/>
  <c r="AR53" i="9"/>
  <c r="AP53" i="9"/>
  <c r="AN53" i="9"/>
  <c r="AM53" i="9"/>
  <c r="AL53" i="9"/>
  <c r="AJ53" i="9"/>
  <c r="AH53" i="9"/>
  <c r="AF53" i="9"/>
  <c r="AD53" i="9"/>
  <c r="AB53" i="9"/>
  <c r="Z53" i="9"/>
  <c r="X53" i="9"/>
  <c r="V53" i="9"/>
  <c r="T53" i="9"/>
  <c r="R53" i="9"/>
  <c r="P53" i="9"/>
  <c r="N53" i="9"/>
  <c r="BE52" i="9"/>
  <c r="AZ52" i="9"/>
  <c r="AR52" i="9"/>
  <c r="AP52" i="9"/>
  <c r="AN52" i="9"/>
  <c r="AM52" i="9"/>
  <c r="AL52" i="9"/>
  <c r="AJ52" i="9"/>
  <c r="AH52" i="9"/>
  <c r="AF52" i="9"/>
  <c r="AD52" i="9"/>
  <c r="AB52" i="9"/>
  <c r="Z52" i="9"/>
  <c r="X52" i="9"/>
  <c r="V52" i="9"/>
  <c r="T52" i="9"/>
  <c r="R52" i="9"/>
  <c r="P52" i="9"/>
  <c r="N52" i="9"/>
  <c r="BE51" i="9"/>
  <c r="AZ51" i="9"/>
  <c r="AR51" i="9"/>
  <c r="AP51" i="9"/>
  <c r="AN51" i="9"/>
  <c r="AM51" i="9"/>
  <c r="AL51" i="9"/>
  <c r="AJ51" i="9"/>
  <c r="AH51" i="9"/>
  <c r="AF51" i="9"/>
  <c r="AD51" i="9"/>
  <c r="AB51" i="9"/>
  <c r="Z51" i="9"/>
  <c r="X51" i="9"/>
  <c r="V51" i="9"/>
  <c r="T51" i="9"/>
  <c r="R51" i="9"/>
  <c r="P51" i="9"/>
  <c r="N51" i="9"/>
  <c r="BE50" i="9"/>
  <c r="AZ50" i="9"/>
  <c r="AR50" i="9"/>
  <c r="AP50" i="9"/>
  <c r="AN50" i="9"/>
  <c r="AM50" i="9"/>
  <c r="AL50" i="9"/>
  <c r="AJ50" i="9"/>
  <c r="AH50" i="9"/>
  <c r="AF50" i="9"/>
  <c r="AD50" i="9"/>
  <c r="AB50" i="9"/>
  <c r="Z50" i="9"/>
  <c r="X50" i="9"/>
  <c r="V50" i="9"/>
  <c r="T50" i="9"/>
  <c r="R50" i="9"/>
  <c r="P50" i="9"/>
  <c r="N50" i="9"/>
  <c r="BE49" i="9"/>
  <c r="AZ49" i="9"/>
  <c r="AR49" i="9"/>
  <c r="AP49" i="9"/>
  <c r="AN49" i="9"/>
  <c r="AM49" i="9"/>
  <c r="AL49" i="9"/>
  <c r="AJ49" i="9"/>
  <c r="AH49" i="9"/>
  <c r="AF49" i="9"/>
  <c r="AD49" i="9"/>
  <c r="AB49" i="9"/>
  <c r="Z49" i="9"/>
  <c r="X49" i="9"/>
  <c r="V49" i="9"/>
  <c r="T49" i="9"/>
  <c r="R49" i="9"/>
  <c r="P49" i="9"/>
  <c r="N49" i="9"/>
  <c r="BE48" i="9"/>
  <c r="AZ48" i="9"/>
  <c r="AR48" i="9"/>
  <c r="AP48" i="9"/>
  <c r="AN48" i="9"/>
  <c r="AM48" i="9"/>
  <c r="AL48" i="9"/>
  <c r="AJ48" i="9"/>
  <c r="AH48" i="9"/>
  <c r="AF48" i="9"/>
  <c r="AD48" i="9"/>
  <c r="AB48" i="9"/>
  <c r="Z48" i="9"/>
  <c r="X48" i="9"/>
  <c r="V48" i="9"/>
  <c r="T48" i="9"/>
  <c r="R48" i="9"/>
  <c r="P48" i="9"/>
  <c r="N48" i="9"/>
  <c r="BE47" i="9"/>
  <c r="AZ47" i="9"/>
  <c r="AR47" i="9"/>
  <c r="AP47" i="9"/>
  <c r="AN47" i="9"/>
  <c r="AM47" i="9"/>
  <c r="AL47" i="9"/>
  <c r="AJ47" i="9"/>
  <c r="AH47" i="9"/>
  <c r="AF47" i="9"/>
  <c r="AD47" i="9"/>
  <c r="AB47" i="9"/>
  <c r="Z47" i="9"/>
  <c r="X47" i="9"/>
  <c r="V47" i="9"/>
  <c r="T47" i="9"/>
  <c r="R47" i="9"/>
  <c r="P47" i="9"/>
  <c r="N47" i="9"/>
  <c r="BE46" i="9"/>
  <c r="AZ46" i="9"/>
  <c r="AR46" i="9"/>
  <c r="AP46" i="9"/>
  <c r="AN46" i="9"/>
  <c r="AM46" i="9"/>
  <c r="AL46" i="9"/>
  <c r="AJ46" i="9"/>
  <c r="AH46" i="9"/>
  <c r="AF46" i="9"/>
  <c r="AD46" i="9"/>
  <c r="AB46" i="9"/>
  <c r="Z46" i="9"/>
  <c r="X46" i="9"/>
  <c r="V46" i="9"/>
  <c r="T46" i="9"/>
  <c r="R46" i="9"/>
  <c r="P46" i="9"/>
  <c r="N46" i="9"/>
  <c r="BE45" i="9"/>
  <c r="AZ45" i="9"/>
  <c r="AR45" i="9"/>
  <c r="AP45" i="9"/>
  <c r="AN45" i="9"/>
  <c r="AM45" i="9"/>
  <c r="AL45" i="9"/>
  <c r="AJ45" i="9"/>
  <c r="AH45" i="9"/>
  <c r="AF45" i="9"/>
  <c r="AD45" i="9"/>
  <c r="AB45" i="9"/>
  <c r="Z45" i="9"/>
  <c r="X45" i="9"/>
  <c r="V45" i="9"/>
  <c r="T45" i="9"/>
  <c r="R45" i="9"/>
  <c r="P45" i="9"/>
  <c r="N45" i="9"/>
  <c r="BE44" i="9"/>
  <c r="AZ44" i="9"/>
  <c r="AR44" i="9"/>
  <c r="AP44" i="9"/>
  <c r="AN44" i="9"/>
  <c r="AM44" i="9"/>
  <c r="AL44" i="9"/>
  <c r="AJ44" i="9"/>
  <c r="AH44" i="9"/>
  <c r="AF44" i="9"/>
  <c r="AD44" i="9"/>
  <c r="AB44" i="9"/>
  <c r="Z44" i="9"/>
  <c r="X44" i="9"/>
  <c r="V44" i="9"/>
  <c r="T44" i="9"/>
  <c r="R44" i="9"/>
  <c r="P44" i="9"/>
  <c r="N44" i="9"/>
  <c r="BE43" i="9"/>
  <c r="AZ43" i="9"/>
  <c r="AR43" i="9"/>
  <c r="AP43" i="9"/>
  <c r="AN43" i="9"/>
  <c r="AM43" i="9"/>
  <c r="AL43" i="9"/>
  <c r="AJ43" i="9"/>
  <c r="AH43" i="9"/>
  <c r="AF43" i="9"/>
  <c r="AD43" i="9"/>
  <c r="AB43" i="9"/>
  <c r="Z43" i="9"/>
  <c r="X43" i="9"/>
  <c r="V43" i="9"/>
  <c r="T43" i="9"/>
  <c r="R43" i="9"/>
  <c r="P43" i="9"/>
  <c r="N43" i="9"/>
  <c r="BE42" i="9"/>
  <c r="AZ42" i="9"/>
  <c r="AR42" i="9"/>
  <c r="AP42" i="9"/>
  <c r="AN42" i="9"/>
  <c r="AM42" i="9"/>
  <c r="AL42" i="9"/>
  <c r="AJ42" i="9"/>
  <c r="AH42" i="9"/>
  <c r="AF42" i="9"/>
  <c r="AD42" i="9"/>
  <c r="AB42" i="9"/>
  <c r="Z42" i="9"/>
  <c r="X42" i="9"/>
  <c r="V42" i="9"/>
  <c r="T42" i="9"/>
  <c r="R42" i="9"/>
  <c r="P42" i="9"/>
  <c r="N42" i="9"/>
  <c r="BE41" i="9"/>
  <c r="AZ41" i="9"/>
  <c r="AR41" i="9"/>
  <c r="AP41" i="9"/>
  <c r="AN41" i="9"/>
  <c r="AM41" i="9"/>
  <c r="AL41" i="9"/>
  <c r="AJ41" i="9"/>
  <c r="AH41" i="9"/>
  <c r="AF41" i="9"/>
  <c r="AD41" i="9"/>
  <c r="AB41" i="9"/>
  <c r="Z41" i="9"/>
  <c r="X41" i="9"/>
  <c r="V41" i="9"/>
  <c r="T41" i="9"/>
  <c r="R41" i="9"/>
  <c r="P41" i="9"/>
  <c r="N41" i="9"/>
  <c r="BE40" i="9"/>
  <c r="AZ40" i="9"/>
  <c r="AR40" i="9"/>
  <c r="AP40" i="9"/>
  <c r="AN40" i="9"/>
  <c r="AM40" i="9"/>
  <c r="AL40" i="9"/>
  <c r="AJ40" i="9"/>
  <c r="AH40" i="9"/>
  <c r="AF40" i="9"/>
  <c r="AD40" i="9"/>
  <c r="AB40" i="9"/>
  <c r="Z40" i="9"/>
  <c r="X40" i="9"/>
  <c r="V40" i="9"/>
  <c r="T40" i="9"/>
  <c r="R40" i="9"/>
  <c r="P40" i="9"/>
  <c r="N40" i="9"/>
  <c r="BE39" i="9"/>
  <c r="AZ39" i="9"/>
  <c r="AR39" i="9"/>
  <c r="AP39" i="9"/>
  <c r="AN39" i="9"/>
  <c r="AM39" i="9"/>
  <c r="AL39" i="9"/>
  <c r="AJ39" i="9"/>
  <c r="AH39" i="9"/>
  <c r="AF39" i="9"/>
  <c r="AD39" i="9"/>
  <c r="AB39" i="9"/>
  <c r="Z39" i="9"/>
  <c r="X39" i="9"/>
  <c r="V39" i="9"/>
  <c r="T39" i="9"/>
  <c r="R39" i="9"/>
  <c r="P39" i="9"/>
  <c r="N39" i="9"/>
  <c r="BE38" i="9"/>
  <c r="AZ38" i="9"/>
  <c r="AR38" i="9"/>
  <c r="AP38" i="9"/>
  <c r="AN38" i="9"/>
  <c r="AM38" i="9"/>
  <c r="AL38" i="9"/>
  <c r="AJ38" i="9"/>
  <c r="AH38" i="9"/>
  <c r="AF38" i="9"/>
  <c r="AD38" i="9"/>
  <c r="AB38" i="9"/>
  <c r="Z38" i="9"/>
  <c r="X38" i="9"/>
  <c r="V38" i="9"/>
  <c r="T38" i="9"/>
  <c r="R38" i="9"/>
  <c r="P38" i="9"/>
  <c r="N38" i="9"/>
  <c r="BE37" i="9"/>
  <c r="AZ37" i="9"/>
  <c r="AR37" i="9"/>
  <c r="AP37" i="9"/>
  <c r="AN37" i="9"/>
  <c r="AM37" i="9"/>
  <c r="AL37" i="9"/>
  <c r="AJ37" i="9"/>
  <c r="AH37" i="9"/>
  <c r="AF37" i="9"/>
  <c r="AD37" i="9"/>
  <c r="AB37" i="9"/>
  <c r="Z37" i="9"/>
  <c r="X37" i="9"/>
  <c r="V37" i="9"/>
  <c r="T37" i="9"/>
  <c r="R37" i="9"/>
  <c r="P37" i="9"/>
  <c r="N37" i="9"/>
  <c r="BE36" i="9"/>
  <c r="AZ36" i="9"/>
  <c r="AR36" i="9"/>
  <c r="AP36" i="9"/>
  <c r="AN36" i="9"/>
  <c r="AM36" i="9"/>
  <c r="AL36" i="9"/>
  <c r="AJ36" i="9"/>
  <c r="AH36" i="9"/>
  <c r="AF36" i="9"/>
  <c r="AD36" i="9"/>
  <c r="AB36" i="9"/>
  <c r="Z36" i="9"/>
  <c r="X36" i="9"/>
  <c r="V36" i="9"/>
  <c r="T36" i="9"/>
  <c r="R36" i="9"/>
  <c r="P36" i="9"/>
  <c r="N36" i="9"/>
  <c r="BJ35" i="9"/>
  <c r="BE35" i="9"/>
  <c r="AZ35" i="9"/>
  <c r="AR35" i="9"/>
  <c r="AP35" i="9"/>
  <c r="AN35" i="9"/>
  <c r="AM35" i="9"/>
  <c r="AL35" i="9"/>
  <c r="AJ35" i="9"/>
  <c r="AH35" i="9"/>
  <c r="AF35" i="9"/>
  <c r="AD35" i="9"/>
  <c r="AB35" i="9"/>
  <c r="Z35" i="9"/>
  <c r="X35" i="9"/>
  <c r="V35" i="9"/>
  <c r="T35" i="9"/>
  <c r="R35" i="9"/>
  <c r="P35" i="9"/>
  <c r="N35" i="9"/>
  <c r="BE34" i="9"/>
  <c r="AZ34" i="9"/>
  <c r="AR34" i="9"/>
  <c r="AP34" i="9"/>
  <c r="AN34" i="9"/>
  <c r="AM34" i="9"/>
  <c r="AL34" i="9"/>
  <c r="AJ34" i="9"/>
  <c r="AH34" i="9"/>
  <c r="AF34" i="9"/>
  <c r="AD34" i="9"/>
  <c r="AB34" i="9"/>
  <c r="Z34" i="9"/>
  <c r="X34" i="9"/>
  <c r="V34" i="9"/>
  <c r="T34" i="9"/>
  <c r="R34" i="9"/>
  <c r="P34" i="9"/>
  <c r="N34" i="9"/>
  <c r="BE33" i="9"/>
  <c r="AZ33" i="9"/>
  <c r="AR33" i="9"/>
  <c r="AP33" i="9"/>
  <c r="AN33" i="9"/>
  <c r="AM33" i="9"/>
  <c r="AL33" i="9"/>
  <c r="AJ33" i="9"/>
  <c r="AH33" i="9"/>
  <c r="AF33" i="9"/>
  <c r="AD33" i="9"/>
  <c r="AB33" i="9"/>
  <c r="Z33" i="9"/>
  <c r="X33" i="9"/>
  <c r="V33" i="9"/>
  <c r="T33" i="9"/>
  <c r="R33" i="9"/>
  <c r="P33" i="9"/>
  <c r="N33" i="9"/>
  <c r="BE32" i="9"/>
  <c r="AZ32" i="9"/>
  <c r="AR32" i="9"/>
  <c r="AP32" i="9"/>
  <c r="AN32" i="9"/>
  <c r="AM32" i="9"/>
  <c r="AL32" i="9"/>
  <c r="AJ32" i="9"/>
  <c r="AH32" i="9"/>
  <c r="AF32" i="9"/>
  <c r="AD32" i="9"/>
  <c r="AB32" i="9"/>
  <c r="Z32" i="9"/>
  <c r="X32" i="9"/>
  <c r="V32" i="9"/>
  <c r="T32" i="9"/>
  <c r="R32" i="9"/>
  <c r="P32" i="9"/>
  <c r="N32" i="9"/>
  <c r="BE31" i="9"/>
  <c r="AZ31" i="9"/>
  <c r="AR31" i="9"/>
  <c r="AP31" i="9"/>
  <c r="AN31" i="9"/>
  <c r="AM31" i="9"/>
  <c r="AL31" i="9"/>
  <c r="AJ31" i="9"/>
  <c r="AH31" i="9"/>
  <c r="AF31" i="9"/>
  <c r="AD31" i="9"/>
  <c r="AB31" i="9"/>
  <c r="Z31" i="9"/>
  <c r="X31" i="9"/>
  <c r="V31" i="9"/>
  <c r="T31" i="9"/>
  <c r="R31" i="9"/>
  <c r="P31" i="9"/>
  <c r="N31" i="9"/>
  <c r="BE30" i="9"/>
  <c r="AZ30" i="9"/>
  <c r="AR30" i="9"/>
  <c r="AP30" i="9"/>
  <c r="AN30" i="9"/>
  <c r="AM30" i="9"/>
  <c r="AL30" i="9"/>
  <c r="AJ30" i="9"/>
  <c r="AH30" i="9"/>
  <c r="AF30" i="9"/>
  <c r="AD30" i="9"/>
  <c r="AB30" i="9"/>
  <c r="Z30" i="9"/>
  <c r="X30" i="9"/>
  <c r="V30" i="9"/>
  <c r="T30" i="9"/>
  <c r="R30" i="9"/>
  <c r="P30" i="9"/>
  <c r="N30" i="9"/>
  <c r="BE29" i="9"/>
  <c r="AZ29" i="9"/>
  <c r="AR29" i="9"/>
  <c r="AP29" i="9"/>
  <c r="AN29" i="9"/>
  <c r="AM29" i="9"/>
  <c r="AL29" i="9"/>
  <c r="AJ29" i="9"/>
  <c r="AH29" i="9"/>
  <c r="AF29" i="9"/>
  <c r="AD29" i="9"/>
  <c r="AB29" i="9"/>
  <c r="Z29" i="9"/>
  <c r="X29" i="9"/>
  <c r="V29" i="9"/>
  <c r="T29" i="9"/>
  <c r="R29" i="9"/>
  <c r="P29" i="9"/>
  <c r="N29" i="9"/>
  <c r="BE28" i="9"/>
  <c r="AZ28" i="9"/>
  <c r="AR28" i="9"/>
  <c r="AP28" i="9"/>
  <c r="AN28" i="9"/>
  <c r="AM28" i="9"/>
  <c r="AL28" i="9"/>
  <c r="AJ28" i="9"/>
  <c r="AH28" i="9"/>
  <c r="AF28" i="9"/>
  <c r="AD28" i="9"/>
  <c r="AB28" i="9"/>
  <c r="Z28" i="9"/>
  <c r="X28" i="9"/>
  <c r="V28" i="9"/>
  <c r="T28" i="9"/>
  <c r="R28" i="9"/>
  <c r="P28" i="9"/>
  <c r="N28" i="9"/>
  <c r="BE27" i="9"/>
  <c r="AZ27" i="9"/>
  <c r="AR27" i="9"/>
  <c r="AP27" i="9"/>
  <c r="AN27" i="9"/>
  <c r="AM27" i="9"/>
  <c r="AL27" i="9"/>
  <c r="AJ27" i="9"/>
  <c r="AH27" i="9"/>
  <c r="AF27" i="9"/>
  <c r="AD27" i="9"/>
  <c r="AB27" i="9"/>
  <c r="Z27" i="9"/>
  <c r="X27" i="9"/>
  <c r="V27" i="9"/>
  <c r="T27" i="9"/>
  <c r="R27" i="9"/>
  <c r="P27" i="9"/>
  <c r="N27" i="9"/>
  <c r="BE26" i="9"/>
  <c r="AZ26" i="9"/>
  <c r="AR26" i="9"/>
  <c r="AP26" i="9"/>
  <c r="AN26" i="9"/>
  <c r="AM26" i="9"/>
  <c r="AL26" i="9"/>
  <c r="AJ26" i="9"/>
  <c r="AH26" i="9"/>
  <c r="AF26" i="9"/>
  <c r="AD26" i="9"/>
  <c r="AB26" i="9"/>
  <c r="Z26" i="9"/>
  <c r="X26" i="9"/>
  <c r="V26" i="9"/>
  <c r="T26" i="9"/>
  <c r="R26" i="9"/>
  <c r="P26" i="9"/>
  <c r="N26" i="9"/>
  <c r="BE25" i="9"/>
  <c r="AZ25" i="9"/>
  <c r="AR25" i="9"/>
  <c r="AP25" i="9"/>
  <c r="AN25" i="9"/>
  <c r="AM25" i="9"/>
  <c r="AL25" i="9"/>
  <c r="AJ25" i="9"/>
  <c r="AH25" i="9"/>
  <c r="AF25" i="9"/>
  <c r="AD25" i="9"/>
  <c r="AB25" i="9"/>
  <c r="Z25" i="9"/>
  <c r="X25" i="9"/>
  <c r="V25" i="9"/>
  <c r="T25" i="9"/>
  <c r="R25" i="9"/>
  <c r="P25" i="9"/>
  <c r="N25" i="9"/>
  <c r="BE24" i="9"/>
  <c r="AZ24" i="9"/>
  <c r="AR24" i="9"/>
  <c r="AP24" i="9"/>
  <c r="AN24" i="9"/>
  <c r="AM24" i="9"/>
  <c r="AL24" i="9"/>
  <c r="AJ24" i="9"/>
  <c r="AH24" i="9"/>
  <c r="AF24" i="9"/>
  <c r="AD24" i="9"/>
  <c r="AB24" i="9"/>
  <c r="Z24" i="9"/>
  <c r="X24" i="9"/>
  <c r="V24" i="9"/>
  <c r="T24" i="9"/>
  <c r="R24" i="9"/>
  <c r="P24" i="9"/>
  <c r="N24" i="9"/>
  <c r="BE23" i="9"/>
  <c r="AZ23" i="9"/>
  <c r="AR23" i="9"/>
  <c r="AP23" i="9"/>
  <c r="AN23" i="9"/>
  <c r="AM23" i="9"/>
  <c r="AL23" i="9"/>
  <c r="AJ23" i="9"/>
  <c r="AH23" i="9"/>
  <c r="AF23" i="9"/>
  <c r="AD23" i="9"/>
  <c r="AB23" i="9"/>
  <c r="Z23" i="9"/>
  <c r="X23" i="9"/>
  <c r="V23" i="9"/>
  <c r="T23" i="9"/>
  <c r="R23" i="9"/>
  <c r="P23" i="9"/>
  <c r="N23" i="9"/>
  <c r="BE22" i="9"/>
  <c r="AZ22" i="9"/>
  <c r="AR22" i="9"/>
  <c r="AP22" i="9"/>
  <c r="AN22" i="9"/>
  <c r="AM22" i="9"/>
  <c r="AL22" i="9"/>
  <c r="AJ22" i="9"/>
  <c r="AH22" i="9"/>
  <c r="AF22" i="9"/>
  <c r="AD22" i="9"/>
  <c r="AB22" i="9"/>
  <c r="Z22" i="9"/>
  <c r="X22" i="9"/>
  <c r="V22" i="9"/>
  <c r="T22" i="9"/>
  <c r="R22" i="9"/>
  <c r="P22" i="9"/>
  <c r="N22" i="9"/>
  <c r="BE21" i="9"/>
  <c r="AZ21" i="9"/>
  <c r="AR21" i="9"/>
  <c r="AP21" i="9"/>
  <c r="AN21" i="9"/>
  <c r="AM21" i="9"/>
  <c r="AL21" i="9"/>
  <c r="AJ21" i="9"/>
  <c r="AH21" i="9"/>
  <c r="AF21" i="9"/>
  <c r="AD21" i="9"/>
  <c r="AB21" i="9"/>
  <c r="Z21" i="9"/>
  <c r="X21" i="9"/>
  <c r="V21" i="9"/>
  <c r="T21" i="9"/>
  <c r="R21" i="9"/>
  <c r="P21" i="9"/>
  <c r="N21" i="9"/>
  <c r="BE20" i="9"/>
  <c r="AZ20" i="9"/>
  <c r="AR20" i="9"/>
  <c r="AP20" i="9"/>
  <c r="AN20" i="9"/>
  <c r="AM20" i="9"/>
  <c r="AL20" i="9"/>
  <c r="AJ20" i="9"/>
  <c r="AH20" i="9"/>
  <c r="AF20" i="9"/>
  <c r="AD20" i="9"/>
  <c r="AB20" i="9"/>
  <c r="Z20" i="9"/>
  <c r="X20" i="9"/>
  <c r="V20" i="9"/>
  <c r="T20" i="9"/>
  <c r="R20" i="9"/>
  <c r="P20" i="9"/>
  <c r="N20" i="9"/>
  <c r="BE19" i="9"/>
  <c r="AZ19" i="9"/>
  <c r="AR19" i="9"/>
  <c r="AP19" i="9"/>
  <c r="AN19" i="9"/>
  <c r="AM19" i="9"/>
  <c r="AL19" i="9"/>
  <c r="AJ19" i="9"/>
  <c r="AH19" i="9"/>
  <c r="AF19" i="9"/>
  <c r="AD19" i="9"/>
  <c r="AB19" i="9"/>
  <c r="Z19" i="9"/>
  <c r="X19" i="9"/>
  <c r="V19" i="9"/>
  <c r="T19" i="9"/>
  <c r="R19" i="9"/>
  <c r="P19" i="9"/>
  <c r="N19" i="9"/>
  <c r="BE18" i="9"/>
  <c r="AZ18" i="9"/>
  <c r="AR18" i="9"/>
  <c r="AP18" i="9"/>
  <c r="AN18" i="9"/>
  <c r="AM18" i="9"/>
  <c r="AL18" i="9"/>
  <c r="AJ18" i="9"/>
  <c r="AH18" i="9"/>
  <c r="AF18" i="9"/>
  <c r="AD18" i="9"/>
  <c r="AB18" i="9"/>
  <c r="Z18" i="9"/>
  <c r="X18" i="9"/>
  <c r="V18" i="9"/>
  <c r="T18" i="9"/>
  <c r="R18" i="9"/>
  <c r="P18" i="9"/>
  <c r="N18" i="9"/>
  <c r="BE17" i="9"/>
  <c r="AZ17" i="9"/>
  <c r="AR17" i="9"/>
  <c r="AP17" i="9"/>
  <c r="AN17" i="9"/>
  <c r="AM17" i="9"/>
  <c r="AL17" i="9"/>
  <c r="AJ17" i="9"/>
  <c r="AH17" i="9"/>
  <c r="AF17" i="9"/>
  <c r="AD17" i="9"/>
  <c r="AB17" i="9"/>
  <c r="Z17" i="9"/>
  <c r="X17" i="9"/>
  <c r="V17" i="9"/>
  <c r="T17" i="9"/>
  <c r="R17" i="9"/>
  <c r="P17" i="9"/>
  <c r="N17" i="9"/>
  <c r="BE16" i="9"/>
  <c r="AZ16" i="9"/>
  <c r="AR16" i="9"/>
  <c r="AP16" i="9"/>
  <c r="AN16" i="9"/>
  <c r="AM16" i="9"/>
  <c r="AL16" i="9"/>
  <c r="AJ16" i="9"/>
  <c r="AH16" i="9"/>
  <c r="AF16" i="9"/>
  <c r="AD16" i="9"/>
  <c r="AB16" i="9"/>
  <c r="Z16" i="9"/>
  <c r="X16" i="9"/>
  <c r="V16" i="9"/>
  <c r="T16" i="9"/>
  <c r="R16" i="9"/>
  <c r="P16" i="9"/>
  <c r="N16" i="9"/>
  <c r="BE15" i="9"/>
  <c r="AZ15" i="9"/>
  <c r="AR15" i="9"/>
  <c r="AP15" i="9"/>
  <c r="AN15" i="9"/>
  <c r="AM15" i="9"/>
  <c r="AL15" i="9"/>
  <c r="AJ15" i="9"/>
  <c r="AH15" i="9"/>
  <c r="AF15" i="9"/>
  <c r="AD15" i="9"/>
  <c r="AB15" i="9"/>
  <c r="Z15" i="9"/>
  <c r="X15" i="9"/>
  <c r="V15" i="9"/>
  <c r="T15" i="9"/>
  <c r="R15" i="9"/>
  <c r="P15" i="9"/>
  <c r="N15" i="9"/>
  <c r="BJ14" i="9"/>
  <c r="BE14" i="9"/>
  <c r="AZ14" i="9"/>
  <c r="AR14" i="9"/>
  <c r="AP14" i="9"/>
  <c r="AN14" i="9"/>
  <c r="AM14" i="9"/>
  <c r="AL14" i="9"/>
  <c r="AJ14" i="9"/>
  <c r="AH14" i="9"/>
  <c r="AF14" i="9"/>
  <c r="AD14" i="9"/>
  <c r="AB14" i="9"/>
  <c r="Z14" i="9"/>
  <c r="X14" i="9"/>
  <c r="V14" i="9"/>
  <c r="T14" i="9"/>
  <c r="R14" i="9"/>
  <c r="P14" i="9"/>
  <c r="N14" i="9"/>
  <c r="BE13" i="9"/>
  <c r="AZ13" i="9"/>
  <c r="AR13" i="9"/>
  <c r="AP13" i="9"/>
  <c r="AN13" i="9"/>
  <c r="AM13" i="9"/>
  <c r="AL13" i="9"/>
  <c r="AJ13" i="9"/>
  <c r="AH13" i="9"/>
  <c r="AF13" i="9"/>
  <c r="AD13" i="9"/>
  <c r="AB13" i="9"/>
  <c r="Z13" i="9"/>
  <c r="X13" i="9"/>
  <c r="V13" i="9"/>
  <c r="T13" i="9"/>
  <c r="R13" i="9"/>
  <c r="P13" i="9"/>
  <c r="N13" i="9"/>
  <c r="BE12" i="9"/>
  <c r="AZ12" i="9"/>
  <c r="AR12" i="9"/>
  <c r="AP12" i="9"/>
  <c r="AN12" i="9"/>
  <c r="AM12" i="9"/>
  <c r="AL12" i="9"/>
  <c r="AJ12" i="9"/>
  <c r="AH12" i="9"/>
  <c r="AF12" i="9"/>
  <c r="AD12" i="9"/>
  <c r="AB12" i="9"/>
  <c r="Z12" i="9"/>
  <c r="X12" i="9"/>
  <c r="V12" i="9"/>
  <c r="T12" i="9"/>
  <c r="R12" i="9"/>
  <c r="P12" i="9"/>
  <c r="N12" i="9"/>
  <c r="BE11" i="9"/>
  <c r="AZ11" i="9"/>
  <c r="AR11" i="9"/>
  <c r="AP11" i="9"/>
  <c r="AN11" i="9"/>
  <c r="AM11" i="9"/>
  <c r="AL11" i="9"/>
  <c r="AJ11" i="9"/>
  <c r="AH11" i="9"/>
  <c r="AF11" i="9"/>
  <c r="AD11" i="9"/>
  <c r="AB11" i="9"/>
  <c r="Z11" i="9"/>
  <c r="X11" i="9"/>
  <c r="V11" i="9"/>
  <c r="T11" i="9"/>
  <c r="R11" i="9"/>
  <c r="P11" i="9"/>
  <c r="N11" i="9"/>
  <c r="BE10" i="9"/>
  <c r="AZ10" i="9"/>
  <c r="AR10" i="9"/>
  <c r="AP10" i="9"/>
  <c r="AN10" i="9"/>
  <c r="AM10" i="9"/>
  <c r="AL10" i="9"/>
  <c r="AJ10" i="9"/>
  <c r="AH10" i="9"/>
  <c r="AF10" i="9"/>
  <c r="AD10" i="9"/>
  <c r="AB10" i="9"/>
  <c r="Z10" i="9"/>
  <c r="X10" i="9"/>
  <c r="V10" i="9"/>
  <c r="T10" i="9"/>
  <c r="R10" i="9"/>
  <c r="P10" i="9"/>
  <c r="N10" i="9"/>
  <c r="BJ9" i="9"/>
  <c r="BE9" i="9"/>
  <c r="AZ9" i="9"/>
  <c r="AR9" i="9"/>
  <c r="AP9" i="9"/>
  <c r="AN9" i="9"/>
  <c r="AM9" i="9"/>
  <c r="AL9" i="9"/>
  <c r="AJ9" i="9"/>
  <c r="AH9" i="9"/>
  <c r="AF9" i="9"/>
  <c r="AD9" i="9"/>
  <c r="AB9" i="9"/>
  <c r="Z9" i="9"/>
  <c r="X9" i="9"/>
  <c r="V9" i="9"/>
  <c r="T9" i="9"/>
  <c r="R9" i="9"/>
  <c r="P9" i="9"/>
  <c r="N9" i="9"/>
  <c r="BJ8" i="9"/>
  <c r="BE8" i="9"/>
  <c r="AZ8" i="9"/>
  <c r="AR8" i="9"/>
  <c r="AP8" i="9"/>
  <c r="AN8" i="9"/>
  <c r="AM8" i="9"/>
  <c r="AL8" i="9"/>
  <c r="AJ8" i="9"/>
  <c r="AH8" i="9"/>
  <c r="AF8" i="9"/>
  <c r="AD8" i="9"/>
  <c r="AB8" i="9"/>
  <c r="Z8" i="9"/>
  <c r="X8" i="9"/>
  <c r="V8" i="9"/>
  <c r="T8" i="9"/>
  <c r="R8" i="9"/>
  <c r="P8" i="9"/>
  <c r="N8" i="9"/>
  <c r="BE7" i="9"/>
  <c r="AZ7" i="9"/>
  <c r="AR7" i="9"/>
  <c r="AP7" i="9"/>
  <c r="AN7" i="9"/>
  <c r="AM7" i="9"/>
  <c r="AL7" i="9"/>
  <c r="AJ7" i="9"/>
  <c r="AH7" i="9"/>
  <c r="AF7" i="9"/>
  <c r="AD7" i="9"/>
  <c r="AB7" i="9"/>
  <c r="Z7" i="9"/>
  <c r="X7" i="9"/>
  <c r="V7" i="9"/>
  <c r="T7" i="9"/>
  <c r="R7" i="9"/>
  <c r="P7" i="9"/>
  <c r="N7" i="9"/>
  <c r="BE6" i="9"/>
  <c r="AZ6" i="9"/>
  <c r="AR6" i="9"/>
  <c r="AP6" i="9"/>
  <c r="AN6" i="9"/>
  <c r="AM6" i="9"/>
  <c r="AL6" i="9"/>
  <c r="AJ6" i="9"/>
  <c r="AH6" i="9"/>
  <c r="AF6" i="9"/>
  <c r="AD6" i="9"/>
  <c r="AB6" i="9"/>
  <c r="Z6" i="9"/>
  <c r="X6" i="9"/>
  <c r="V6" i="9"/>
  <c r="T6" i="9"/>
  <c r="R6" i="9"/>
  <c r="P6" i="9"/>
  <c r="N6" i="9"/>
  <c r="BE5" i="9"/>
  <c r="AZ5" i="9"/>
  <c r="AR5" i="9"/>
  <c r="AP5" i="9"/>
  <c r="AN5" i="9"/>
  <c r="AM5" i="9"/>
  <c r="AL5" i="9"/>
  <c r="AJ5" i="9"/>
  <c r="AH5" i="9"/>
  <c r="AF5" i="9"/>
  <c r="AD5" i="9"/>
  <c r="AB5" i="9"/>
  <c r="Z5" i="9"/>
  <c r="X5" i="9"/>
  <c r="V5" i="9"/>
  <c r="T5" i="9"/>
  <c r="R5" i="9"/>
  <c r="P5" i="9"/>
  <c r="N5" i="9"/>
  <c r="BE4" i="9"/>
  <c r="AZ4" i="9"/>
  <c r="AR4" i="9"/>
  <c r="AP4" i="9"/>
  <c r="AN4" i="9"/>
  <c r="AM4" i="9"/>
  <c r="AL4" i="9"/>
  <c r="AJ4" i="9"/>
  <c r="AH4" i="9"/>
  <c r="AF4" i="9"/>
  <c r="AD4" i="9"/>
  <c r="AB4" i="9"/>
  <c r="Z4" i="9"/>
  <c r="X4" i="9"/>
  <c r="V4" i="9"/>
  <c r="T4" i="9"/>
  <c r="R4" i="9"/>
  <c r="P4" i="9"/>
  <c r="N4" i="9"/>
  <c r="BJ3" i="9"/>
  <c r="BE3" i="9"/>
  <c r="AZ3" i="9"/>
  <c r="AR3" i="9"/>
  <c r="AP3" i="9"/>
  <c r="AN3" i="9"/>
  <c r="AM3" i="9"/>
  <c r="AL3" i="9"/>
  <c r="AJ3" i="9"/>
  <c r="AH3" i="9"/>
  <c r="AF3" i="9"/>
  <c r="AD3" i="9"/>
  <c r="AB3" i="9"/>
  <c r="Z3" i="9"/>
  <c r="X3" i="9"/>
  <c r="V3" i="9"/>
  <c r="T3" i="9"/>
  <c r="R3" i="9"/>
  <c r="P3" i="9"/>
  <c r="N3" i="9"/>
  <c r="BJ2" i="9"/>
  <c r="BE2" i="9"/>
  <c r="AZ2" i="9"/>
  <c r="AR2" i="9"/>
  <c r="AP2" i="9"/>
  <c r="AN2" i="9"/>
  <c r="AM2" i="9"/>
  <c r="AL2" i="9"/>
  <c r="AJ2" i="9"/>
  <c r="AH2" i="9"/>
  <c r="AF2" i="9"/>
  <c r="AD2" i="9"/>
  <c r="AB2" i="9"/>
  <c r="Z2" i="9"/>
  <c r="X2" i="9"/>
  <c r="V2" i="9"/>
  <c r="T2" i="9"/>
  <c r="R2" i="9"/>
  <c r="P2" i="9"/>
  <c r="N2" i="9"/>
  <c r="BF73" i="8" l="1"/>
  <c r="BA73" i="8"/>
  <c r="AS73" i="8"/>
  <c r="AQ73" i="8"/>
  <c r="AO73" i="8"/>
  <c r="AN73" i="8"/>
  <c r="AL73" i="8"/>
  <c r="AJ73" i="8"/>
  <c r="AH73" i="8"/>
  <c r="AF73" i="8"/>
  <c r="AD73" i="8"/>
  <c r="AB73" i="8"/>
  <c r="Z73" i="8"/>
  <c r="X73" i="8"/>
  <c r="V73" i="8"/>
  <c r="T73" i="8"/>
  <c r="R73" i="8"/>
  <c r="P73" i="8"/>
  <c r="N73" i="8"/>
  <c r="BF72" i="8"/>
  <c r="BA72" i="8"/>
  <c r="AS72" i="8"/>
  <c r="AQ72" i="8"/>
  <c r="AO72" i="8"/>
  <c r="AN72" i="8"/>
  <c r="AL72" i="8"/>
  <c r="AJ72" i="8"/>
  <c r="AH72" i="8"/>
  <c r="AF72" i="8"/>
  <c r="AD72" i="8"/>
  <c r="AB72" i="8"/>
  <c r="Z72" i="8"/>
  <c r="X72" i="8"/>
  <c r="V72" i="8"/>
  <c r="T72" i="8"/>
  <c r="R72" i="8"/>
  <c r="P72" i="8"/>
  <c r="N72" i="8"/>
  <c r="BF71" i="8"/>
  <c r="BA71" i="8"/>
  <c r="AS71" i="8"/>
  <c r="AQ71" i="8"/>
  <c r="AO71" i="8"/>
  <c r="AN71" i="8"/>
  <c r="AL71" i="8"/>
  <c r="AJ71" i="8"/>
  <c r="AH71" i="8"/>
  <c r="AF71" i="8"/>
  <c r="AD71" i="8"/>
  <c r="AB71" i="8"/>
  <c r="Z71" i="8"/>
  <c r="X71" i="8"/>
  <c r="V71" i="8"/>
  <c r="T71" i="8"/>
  <c r="R71" i="8"/>
  <c r="P71" i="8"/>
  <c r="N71" i="8"/>
  <c r="BF70" i="8"/>
  <c r="BA70" i="8"/>
  <c r="AS70" i="8"/>
  <c r="AQ70" i="8"/>
  <c r="AO70" i="8"/>
  <c r="AN70" i="8"/>
  <c r="AL70" i="8"/>
  <c r="AJ70" i="8"/>
  <c r="AH70" i="8"/>
  <c r="AF70" i="8"/>
  <c r="AD70" i="8"/>
  <c r="AB70" i="8"/>
  <c r="Z70" i="8"/>
  <c r="X70" i="8"/>
  <c r="V70" i="8"/>
  <c r="T70" i="8"/>
  <c r="R70" i="8"/>
  <c r="P70" i="8"/>
  <c r="N70" i="8"/>
  <c r="BF69" i="8"/>
  <c r="BA69" i="8"/>
  <c r="AS69" i="8"/>
  <c r="AQ69" i="8"/>
  <c r="AO69" i="8"/>
  <c r="AN69" i="8"/>
  <c r="AL69" i="8"/>
  <c r="AJ69" i="8"/>
  <c r="AH69" i="8"/>
  <c r="AF69" i="8"/>
  <c r="AD69" i="8"/>
  <c r="AB69" i="8"/>
  <c r="Z69" i="8"/>
  <c r="X69" i="8"/>
  <c r="V69" i="8"/>
  <c r="T69" i="8"/>
  <c r="R69" i="8"/>
  <c r="P69" i="8"/>
  <c r="N69" i="8"/>
  <c r="BF68" i="8"/>
  <c r="BA68" i="8"/>
  <c r="AS68" i="8"/>
  <c r="AQ68" i="8"/>
  <c r="AO68" i="8"/>
  <c r="AN68" i="8"/>
  <c r="AL68" i="8"/>
  <c r="AJ68" i="8"/>
  <c r="AH68" i="8"/>
  <c r="AF68" i="8"/>
  <c r="AD68" i="8"/>
  <c r="AB68" i="8"/>
  <c r="Z68" i="8"/>
  <c r="X68" i="8"/>
  <c r="V68" i="8"/>
  <c r="T68" i="8"/>
  <c r="R68" i="8"/>
  <c r="P68" i="8"/>
  <c r="N68" i="8"/>
  <c r="BF67" i="8"/>
  <c r="BA67" i="8"/>
  <c r="AS67" i="8"/>
  <c r="AQ67" i="8"/>
  <c r="AO67" i="8"/>
  <c r="AN67" i="8"/>
  <c r="AL67" i="8"/>
  <c r="AJ67" i="8"/>
  <c r="AH67" i="8"/>
  <c r="AF67" i="8"/>
  <c r="AD67" i="8"/>
  <c r="AB67" i="8"/>
  <c r="Z67" i="8"/>
  <c r="X67" i="8"/>
  <c r="V67" i="8"/>
  <c r="T67" i="8"/>
  <c r="R67" i="8"/>
  <c r="P67" i="8"/>
  <c r="N67" i="8"/>
  <c r="BF66" i="8"/>
  <c r="BA66" i="8"/>
  <c r="AS66" i="8"/>
  <c r="AQ66" i="8"/>
  <c r="AO66" i="8"/>
  <c r="AN66" i="8"/>
  <c r="AL66" i="8"/>
  <c r="AJ66" i="8"/>
  <c r="AH66" i="8"/>
  <c r="AF66" i="8"/>
  <c r="AD66" i="8"/>
  <c r="AB66" i="8"/>
  <c r="Z66" i="8"/>
  <c r="X66" i="8"/>
  <c r="V66" i="8"/>
  <c r="T66" i="8"/>
  <c r="R66" i="8"/>
  <c r="P66" i="8"/>
  <c r="N66" i="8"/>
  <c r="BF65" i="8"/>
  <c r="BA65" i="8"/>
  <c r="AS65" i="8"/>
  <c r="AQ65" i="8"/>
  <c r="AO65" i="8"/>
  <c r="AN65" i="8"/>
  <c r="AL65" i="8"/>
  <c r="AJ65" i="8"/>
  <c r="AH65" i="8"/>
  <c r="AF65" i="8"/>
  <c r="AD65" i="8"/>
  <c r="AB65" i="8"/>
  <c r="Z65" i="8"/>
  <c r="X65" i="8"/>
  <c r="V65" i="8"/>
  <c r="T65" i="8"/>
  <c r="R65" i="8"/>
  <c r="P65" i="8"/>
  <c r="N65" i="8"/>
  <c r="BF64" i="8"/>
  <c r="BA64" i="8"/>
  <c r="AS64" i="8"/>
  <c r="AQ64" i="8"/>
  <c r="AO64" i="8"/>
  <c r="AN64" i="8"/>
  <c r="AL64" i="8"/>
  <c r="AJ64" i="8"/>
  <c r="AH64" i="8"/>
  <c r="AF64" i="8"/>
  <c r="AD64" i="8"/>
  <c r="AB64" i="8"/>
  <c r="Z64" i="8"/>
  <c r="X64" i="8"/>
  <c r="V64" i="8"/>
  <c r="T64" i="8"/>
  <c r="R64" i="8"/>
  <c r="P64" i="8"/>
  <c r="N64" i="8"/>
  <c r="BK63" i="8"/>
  <c r="BF63" i="8"/>
  <c r="BA63" i="8"/>
  <c r="AS63" i="8"/>
  <c r="AQ63" i="8"/>
  <c r="AO63" i="8"/>
  <c r="AN63" i="8"/>
  <c r="AL63" i="8"/>
  <c r="AJ63" i="8"/>
  <c r="AH63" i="8"/>
  <c r="AF63" i="8"/>
  <c r="AD63" i="8"/>
  <c r="AB63" i="8"/>
  <c r="Z63" i="8"/>
  <c r="X63" i="8"/>
  <c r="V63" i="8"/>
  <c r="T63" i="8"/>
  <c r="R63" i="8"/>
  <c r="P63" i="8"/>
  <c r="N63" i="8"/>
  <c r="BF62" i="8"/>
  <c r="BA62" i="8"/>
  <c r="AS62" i="8"/>
  <c r="AQ62" i="8"/>
  <c r="AO62" i="8"/>
  <c r="AN62" i="8"/>
  <c r="AL62" i="8"/>
  <c r="AJ62" i="8"/>
  <c r="AH62" i="8"/>
  <c r="AF62" i="8"/>
  <c r="AD62" i="8"/>
  <c r="AB62" i="8"/>
  <c r="Z62" i="8"/>
  <c r="X62" i="8"/>
  <c r="V62" i="8"/>
  <c r="T62" i="8"/>
  <c r="R62" i="8"/>
  <c r="P62" i="8"/>
  <c r="N62" i="8"/>
  <c r="BF61" i="8"/>
  <c r="BA61" i="8"/>
  <c r="AS61" i="8"/>
  <c r="AQ61" i="8"/>
  <c r="AO61" i="8"/>
  <c r="AN61" i="8"/>
  <c r="AL61" i="8"/>
  <c r="AJ61" i="8"/>
  <c r="AH61" i="8"/>
  <c r="AF61" i="8"/>
  <c r="AD61" i="8"/>
  <c r="AB61" i="8"/>
  <c r="Z61" i="8"/>
  <c r="X61" i="8"/>
  <c r="V61" i="8"/>
  <c r="T61" i="8"/>
  <c r="R61" i="8"/>
  <c r="P61" i="8"/>
  <c r="N61" i="8"/>
  <c r="BF60" i="8"/>
  <c r="BA60" i="8"/>
  <c r="AS60" i="8"/>
  <c r="AQ60" i="8"/>
  <c r="AO60" i="8"/>
  <c r="AN60" i="8"/>
  <c r="AL60" i="8"/>
  <c r="AJ60" i="8"/>
  <c r="AH60" i="8"/>
  <c r="AF60" i="8"/>
  <c r="AD60" i="8"/>
  <c r="AB60" i="8"/>
  <c r="Z60" i="8"/>
  <c r="X60" i="8"/>
  <c r="V60" i="8"/>
  <c r="T60" i="8"/>
  <c r="R60" i="8"/>
  <c r="P60" i="8"/>
  <c r="N60" i="8"/>
  <c r="BF59" i="8"/>
  <c r="BA59" i="8"/>
  <c r="AS59" i="8"/>
  <c r="AQ59" i="8"/>
  <c r="AO59" i="8"/>
  <c r="AN59" i="8"/>
  <c r="AL59" i="8"/>
  <c r="AJ59" i="8"/>
  <c r="AH59" i="8"/>
  <c r="AF59" i="8"/>
  <c r="AD59" i="8"/>
  <c r="AB59" i="8"/>
  <c r="Z59" i="8"/>
  <c r="X59" i="8"/>
  <c r="V59" i="8"/>
  <c r="T59" i="8"/>
  <c r="R59" i="8"/>
  <c r="P59" i="8"/>
  <c r="N59" i="8"/>
  <c r="BF58" i="8"/>
  <c r="BA58" i="8"/>
  <c r="AS58" i="8"/>
  <c r="AQ58" i="8"/>
  <c r="AO58" i="8"/>
  <c r="AN58" i="8"/>
  <c r="AL58" i="8"/>
  <c r="AJ58" i="8"/>
  <c r="AH58" i="8"/>
  <c r="AF58" i="8"/>
  <c r="AD58" i="8"/>
  <c r="AB58" i="8"/>
  <c r="Z58" i="8"/>
  <c r="X58" i="8"/>
  <c r="V58" i="8"/>
  <c r="T58" i="8"/>
  <c r="R58" i="8"/>
  <c r="P58" i="8"/>
  <c r="N58" i="8"/>
  <c r="BK57" i="8"/>
  <c r="BF57" i="8"/>
  <c r="BA57" i="8"/>
  <c r="AS57" i="8"/>
  <c r="AQ57" i="8"/>
  <c r="AO57" i="8"/>
  <c r="AN57" i="8"/>
  <c r="AL57" i="8"/>
  <c r="AJ57" i="8"/>
  <c r="AH57" i="8"/>
  <c r="AF57" i="8"/>
  <c r="AD57" i="8"/>
  <c r="AB57" i="8"/>
  <c r="Z57" i="8"/>
  <c r="X57" i="8"/>
  <c r="V57" i="8"/>
  <c r="T57" i="8"/>
  <c r="R57" i="8"/>
  <c r="P57" i="8"/>
  <c r="N57" i="8"/>
  <c r="BF56" i="8"/>
  <c r="BA56" i="8"/>
  <c r="AS56" i="8"/>
  <c r="AQ56" i="8"/>
  <c r="AO56" i="8"/>
  <c r="AN56" i="8"/>
  <c r="AL56" i="8"/>
  <c r="AJ56" i="8"/>
  <c r="AH56" i="8"/>
  <c r="AF56" i="8"/>
  <c r="AD56" i="8"/>
  <c r="AB56" i="8"/>
  <c r="Z56" i="8"/>
  <c r="X56" i="8"/>
  <c r="V56" i="8"/>
  <c r="T56" i="8"/>
  <c r="R56" i="8"/>
  <c r="P56" i="8"/>
  <c r="N56" i="8"/>
  <c r="BF55" i="8"/>
  <c r="BA55" i="8"/>
  <c r="AS55" i="8"/>
  <c r="AQ55" i="8"/>
  <c r="AO55" i="8"/>
  <c r="AN55" i="8"/>
  <c r="AL55" i="8"/>
  <c r="AJ55" i="8"/>
  <c r="AH55" i="8"/>
  <c r="AF55" i="8"/>
  <c r="AD55" i="8"/>
  <c r="AB55" i="8"/>
  <c r="Z55" i="8"/>
  <c r="X55" i="8"/>
  <c r="V55" i="8"/>
  <c r="T55" i="8"/>
  <c r="R55" i="8"/>
  <c r="P55" i="8"/>
  <c r="N55" i="8"/>
  <c r="BF54" i="8"/>
  <c r="BA54" i="8"/>
  <c r="AS54" i="8"/>
  <c r="AQ54" i="8"/>
  <c r="AO54" i="8"/>
  <c r="AN54" i="8"/>
  <c r="AL54" i="8"/>
  <c r="AJ54" i="8"/>
  <c r="AH54" i="8"/>
  <c r="AF54" i="8"/>
  <c r="AD54" i="8"/>
  <c r="AB54" i="8"/>
  <c r="Z54" i="8"/>
  <c r="X54" i="8"/>
  <c r="V54" i="8"/>
  <c r="T54" i="8"/>
  <c r="R54" i="8"/>
  <c r="P54" i="8"/>
  <c r="N54" i="8"/>
  <c r="BF53" i="8"/>
  <c r="BA53" i="8"/>
  <c r="AS53" i="8"/>
  <c r="AQ53" i="8"/>
  <c r="AO53" i="8"/>
  <c r="AN53" i="8"/>
  <c r="AL53" i="8"/>
  <c r="AJ53" i="8"/>
  <c r="AH53" i="8"/>
  <c r="AF53" i="8"/>
  <c r="AD53" i="8"/>
  <c r="AB53" i="8"/>
  <c r="Z53" i="8"/>
  <c r="X53" i="8"/>
  <c r="V53" i="8"/>
  <c r="T53" i="8"/>
  <c r="R53" i="8"/>
  <c r="P53" i="8"/>
  <c r="N53" i="8"/>
  <c r="BF52" i="8"/>
  <c r="BA52" i="8"/>
  <c r="AS52" i="8"/>
  <c r="AQ52" i="8"/>
  <c r="AO52" i="8"/>
  <c r="AN52" i="8"/>
  <c r="AL52" i="8"/>
  <c r="AJ52" i="8"/>
  <c r="AH52" i="8"/>
  <c r="AF52" i="8"/>
  <c r="AD52" i="8"/>
  <c r="AB52" i="8"/>
  <c r="Z52" i="8"/>
  <c r="X52" i="8"/>
  <c r="V52" i="8"/>
  <c r="T52" i="8"/>
  <c r="R52" i="8"/>
  <c r="P52" i="8"/>
  <c r="N52" i="8"/>
  <c r="BF51" i="8"/>
  <c r="BA51" i="8"/>
  <c r="AS51" i="8"/>
  <c r="AQ51" i="8"/>
  <c r="AO51" i="8"/>
  <c r="AN51" i="8"/>
  <c r="AL51" i="8"/>
  <c r="AJ51" i="8"/>
  <c r="AH51" i="8"/>
  <c r="AF51" i="8"/>
  <c r="AD51" i="8"/>
  <c r="AB51" i="8"/>
  <c r="Z51" i="8"/>
  <c r="X51" i="8"/>
  <c r="V51" i="8"/>
  <c r="T51" i="8"/>
  <c r="R51" i="8"/>
  <c r="P51" i="8"/>
  <c r="N51" i="8"/>
  <c r="BF50" i="8"/>
  <c r="BA50" i="8"/>
  <c r="AS50" i="8"/>
  <c r="AQ50" i="8"/>
  <c r="AO50" i="8"/>
  <c r="AN50" i="8"/>
  <c r="AL50" i="8"/>
  <c r="AJ50" i="8"/>
  <c r="AH50" i="8"/>
  <c r="AF50" i="8"/>
  <c r="AD50" i="8"/>
  <c r="AB50" i="8"/>
  <c r="Z50" i="8"/>
  <c r="X50" i="8"/>
  <c r="V50" i="8"/>
  <c r="T50" i="8"/>
  <c r="R50" i="8"/>
  <c r="P50" i="8"/>
  <c r="N50" i="8"/>
  <c r="BF49" i="8"/>
  <c r="BA49" i="8"/>
  <c r="AS49" i="8"/>
  <c r="AQ49" i="8"/>
  <c r="AO49" i="8"/>
  <c r="AN49" i="8"/>
  <c r="AL49" i="8"/>
  <c r="AJ49" i="8"/>
  <c r="AH49" i="8"/>
  <c r="AF49" i="8"/>
  <c r="AD49" i="8"/>
  <c r="AB49" i="8"/>
  <c r="Z49" i="8"/>
  <c r="X49" i="8"/>
  <c r="V49" i="8"/>
  <c r="T49" i="8"/>
  <c r="R49" i="8"/>
  <c r="P49" i="8"/>
  <c r="N49" i="8"/>
  <c r="BF48" i="8"/>
  <c r="BA48" i="8"/>
  <c r="AS48" i="8"/>
  <c r="AQ48" i="8"/>
  <c r="AO48" i="8"/>
  <c r="AN48" i="8"/>
  <c r="AL48" i="8"/>
  <c r="AJ48" i="8"/>
  <c r="AH48" i="8"/>
  <c r="AF48" i="8"/>
  <c r="AD48" i="8"/>
  <c r="AB48" i="8"/>
  <c r="Z48" i="8"/>
  <c r="X48" i="8"/>
  <c r="V48" i="8"/>
  <c r="T48" i="8"/>
  <c r="R48" i="8"/>
  <c r="P48" i="8"/>
  <c r="N48" i="8"/>
  <c r="BF47" i="8"/>
  <c r="BA47" i="8"/>
  <c r="AS47" i="8"/>
  <c r="AQ47" i="8"/>
  <c r="AO47" i="8"/>
  <c r="AN47" i="8"/>
  <c r="AL47" i="8"/>
  <c r="AJ47" i="8"/>
  <c r="AH47" i="8"/>
  <c r="AF47" i="8"/>
  <c r="AD47" i="8"/>
  <c r="AB47" i="8"/>
  <c r="Z47" i="8"/>
  <c r="X47" i="8"/>
  <c r="V47" i="8"/>
  <c r="T47" i="8"/>
  <c r="R47" i="8"/>
  <c r="P47" i="8"/>
  <c r="N47" i="8"/>
  <c r="BF46" i="8"/>
  <c r="BA46" i="8"/>
  <c r="AS46" i="8"/>
  <c r="AQ46" i="8"/>
  <c r="AO46" i="8"/>
  <c r="AN46" i="8"/>
  <c r="AL46" i="8"/>
  <c r="AJ46" i="8"/>
  <c r="AH46" i="8"/>
  <c r="AF46" i="8"/>
  <c r="AD46" i="8"/>
  <c r="AB46" i="8"/>
  <c r="Z46" i="8"/>
  <c r="X46" i="8"/>
  <c r="V46" i="8"/>
  <c r="T46" i="8"/>
  <c r="R46" i="8"/>
  <c r="P46" i="8"/>
  <c r="N46" i="8"/>
  <c r="BF45" i="8"/>
  <c r="BA45" i="8"/>
  <c r="AS45" i="8"/>
  <c r="AQ45" i="8"/>
  <c r="AO45" i="8"/>
  <c r="AN45" i="8"/>
  <c r="AL45" i="8"/>
  <c r="AJ45" i="8"/>
  <c r="AH45" i="8"/>
  <c r="AF45" i="8"/>
  <c r="AD45" i="8"/>
  <c r="AB45" i="8"/>
  <c r="Z45" i="8"/>
  <c r="X45" i="8"/>
  <c r="V45" i="8"/>
  <c r="T45" i="8"/>
  <c r="R45" i="8"/>
  <c r="P45" i="8"/>
  <c r="N45" i="8"/>
  <c r="BF44" i="8"/>
  <c r="BA44" i="8"/>
  <c r="AS44" i="8"/>
  <c r="AQ44" i="8"/>
  <c r="AO44" i="8"/>
  <c r="AN44" i="8"/>
  <c r="AL44" i="8"/>
  <c r="AJ44" i="8"/>
  <c r="AH44" i="8"/>
  <c r="AF44" i="8"/>
  <c r="AD44" i="8"/>
  <c r="AB44" i="8"/>
  <c r="Z44" i="8"/>
  <c r="X44" i="8"/>
  <c r="V44" i="8"/>
  <c r="T44" i="8"/>
  <c r="R44" i="8"/>
  <c r="P44" i="8"/>
  <c r="N44" i="8"/>
  <c r="BF43" i="8"/>
  <c r="BA43" i="8"/>
  <c r="AS43" i="8"/>
  <c r="AQ43" i="8"/>
  <c r="AO43" i="8"/>
  <c r="AN43" i="8"/>
  <c r="AL43" i="8"/>
  <c r="AJ43" i="8"/>
  <c r="AH43" i="8"/>
  <c r="AF43" i="8"/>
  <c r="AD43" i="8"/>
  <c r="AB43" i="8"/>
  <c r="Z43" i="8"/>
  <c r="X43" i="8"/>
  <c r="V43" i="8"/>
  <c r="T43" i="8"/>
  <c r="R43" i="8"/>
  <c r="P43" i="8"/>
  <c r="N43" i="8"/>
  <c r="BF42" i="8"/>
  <c r="BA42" i="8"/>
  <c r="AS42" i="8"/>
  <c r="AQ42" i="8"/>
  <c r="AO42" i="8"/>
  <c r="AN42" i="8"/>
  <c r="AL42" i="8"/>
  <c r="AJ42" i="8"/>
  <c r="AH42" i="8"/>
  <c r="AF42" i="8"/>
  <c r="AD42" i="8"/>
  <c r="AB42" i="8"/>
  <c r="Z42" i="8"/>
  <c r="X42" i="8"/>
  <c r="V42" i="8"/>
  <c r="T42" i="8"/>
  <c r="R42" i="8"/>
  <c r="P42" i="8"/>
  <c r="N42" i="8"/>
  <c r="BF41" i="8"/>
  <c r="BA41" i="8"/>
  <c r="AS41" i="8"/>
  <c r="AQ41" i="8"/>
  <c r="AO41" i="8"/>
  <c r="AN41" i="8"/>
  <c r="AL41" i="8"/>
  <c r="AJ41" i="8"/>
  <c r="AH41" i="8"/>
  <c r="AF41" i="8"/>
  <c r="AD41" i="8"/>
  <c r="AB41" i="8"/>
  <c r="Z41" i="8"/>
  <c r="X41" i="8"/>
  <c r="V41" i="8"/>
  <c r="T41" i="8"/>
  <c r="R41" i="8"/>
  <c r="P41" i="8"/>
  <c r="N41" i="8"/>
  <c r="BF40" i="8"/>
  <c r="BA40" i="8"/>
  <c r="AS40" i="8"/>
  <c r="AQ40" i="8"/>
  <c r="AO40" i="8"/>
  <c r="AN40" i="8"/>
  <c r="AL40" i="8"/>
  <c r="AJ40" i="8"/>
  <c r="AH40" i="8"/>
  <c r="AF40" i="8"/>
  <c r="AD40" i="8"/>
  <c r="AB40" i="8"/>
  <c r="Z40" i="8"/>
  <c r="X40" i="8"/>
  <c r="V40" i="8"/>
  <c r="T40" i="8"/>
  <c r="R40" i="8"/>
  <c r="P40" i="8"/>
  <c r="N40" i="8"/>
  <c r="BF39" i="8"/>
  <c r="BA39" i="8"/>
  <c r="AS39" i="8"/>
  <c r="AQ39" i="8"/>
  <c r="AO39" i="8"/>
  <c r="AN39" i="8"/>
  <c r="AL39" i="8"/>
  <c r="AJ39" i="8"/>
  <c r="AH39" i="8"/>
  <c r="AF39" i="8"/>
  <c r="AD39" i="8"/>
  <c r="AB39" i="8"/>
  <c r="Z39" i="8"/>
  <c r="X39" i="8"/>
  <c r="V39" i="8"/>
  <c r="T39" i="8"/>
  <c r="R39" i="8"/>
  <c r="P39" i="8"/>
  <c r="N39" i="8"/>
  <c r="BF38" i="8"/>
  <c r="BA38" i="8"/>
  <c r="AS38" i="8"/>
  <c r="AQ38" i="8"/>
  <c r="AO38" i="8"/>
  <c r="AN38" i="8"/>
  <c r="AL38" i="8"/>
  <c r="AJ38" i="8"/>
  <c r="AH38" i="8"/>
  <c r="AF38" i="8"/>
  <c r="AD38" i="8"/>
  <c r="AB38" i="8"/>
  <c r="Z38" i="8"/>
  <c r="X38" i="8"/>
  <c r="V38" i="8"/>
  <c r="T38" i="8"/>
  <c r="R38" i="8"/>
  <c r="P38" i="8"/>
  <c r="N38" i="8"/>
  <c r="BF37" i="8"/>
  <c r="BA37" i="8"/>
  <c r="AS37" i="8"/>
  <c r="AQ37" i="8"/>
  <c r="AO37" i="8"/>
  <c r="AN37" i="8"/>
  <c r="AL37" i="8"/>
  <c r="AJ37" i="8"/>
  <c r="AH37" i="8"/>
  <c r="AF37" i="8"/>
  <c r="AD37" i="8"/>
  <c r="AB37" i="8"/>
  <c r="Z37" i="8"/>
  <c r="X37" i="8"/>
  <c r="V37" i="8"/>
  <c r="T37" i="8"/>
  <c r="R37" i="8"/>
  <c r="P37" i="8"/>
  <c r="N37" i="8"/>
  <c r="BF36" i="8"/>
  <c r="BA36" i="8"/>
  <c r="AS36" i="8"/>
  <c r="AQ36" i="8"/>
  <c r="AO36" i="8"/>
  <c r="AN36" i="8"/>
  <c r="AL36" i="8"/>
  <c r="AJ36" i="8"/>
  <c r="AH36" i="8"/>
  <c r="AF36" i="8"/>
  <c r="AD36" i="8"/>
  <c r="AB36" i="8"/>
  <c r="Z36" i="8"/>
  <c r="X36" i="8"/>
  <c r="V36" i="8"/>
  <c r="T36" i="8"/>
  <c r="R36" i="8"/>
  <c r="P36" i="8"/>
  <c r="N36" i="8"/>
  <c r="BF35" i="8"/>
  <c r="BA35" i="8"/>
  <c r="AS35" i="8"/>
  <c r="AQ35" i="8"/>
  <c r="AO35" i="8"/>
  <c r="AN35" i="8"/>
  <c r="AL35" i="8"/>
  <c r="AJ35" i="8"/>
  <c r="AH35" i="8"/>
  <c r="AF35" i="8"/>
  <c r="AD35" i="8"/>
  <c r="AB35" i="8"/>
  <c r="Z35" i="8"/>
  <c r="X35" i="8"/>
  <c r="V35" i="8"/>
  <c r="T35" i="8"/>
  <c r="R35" i="8"/>
  <c r="P35" i="8"/>
  <c r="N35" i="8"/>
  <c r="BF34" i="8"/>
  <c r="BA34" i="8"/>
  <c r="AS34" i="8"/>
  <c r="AQ34" i="8"/>
  <c r="AO34" i="8"/>
  <c r="AN34" i="8"/>
  <c r="AL34" i="8"/>
  <c r="AJ34" i="8"/>
  <c r="AH34" i="8"/>
  <c r="AF34" i="8"/>
  <c r="AD34" i="8"/>
  <c r="AB34" i="8"/>
  <c r="Z34" i="8"/>
  <c r="X34" i="8"/>
  <c r="V34" i="8"/>
  <c r="T34" i="8"/>
  <c r="R34" i="8"/>
  <c r="P34" i="8"/>
  <c r="N34" i="8"/>
  <c r="BF33" i="8"/>
  <c r="BA33" i="8"/>
  <c r="AS33" i="8"/>
  <c r="AQ33" i="8"/>
  <c r="AO33" i="8"/>
  <c r="AN33" i="8"/>
  <c r="AL33" i="8"/>
  <c r="AJ33" i="8"/>
  <c r="AH33" i="8"/>
  <c r="AF33" i="8"/>
  <c r="AD33" i="8"/>
  <c r="AB33" i="8"/>
  <c r="Z33" i="8"/>
  <c r="X33" i="8"/>
  <c r="V33" i="8"/>
  <c r="T33" i="8"/>
  <c r="R33" i="8"/>
  <c r="P33" i="8"/>
  <c r="N33" i="8"/>
  <c r="BF32" i="8"/>
  <c r="BA32" i="8"/>
  <c r="AS32" i="8"/>
  <c r="AQ32" i="8"/>
  <c r="AO32" i="8"/>
  <c r="AN32" i="8"/>
  <c r="AL32" i="8"/>
  <c r="AJ32" i="8"/>
  <c r="AH32" i="8"/>
  <c r="AF32" i="8"/>
  <c r="AD32" i="8"/>
  <c r="AB32" i="8"/>
  <c r="Z32" i="8"/>
  <c r="X32" i="8"/>
  <c r="V32" i="8"/>
  <c r="T32" i="8"/>
  <c r="R32" i="8"/>
  <c r="P32" i="8"/>
  <c r="N32" i="8"/>
  <c r="BF31" i="8"/>
  <c r="BA31" i="8"/>
  <c r="AS31" i="8"/>
  <c r="AQ31" i="8"/>
  <c r="AO31" i="8"/>
  <c r="AN31" i="8"/>
  <c r="AL31" i="8"/>
  <c r="AJ31" i="8"/>
  <c r="AH31" i="8"/>
  <c r="AF31" i="8"/>
  <c r="AD31" i="8"/>
  <c r="AB31" i="8"/>
  <c r="Z31" i="8"/>
  <c r="X31" i="8"/>
  <c r="V31" i="8"/>
  <c r="T31" i="8"/>
  <c r="R31" i="8"/>
  <c r="P31" i="8"/>
  <c r="N31" i="8"/>
  <c r="BF30" i="8"/>
  <c r="BA30" i="8"/>
  <c r="AS30" i="8"/>
  <c r="AQ30" i="8"/>
  <c r="AO30" i="8"/>
  <c r="AN30" i="8"/>
  <c r="AL30" i="8"/>
  <c r="AJ30" i="8"/>
  <c r="AH30" i="8"/>
  <c r="AF30" i="8"/>
  <c r="AD30" i="8"/>
  <c r="AB30" i="8"/>
  <c r="Z30" i="8"/>
  <c r="X30" i="8"/>
  <c r="V30" i="8"/>
  <c r="T30" i="8"/>
  <c r="R30" i="8"/>
  <c r="P30" i="8"/>
  <c r="N30" i="8"/>
  <c r="BF29" i="8"/>
  <c r="BA29" i="8"/>
  <c r="AS29" i="8"/>
  <c r="AQ29" i="8"/>
  <c r="AO29" i="8"/>
  <c r="AN29" i="8"/>
  <c r="AL29" i="8"/>
  <c r="AJ29" i="8"/>
  <c r="AH29" i="8"/>
  <c r="AF29" i="8"/>
  <c r="AD29" i="8"/>
  <c r="AB29" i="8"/>
  <c r="Z29" i="8"/>
  <c r="X29" i="8"/>
  <c r="V29" i="8"/>
  <c r="T29" i="8"/>
  <c r="R29" i="8"/>
  <c r="P29" i="8"/>
  <c r="N29" i="8"/>
  <c r="BF28" i="8"/>
  <c r="BA28" i="8"/>
  <c r="AS28" i="8"/>
  <c r="AQ28" i="8"/>
  <c r="AO28" i="8"/>
  <c r="AN28" i="8"/>
  <c r="AL28" i="8"/>
  <c r="AJ28" i="8"/>
  <c r="AH28" i="8"/>
  <c r="AF28" i="8"/>
  <c r="AD28" i="8"/>
  <c r="AB28" i="8"/>
  <c r="Z28" i="8"/>
  <c r="X28" i="8"/>
  <c r="V28" i="8"/>
  <c r="T28" i="8"/>
  <c r="R28" i="8"/>
  <c r="P28" i="8"/>
  <c r="N28" i="8"/>
  <c r="BF27" i="8"/>
  <c r="BA27" i="8"/>
  <c r="AS27" i="8"/>
  <c r="AQ27" i="8"/>
  <c r="AO27" i="8"/>
  <c r="AN27" i="8"/>
  <c r="AL27" i="8"/>
  <c r="AJ27" i="8"/>
  <c r="AH27" i="8"/>
  <c r="AF27" i="8"/>
  <c r="AD27" i="8"/>
  <c r="AB27" i="8"/>
  <c r="Z27" i="8"/>
  <c r="X27" i="8"/>
  <c r="V27" i="8"/>
  <c r="T27" i="8"/>
  <c r="R27" i="8"/>
  <c r="P27" i="8"/>
  <c r="N27" i="8"/>
  <c r="BF26" i="8"/>
  <c r="BA26" i="8"/>
  <c r="AS26" i="8"/>
  <c r="AQ26" i="8"/>
  <c r="AO26" i="8"/>
  <c r="AN26" i="8"/>
  <c r="AL26" i="8"/>
  <c r="AJ26" i="8"/>
  <c r="AH26" i="8"/>
  <c r="AF26" i="8"/>
  <c r="AD26" i="8"/>
  <c r="AB26" i="8"/>
  <c r="Z26" i="8"/>
  <c r="X26" i="8"/>
  <c r="V26" i="8"/>
  <c r="T26" i="8"/>
  <c r="R26" i="8"/>
  <c r="P26" i="8"/>
  <c r="N26" i="8"/>
  <c r="BA25" i="8"/>
  <c r="AS25" i="8"/>
  <c r="AQ25" i="8"/>
  <c r="AO25" i="8"/>
  <c r="AN25" i="8"/>
  <c r="AL25" i="8"/>
  <c r="AJ25" i="8"/>
  <c r="AH25" i="8"/>
  <c r="AF25" i="8"/>
  <c r="AD25" i="8"/>
  <c r="AB25" i="8"/>
  <c r="Z25" i="8"/>
  <c r="X25" i="8"/>
  <c r="V25" i="8"/>
  <c r="T25" i="8"/>
  <c r="R25" i="8"/>
  <c r="P25" i="8"/>
  <c r="N25" i="8"/>
  <c r="BF24" i="8"/>
  <c r="BA24" i="8"/>
  <c r="AS24" i="8"/>
  <c r="AQ24" i="8"/>
  <c r="AO24" i="8"/>
  <c r="AN24" i="8"/>
  <c r="AL24" i="8"/>
  <c r="AJ24" i="8"/>
  <c r="AH24" i="8"/>
  <c r="AF24" i="8"/>
  <c r="AD24" i="8"/>
  <c r="AB24" i="8"/>
  <c r="Z24" i="8"/>
  <c r="X24" i="8"/>
  <c r="V24" i="8"/>
  <c r="T24" i="8"/>
  <c r="R24" i="8"/>
  <c r="P24" i="8"/>
  <c r="N24" i="8"/>
  <c r="BK23" i="8"/>
  <c r="BF23" i="8"/>
  <c r="BA23" i="8"/>
  <c r="AS23" i="8"/>
  <c r="AQ23" i="8"/>
  <c r="AO23" i="8"/>
  <c r="AN23" i="8"/>
  <c r="AL23" i="8"/>
  <c r="AJ23" i="8"/>
  <c r="AH23" i="8"/>
  <c r="AF23" i="8"/>
  <c r="AD23" i="8"/>
  <c r="AB23" i="8"/>
  <c r="Z23" i="8"/>
  <c r="X23" i="8"/>
  <c r="V23" i="8"/>
  <c r="T23" i="8"/>
  <c r="R23" i="8"/>
  <c r="P23" i="8"/>
  <c r="N23" i="8"/>
  <c r="BK22" i="8"/>
  <c r="BF22" i="8"/>
  <c r="BA22" i="8"/>
  <c r="AS22" i="8"/>
  <c r="AQ22" i="8"/>
  <c r="AO22" i="8"/>
  <c r="AN22" i="8"/>
  <c r="AL22" i="8"/>
  <c r="AJ22" i="8"/>
  <c r="AH22" i="8"/>
  <c r="AF22" i="8"/>
  <c r="AD22" i="8"/>
  <c r="AB22" i="8"/>
  <c r="Z22" i="8"/>
  <c r="X22" i="8"/>
  <c r="V22" i="8"/>
  <c r="T22" i="8"/>
  <c r="R22" i="8"/>
  <c r="P22" i="8"/>
  <c r="N22" i="8"/>
  <c r="BF21" i="8"/>
  <c r="BA21" i="8"/>
  <c r="AS21" i="8"/>
  <c r="AQ21" i="8"/>
  <c r="AO21" i="8"/>
  <c r="AN21" i="8"/>
  <c r="AL21" i="8"/>
  <c r="AJ21" i="8"/>
  <c r="AH21" i="8"/>
  <c r="AF21" i="8"/>
  <c r="AD21" i="8"/>
  <c r="AB21" i="8"/>
  <c r="Z21" i="8"/>
  <c r="X21" i="8"/>
  <c r="V21" i="8"/>
  <c r="T21" i="8"/>
  <c r="R21" i="8"/>
  <c r="P21" i="8"/>
  <c r="N21" i="8"/>
  <c r="BF20" i="8"/>
  <c r="BA20" i="8"/>
  <c r="AS20" i="8"/>
  <c r="AQ20" i="8"/>
  <c r="AO20" i="8"/>
  <c r="AN20" i="8"/>
  <c r="AL20" i="8"/>
  <c r="AJ20" i="8"/>
  <c r="AH20" i="8"/>
  <c r="AF20" i="8"/>
  <c r="AD20" i="8"/>
  <c r="AB20" i="8"/>
  <c r="Z20" i="8"/>
  <c r="X20" i="8"/>
  <c r="V20" i="8"/>
  <c r="T20" i="8"/>
  <c r="R20" i="8"/>
  <c r="P20" i="8"/>
  <c r="N20" i="8"/>
  <c r="BF19" i="8"/>
  <c r="BA19" i="8"/>
  <c r="AS19" i="8"/>
  <c r="AQ19" i="8"/>
  <c r="AO19" i="8"/>
  <c r="AN19" i="8"/>
  <c r="AL19" i="8"/>
  <c r="AJ19" i="8"/>
  <c r="AH19" i="8"/>
  <c r="AF19" i="8"/>
  <c r="AD19" i="8"/>
  <c r="AB19" i="8"/>
  <c r="Z19" i="8"/>
  <c r="X19" i="8"/>
  <c r="V19" i="8"/>
  <c r="T19" i="8"/>
  <c r="R19" i="8"/>
  <c r="P19" i="8"/>
  <c r="N19" i="8"/>
  <c r="BF18" i="8"/>
  <c r="BA18" i="8"/>
  <c r="AS18" i="8"/>
  <c r="AQ18" i="8"/>
  <c r="AO18" i="8"/>
  <c r="AN18" i="8"/>
  <c r="AL18" i="8"/>
  <c r="AJ18" i="8"/>
  <c r="AH18" i="8"/>
  <c r="AF18" i="8"/>
  <c r="AD18" i="8"/>
  <c r="AB18" i="8"/>
  <c r="Z18" i="8"/>
  <c r="X18" i="8"/>
  <c r="V18" i="8"/>
  <c r="T18" i="8"/>
  <c r="R18" i="8"/>
  <c r="P18" i="8"/>
  <c r="N18" i="8"/>
  <c r="BF17" i="8"/>
  <c r="BA17" i="8"/>
  <c r="AS17" i="8"/>
  <c r="AQ17" i="8"/>
  <c r="AO17" i="8"/>
  <c r="AN17" i="8"/>
  <c r="AL17" i="8"/>
  <c r="AJ17" i="8"/>
  <c r="AH17" i="8"/>
  <c r="AF17" i="8"/>
  <c r="AD17" i="8"/>
  <c r="AB17" i="8"/>
  <c r="Z17" i="8"/>
  <c r="X17" i="8"/>
  <c r="V17" i="8"/>
  <c r="T17" i="8"/>
  <c r="R17" i="8"/>
  <c r="P17" i="8"/>
  <c r="N17" i="8"/>
  <c r="BF16" i="8"/>
  <c r="BA16" i="8"/>
  <c r="AS16" i="8"/>
  <c r="AQ16" i="8"/>
  <c r="AO16" i="8"/>
  <c r="AN16" i="8"/>
  <c r="AL16" i="8"/>
  <c r="AJ16" i="8"/>
  <c r="AH16" i="8"/>
  <c r="AF16" i="8"/>
  <c r="AD16" i="8"/>
  <c r="AB16" i="8"/>
  <c r="Z16" i="8"/>
  <c r="X16" i="8"/>
  <c r="V16" i="8"/>
  <c r="T16" i="8"/>
  <c r="R16" i="8"/>
  <c r="P16" i="8"/>
  <c r="N16" i="8"/>
  <c r="BF15" i="8"/>
  <c r="BA15" i="8"/>
  <c r="AS15" i="8"/>
  <c r="AQ15" i="8"/>
  <c r="AO15" i="8"/>
  <c r="AN15" i="8"/>
  <c r="AL15" i="8"/>
  <c r="AJ15" i="8"/>
  <c r="AH15" i="8"/>
  <c r="AF15" i="8"/>
  <c r="AD15" i="8"/>
  <c r="AB15" i="8"/>
  <c r="Z15" i="8"/>
  <c r="X15" i="8"/>
  <c r="V15" i="8"/>
  <c r="T15" i="8"/>
  <c r="R15" i="8"/>
  <c r="P15" i="8"/>
  <c r="N15" i="8"/>
  <c r="BF14" i="8"/>
  <c r="BA14" i="8"/>
  <c r="AS14" i="8"/>
  <c r="AQ14" i="8"/>
  <c r="AO14" i="8"/>
  <c r="AN14" i="8"/>
  <c r="AL14" i="8"/>
  <c r="AJ14" i="8"/>
  <c r="AH14" i="8"/>
  <c r="AF14" i="8"/>
  <c r="AD14" i="8"/>
  <c r="AB14" i="8"/>
  <c r="Z14" i="8"/>
  <c r="X14" i="8"/>
  <c r="V14" i="8"/>
  <c r="T14" i="8"/>
  <c r="R14" i="8"/>
  <c r="P14" i="8"/>
  <c r="N14" i="8"/>
  <c r="BF13" i="8"/>
  <c r="BA13" i="8"/>
  <c r="AS13" i="8"/>
  <c r="AQ13" i="8"/>
  <c r="AO13" i="8"/>
  <c r="AN13" i="8"/>
  <c r="AL13" i="8"/>
  <c r="AJ13" i="8"/>
  <c r="AH13" i="8"/>
  <c r="AF13" i="8"/>
  <c r="AD13" i="8"/>
  <c r="AB13" i="8"/>
  <c r="Z13" i="8"/>
  <c r="X13" i="8"/>
  <c r="V13" i="8"/>
  <c r="T13" i="8"/>
  <c r="R13" i="8"/>
  <c r="P13" i="8"/>
  <c r="N13" i="8"/>
  <c r="BF12" i="8"/>
  <c r="BA12" i="8"/>
  <c r="AS12" i="8"/>
  <c r="AQ12" i="8"/>
  <c r="AO12" i="8"/>
  <c r="AN12" i="8"/>
  <c r="AL12" i="8"/>
  <c r="AJ12" i="8"/>
  <c r="AH12" i="8"/>
  <c r="AF12" i="8"/>
  <c r="AD12" i="8"/>
  <c r="AB12" i="8"/>
  <c r="Z12" i="8"/>
  <c r="X12" i="8"/>
  <c r="V12" i="8"/>
  <c r="T12" i="8"/>
  <c r="R12" i="8"/>
  <c r="P12" i="8"/>
  <c r="N12" i="8"/>
  <c r="BF11" i="8"/>
  <c r="BA11" i="8"/>
  <c r="AS11" i="8"/>
  <c r="AQ11" i="8"/>
  <c r="AO11" i="8"/>
  <c r="AN11" i="8"/>
  <c r="AL11" i="8"/>
  <c r="AJ11" i="8"/>
  <c r="AH11" i="8"/>
  <c r="AF11" i="8"/>
  <c r="AD11" i="8"/>
  <c r="AB11" i="8"/>
  <c r="Z11" i="8"/>
  <c r="X11" i="8"/>
  <c r="V11" i="8"/>
  <c r="T11" i="8"/>
  <c r="R11" i="8"/>
  <c r="P11" i="8"/>
  <c r="N11" i="8"/>
  <c r="BF10" i="8"/>
  <c r="BA10" i="8"/>
  <c r="AS10" i="8"/>
  <c r="AQ10" i="8"/>
  <c r="AO10" i="8"/>
  <c r="AN10" i="8"/>
  <c r="AL10" i="8"/>
  <c r="AJ10" i="8"/>
  <c r="AH10" i="8"/>
  <c r="AF10" i="8"/>
  <c r="AD10" i="8"/>
  <c r="AB10" i="8"/>
  <c r="Z10" i="8"/>
  <c r="X10" i="8"/>
  <c r="V10" i="8"/>
  <c r="T10" i="8"/>
  <c r="R10" i="8"/>
  <c r="P10" i="8"/>
  <c r="N10" i="8"/>
  <c r="BK9" i="8"/>
  <c r="BF9" i="8"/>
  <c r="BA9" i="8"/>
  <c r="AS9" i="8"/>
  <c r="AQ9" i="8"/>
  <c r="AO9" i="8"/>
  <c r="AN9" i="8"/>
  <c r="AL9" i="8"/>
  <c r="AJ9" i="8"/>
  <c r="AH9" i="8"/>
  <c r="AF9" i="8"/>
  <c r="AD9" i="8"/>
  <c r="AB9" i="8"/>
  <c r="Z9" i="8"/>
  <c r="X9" i="8"/>
  <c r="V9" i="8"/>
  <c r="T9" i="8"/>
  <c r="R9" i="8"/>
  <c r="P9" i="8"/>
  <c r="N9" i="8"/>
  <c r="BF8" i="8"/>
  <c r="BA8" i="8"/>
  <c r="AS8" i="8"/>
  <c r="AQ8" i="8"/>
  <c r="AO8" i="8"/>
  <c r="AN8" i="8"/>
  <c r="AL8" i="8"/>
  <c r="AJ8" i="8"/>
  <c r="AH8" i="8"/>
  <c r="AF8" i="8"/>
  <c r="AD8" i="8"/>
  <c r="AB8" i="8"/>
  <c r="Z8" i="8"/>
  <c r="X8" i="8"/>
  <c r="V8" i="8"/>
  <c r="T8" i="8"/>
  <c r="R8" i="8"/>
  <c r="P8" i="8"/>
  <c r="N8" i="8"/>
  <c r="BF7" i="8"/>
  <c r="BA7" i="8"/>
  <c r="AS7" i="8"/>
  <c r="AQ7" i="8"/>
  <c r="AO7" i="8"/>
  <c r="AN7" i="8"/>
  <c r="AL7" i="8"/>
  <c r="AJ7" i="8"/>
  <c r="AH7" i="8"/>
  <c r="AF7" i="8"/>
  <c r="AD7" i="8"/>
  <c r="AB7" i="8"/>
  <c r="Z7" i="8"/>
  <c r="X7" i="8"/>
  <c r="V7" i="8"/>
  <c r="T7" i="8"/>
  <c r="R7" i="8"/>
  <c r="P7" i="8"/>
  <c r="N7" i="8"/>
  <c r="BF6" i="8"/>
  <c r="BA6" i="8"/>
  <c r="AS6" i="8"/>
  <c r="AQ6" i="8"/>
  <c r="AO6" i="8"/>
  <c r="AN6" i="8"/>
  <c r="AL6" i="8"/>
  <c r="AJ6" i="8"/>
  <c r="AH6" i="8"/>
  <c r="AF6" i="8"/>
  <c r="AD6" i="8"/>
  <c r="AB6" i="8"/>
  <c r="Z6" i="8"/>
  <c r="X6" i="8"/>
  <c r="V6" i="8"/>
  <c r="T6" i="8"/>
  <c r="R6" i="8"/>
  <c r="P6" i="8"/>
  <c r="N6" i="8"/>
  <c r="BF5" i="8"/>
  <c r="BA5" i="8"/>
  <c r="AS5" i="8"/>
  <c r="AQ5" i="8"/>
  <c r="AO5" i="8"/>
  <c r="AN5" i="8"/>
  <c r="AL5" i="8"/>
  <c r="AJ5" i="8"/>
  <c r="AH5" i="8"/>
  <c r="AF5" i="8"/>
  <c r="AD5" i="8"/>
  <c r="AB5" i="8"/>
  <c r="Z5" i="8"/>
  <c r="X5" i="8"/>
  <c r="V5" i="8"/>
  <c r="T5" i="8"/>
  <c r="R5" i="8"/>
  <c r="P5" i="8"/>
  <c r="N5" i="8"/>
  <c r="BF4" i="8"/>
  <c r="BA4" i="8"/>
  <c r="AS4" i="8"/>
  <c r="AQ4" i="8"/>
  <c r="AO4" i="8"/>
  <c r="AN4" i="8"/>
  <c r="AL4" i="8"/>
  <c r="AJ4" i="8"/>
  <c r="AH4" i="8"/>
  <c r="AF4" i="8"/>
  <c r="AD4" i="8"/>
  <c r="AB4" i="8"/>
  <c r="Z4" i="8"/>
  <c r="X4" i="8"/>
  <c r="V4" i="8"/>
  <c r="T4" i="8"/>
  <c r="R4" i="8"/>
  <c r="P4" i="8"/>
  <c r="N4" i="8"/>
  <c r="BF3" i="8"/>
  <c r="BA3" i="8"/>
  <c r="AS3" i="8"/>
  <c r="AQ3" i="8"/>
  <c r="AO3" i="8"/>
  <c r="AN3" i="8"/>
  <c r="AL3" i="8"/>
  <c r="AJ3" i="8"/>
  <c r="AH3" i="8"/>
  <c r="AF3" i="8"/>
  <c r="AD3" i="8"/>
  <c r="AB3" i="8"/>
  <c r="Z3" i="8"/>
  <c r="X3" i="8"/>
  <c r="V3" i="8"/>
  <c r="T3" i="8"/>
  <c r="R3" i="8"/>
  <c r="P3" i="8"/>
  <c r="N3" i="8"/>
  <c r="BK2" i="8"/>
  <c r="BF2" i="8"/>
  <c r="BA2" i="8"/>
  <c r="AS2" i="8"/>
  <c r="AQ2" i="8"/>
  <c r="AO2" i="8"/>
  <c r="AN2" i="8"/>
  <c r="AL2" i="8"/>
  <c r="AJ2" i="8"/>
  <c r="AH2" i="8"/>
  <c r="AF2" i="8"/>
  <c r="AD2" i="8"/>
  <c r="AB2" i="8"/>
  <c r="Z2" i="8"/>
  <c r="X2" i="8"/>
  <c r="V2" i="8"/>
  <c r="T2" i="8"/>
  <c r="R2" i="8"/>
  <c r="P2" i="8"/>
  <c r="N2" i="8"/>
  <c r="BK106" i="7" l="1"/>
  <c r="BF106" i="7"/>
  <c r="BA106" i="7"/>
  <c r="AS106" i="7"/>
  <c r="AQ106" i="7"/>
  <c r="AO106" i="7"/>
  <c r="AN106" i="7"/>
  <c r="AL106" i="7"/>
  <c r="AJ106" i="7"/>
  <c r="AH106" i="7"/>
  <c r="AF106" i="7"/>
  <c r="AD106" i="7"/>
  <c r="AB106" i="7"/>
  <c r="Z106" i="7"/>
  <c r="X106" i="7"/>
  <c r="V106" i="7"/>
  <c r="T106" i="7"/>
  <c r="R106" i="7"/>
  <c r="P106" i="7"/>
  <c r="N106" i="7"/>
  <c r="L106" i="7"/>
  <c r="BF105" i="7"/>
  <c r="BA105" i="7"/>
  <c r="AS105" i="7"/>
  <c r="AQ105" i="7"/>
  <c r="AO105" i="7"/>
  <c r="AN105" i="7"/>
  <c r="AL105" i="7"/>
  <c r="AJ105" i="7"/>
  <c r="AH105" i="7"/>
  <c r="AF105" i="7"/>
  <c r="AD105" i="7"/>
  <c r="AB105" i="7"/>
  <c r="Z105" i="7"/>
  <c r="X105" i="7"/>
  <c r="V105" i="7"/>
  <c r="T105" i="7"/>
  <c r="R105" i="7"/>
  <c r="P105" i="7"/>
  <c r="N105" i="7"/>
  <c r="L105" i="7"/>
  <c r="BF104" i="7"/>
  <c r="BA104" i="7"/>
  <c r="AS104" i="7"/>
  <c r="AQ104" i="7"/>
  <c r="AO104" i="7"/>
  <c r="AN104" i="7"/>
  <c r="AL104" i="7"/>
  <c r="AJ104" i="7"/>
  <c r="AH104" i="7"/>
  <c r="AF104" i="7"/>
  <c r="AD104" i="7"/>
  <c r="AB104" i="7"/>
  <c r="Z104" i="7"/>
  <c r="X104" i="7"/>
  <c r="V104" i="7"/>
  <c r="T104" i="7"/>
  <c r="R104" i="7"/>
  <c r="P104" i="7"/>
  <c r="N104" i="7"/>
  <c r="L104" i="7"/>
  <c r="BK103" i="7"/>
  <c r="BF103" i="7"/>
  <c r="BA103" i="7"/>
  <c r="AS103" i="7"/>
  <c r="AQ103" i="7"/>
  <c r="AO103" i="7"/>
  <c r="AN103" i="7"/>
  <c r="AL103" i="7"/>
  <c r="AJ103" i="7"/>
  <c r="AH103" i="7"/>
  <c r="AF103" i="7"/>
  <c r="AD103" i="7"/>
  <c r="AB103" i="7"/>
  <c r="Z103" i="7"/>
  <c r="X103" i="7"/>
  <c r="V103" i="7"/>
  <c r="T103" i="7"/>
  <c r="R103" i="7"/>
  <c r="P103" i="7"/>
  <c r="N103" i="7"/>
  <c r="L103" i="7"/>
  <c r="BF102" i="7"/>
  <c r="BA102" i="7"/>
  <c r="AS102" i="7"/>
  <c r="AQ102" i="7"/>
  <c r="AO102" i="7"/>
  <c r="AN102" i="7"/>
  <c r="AL102" i="7"/>
  <c r="AJ102" i="7"/>
  <c r="AH102" i="7"/>
  <c r="AF102" i="7"/>
  <c r="AD102" i="7"/>
  <c r="AB102" i="7"/>
  <c r="Z102" i="7"/>
  <c r="X102" i="7"/>
  <c r="V102" i="7"/>
  <c r="T102" i="7"/>
  <c r="R102" i="7"/>
  <c r="P102" i="7"/>
  <c r="N102" i="7"/>
  <c r="L102" i="7"/>
  <c r="BK101" i="7"/>
  <c r="BF101" i="7"/>
  <c r="BA101" i="7"/>
  <c r="AS101" i="7"/>
  <c r="AQ101" i="7"/>
  <c r="AO101" i="7"/>
  <c r="AN101" i="7"/>
  <c r="AL101" i="7"/>
  <c r="AJ101" i="7"/>
  <c r="AH101" i="7"/>
  <c r="AF101" i="7"/>
  <c r="AD101" i="7"/>
  <c r="AB101" i="7"/>
  <c r="Z101" i="7"/>
  <c r="X101" i="7"/>
  <c r="V101" i="7"/>
  <c r="T101" i="7"/>
  <c r="R101" i="7"/>
  <c r="P101" i="7"/>
  <c r="N101" i="7"/>
  <c r="L101" i="7"/>
  <c r="BF100" i="7"/>
  <c r="BA100" i="7"/>
  <c r="AS100" i="7"/>
  <c r="AQ100" i="7"/>
  <c r="AO100" i="7"/>
  <c r="AN100" i="7"/>
  <c r="AL100" i="7"/>
  <c r="AJ100" i="7"/>
  <c r="AH100" i="7"/>
  <c r="AF100" i="7"/>
  <c r="AD100" i="7"/>
  <c r="AB100" i="7"/>
  <c r="Z100" i="7"/>
  <c r="X100" i="7"/>
  <c r="V100" i="7"/>
  <c r="T100" i="7"/>
  <c r="R100" i="7"/>
  <c r="P100" i="7"/>
  <c r="N100" i="7"/>
  <c r="L100" i="7"/>
  <c r="BK99" i="7"/>
  <c r="BF99" i="7"/>
  <c r="BA99" i="7"/>
  <c r="AS99" i="7"/>
  <c r="AQ99" i="7"/>
  <c r="AO99" i="7"/>
  <c r="AN99" i="7"/>
  <c r="AL99" i="7"/>
  <c r="AJ99" i="7"/>
  <c r="AH99" i="7"/>
  <c r="AF99" i="7"/>
  <c r="AD99" i="7"/>
  <c r="AB99" i="7"/>
  <c r="Z99" i="7"/>
  <c r="X99" i="7"/>
  <c r="V99" i="7"/>
  <c r="T99" i="7"/>
  <c r="R99" i="7"/>
  <c r="P99" i="7"/>
  <c r="N99" i="7"/>
  <c r="L99" i="7"/>
  <c r="BF98" i="7"/>
  <c r="BA98" i="7"/>
  <c r="AS98" i="7"/>
  <c r="AQ98" i="7"/>
  <c r="AO98" i="7"/>
  <c r="AN98" i="7"/>
  <c r="AL98" i="7"/>
  <c r="AJ98" i="7"/>
  <c r="AH98" i="7"/>
  <c r="AF98" i="7"/>
  <c r="AD98" i="7"/>
  <c r="AB98" i="7"/>
  <c r="Z98" i="7"/>
  <c r="X98" i="7"/>
  <c r="V98" i="7"/>
  <c r="T98" i="7"/>
  <c r="R98" i="7"/>
  <c r="P98" i="7"/>
  <c r="N98" i="7"/>
  <c r="L98" i="7"/>
  <c r="BF97" i="7"/>
  <c r="BA97" i="7"/>
  <c r="AS97" i="7"/>
  <c r="AQ97" i="7"/>
  <c r="AO97" i="7"/>
  <c r="AN97" i="7"/>
  <c r="AL97" i="7"/>
  <c r="AJ97" i="7"/>
  <c r="AH97" i="7"/>
  <c r="AF97" i="7"/>
  <c r="AD97" i="7"/>
  <c r="AB97" i="7"/>
  <c r="Z97" i="7"/>
  <c r="X97" i="7"/>
  <c r="V97" i="7"/>
  <c r="T97" i="7"/>
  <c r="R97" i="7"/>
  <c r="P97" i="7"/>
  <c r="N97" i="7"/>
  <c r="L97" i="7"/>
  <c r="BK96" i="7"/>
  <c r="BF96" i="7"/>
  <c r="BA96" i="7"/>
  <c r="AS96" i="7"/>
  <c r="AQ96" i="7"/>
  <c r="AO96" i="7"/>
  <c r="AN96" i="7"/>
  <c r="AL96" i="7"/>
  <c r="AJ96" i="7"/>
  <c r="AH96" i="7"/>
  <c r="AF96" i="7"/>
  <c r="AD96" i="7"/>
  <c r="AB96" i="7"/>
  <c r="Z96" i="7"/>
  <c r="X96" i="7"/>
  <c r="V96" i="7"/>
  <c r="T96" i="7"/>
  <c r="R96" i="7"/>
  <c r="P96" i="7"/>
  <c r="N96" i="7"/>
  <c r="L96" i="7"/>
  <c r="BF95" i="7"/>
  <c r="BA95" i="7"/>
  <c r="AS95" i="7"/>
  <c r="AQ95" i="7"/>
  <c r="AO95" i="7"/>
  <c r="AN95" i="7"/>
  <c r="AL95" i="7"/>
  <c r="AJ95" i="7"/>
  <c r="AH95" i="7"/>
  <c r="AF95" i="7"/>
  <c r="AD95" i="7"/>
  <c r="AB95" i="7"/>
  <c r="Z95" i="7"/>
  <c r="X95" i="7"/>
  <c r="V95" i="7"/>
  <c r="T95" i="7"/>
  <c r="R95" i="7"/>
  <c r="P95" i="7"/>
  <c r="N95" i="7"/>
  <c r="L95" i="7"/>
  <c r="BF94" i="7"/>
  <c r="BA94" i="7"/>
  <c r="AS94" i="7"/>
  <c r="AQ94" i="7"/>
  <c r="AO94" i="7"/>
  <c r="AN94" i="7"/>
  <c r="AL94" i="7"/>
  <c r="AJ94" i="7"/>
  <c r="AH94" i="7"/>
  <c r="AF94" i="7"/>
  <c r="AD94" i="7"/>
  <c r="AB94" i="7"/>
  <c r="Z94" i="7"/>
  <c r="X94" i="7"/>
  <c r="V94" i="7"/>
  <c r="T94" i="7"/>
  <c r="R94" i="7"/>
  <c r="P94" i="7"/>
  <c r="N94" i="7"/>
  <c r="L94" i="7"/>
  <c r="BF93" i="7"/>
  <c r="BA93" i="7"/>
  <c r="AS93" i="7"/>
  <c r="AQ93" i="7"/>
  <c r="AO93" i="7"/>
  <c r="AN93" i="7"/>
  <c r="AL93" i="7"/>
  <c r="AJ93" i="7"/>
  <c r="AH93" i="7"/>
  <c r="AF93" i="7"/>
  <c r="AD93" i="7"/>
  <c r="AB93" i="7"/>
  <c r="Z93" i="7"/>
  <c r="X93" i="7"/>
  <c r="V93" i="7"/>
  <c r="T93" i="7"/>
  <c r="R93" i="7"/>
  <c r="P93" i="7"/>
  <c r="N93" i="7"/>
  <c r="L93" i="7"/>
  <c r="BF92" i="7"/>
  <c r="BA92" i="7"/>
  <c r="AS92" i="7"/>
  <c r="AQ92" i="7"/>
  <c r="AO92" i="7"/>
  <c r="AN92" i="7"/>
  <c r="AL92" i="7"/>
  <c r="AJ92" i="7"/>
  <c r="AH92" i="7"/>
  <c r="AF92" i="7"/>
  <c r="AD92" i="7"/>
  <c r="AB92" i="7"/>
  <c r="Z92" i="7"/>
  <c r="X92" i="7"/>
  <c r="V92" i="7"/>
  <c r="T92" i="7"/>
  <c r="R92" i="7"/>
  <c r="P92" i="7"/>
  <c r="N92" i="7"/>
  <c r="L92" i="7"/>
  <c r="BF91" i="7"/>
  <c r="BA91" i="7"/>
  <c r="AS91" i="7"/>
  <c r="AQ91" i="7"/>
  <c r="AO91" i="7"/>
  <c r="AN91" i="7"/>
  <c r="AL91" i="7"/>
  <c r="AJ91" i="7"/>
  <c r="AH91" i="7"/>
  <c r="AF91" i="7"/>
  <c r="AD91" i="7"/>
  <c r="AB91" i="7"/>
  <c r="Z91" i="7"/>
  <c r="X91" i="7"/>
  <c r="V91" i="7"/>
  <c r="T91" i="7"/>
  <c r="R91" i="7"/>
  <c r="P91" i="7"/>
  <c r="N91" i="7"/>
  <c r="L91" i="7"/>
  <c r="BF90" i="7"/>
  <c r="BA90" i="7"/>
  <c r="AS90" i="7"/>
  <c r="AQ90" i="7"/>
  <c r="AO90" i="7"/>
  <c r="AN90" i="7"/>
  <c r="AL90" i="7"/>
  <c r="AJ90" i="7"/>
  <c r="AH90" i="7"/>
  <c r="AF90" i="7"/>
  <c r="AD90" i="7"/>
  <c r="AB90" i="7"/>
  <c r="Z90" i="7"/>
  <c r="X90" i="7"/>
  <c r="V90" i="7"/>
  <c r="T90" i="7"/>
  <c r="R90" i="7"/>
  <c r="P90" i="7"/>
  <c r="N90" i="7"/>
  <c r="L90" i="7"/>
  <c r="BF89" i="7"/>
  <c r="BA89" i="7"/>
  <c r="AS89" i="7"/>
  <c r="AQ89" i="7"/>
  <c r="AO89" i="7"/>
  <c r="AN89" i="7"/>
  <c r="AL89" i="7"/>
  <c r="AJ89" i="7"/>
  <c r="AH89" i="7"/>
  <c r="AF89" i="7"/>
  <c r="AD89" i="7"/>
  <c r="AB89" i="7"/>
  <c r="Z89" i="7"/>
  <c r="X89" i="7"/>
  <c r="V89" i="7"/>
  <c r="T89" i="7"/>
  <c r="R89" i="7"/>
  <c r="P89" i="7"/>
  <c r="N89" i="7"/>
  <c r="L89" i="7"/>
  <c r="BF88" i="7"/>
  <c r="BA88" i="7"/>
  <c r="AS88" i="7"/>
  <c r="AQ88" i="7"/>
  <c r="AO88" i="7"/>
  <c r="AN88" i="7"/>
  <c r="AL88" i="7"/>
  <c r="AJ88" i="7"/>
  <c r="AH88" i="7"/>
  <c r="AF88" i="7"/>
  <c r="AD88" i="7"/>
  <c r="AB88" i="7"/>
  <c r="Z88" i="7"/>
  <c r="X88" i="7"/>
  <c r="V88" i="7"/>
  <c r="T88" i="7"/>
  <c r="R88" i="7"/>
  <c r="P88" i="7"/>
  <c r="N88" i="7"/>
  <c r="L88" i="7"/>
  <c r="BF87" i="7"/>
  <c r="BA87" i="7"/>
  <c r="AS87" i="7"/>
  <c r="AQ87" i="7"/>
  <c r="AO87" i="7"/>
  <c r="AN87" i="7"/>
  <c r="AL87" i="7"/>
  <c r="AJ87" i="7"/>
  <c r="AH87" i="7"/>
  <c r="AF87" i="7"/>
  <c r="AD87" i="7"/>
  <c r="AB87" i="7"/>
  <c r="Z87" i="7"/>
  <c r="X87" i="7"/>
  <c r="V87" i="7"/>
  <c r="T87" i="7"/>
  <c r="R87" i="7"/>
  <c r="P87" i="7"/>
  <c r="N87" i="7"/>
  <c r="L87" i="7"/>
  <c r="BF86" i="7"/>
  <c r="BA86" i="7"/>
  <c r="AS86" i="7"/>
  <c r="AQ86" i="7"/>
  <c r="AO86" i="7"/>
  <c r="AN86" i="7"/>
  <c r="AL86" i="7"/>
  <c r="AJ86" i="7"/>
  <c r="AH86" i="7"/>
  <c r="AF86" i="7"/>
  <c r="AD86" i="7"/>
  <c r="AB86" i="7"/>
  <c r="Z86" i="7"/>
  <c r="X86" i="7"/>
  <c r="V86" i="7"/>
  <c r="T86" i="7"/>
  <c r="R86" i="7"/>
  <c r="P86" i="7"/>
  <c r="N86" i="7"/>
  <c r="L86" i="7"/>
  <c r="BF85" i="7"/>
  <c r="BA85" i="7"/>
  <c r="AS85" i="7"/>
  <c r="AQ85" i="7"/>
  <c r="AO85" i="7"/>
  <c r="AN85" i="7"/>
  <c r="AL85" i="7"/>
  <c r="AJ85" i="7"/>
  <c r="AH85" i="7"/>
  <c r="AF85" i="7"/>
  <c r="AD85" i="7"/>
  <c r="AB85" i="7"/>
  <c r="Z85" i="7"/>
  <c r="X85" i="7"/>
  <c r="V85" i="7"/>
  <c r="T85" i="7"/>
  <c r="R85" i="7"/>
  <c r="P85" i="7"/>
  <c r="N85" i="7"/>
  <c r="L85" i="7"/>
  <c r="BF84" i="7"/>
  <c r="BA84" i="7"/>
  <c r="AS84" i="7"/>
  <c r="AQ84" i="7"/>
  <c r="AO84" i="7"/>
  <c r="AN84" i="7"/>
  <c r="AL84" i="7"/>
  <c r="AJ84" i="7"/>
  <c r="AH84" i="7"/>
  <c r="AF84" i="7"/>
  <c r="AD84" i="7"/>
  <c r="AB84" i="7"/>
  <c r="Z84" i="7"/>
  <c r="X84" i="7"/>
  <c r="V84" i="7"/>
  <c r="T84" i="7"/>
  <c r="R84" i="7"/>
  <c r="P84" i="7"/>
  <c r="N84" i="7"/>
  <c r="L84" i="7"/>
  <c r="BF83" i="7"/>
  <c r="BA83" i="7"/>
  <c r="AS83" i="7"/>
  <c r="AQ83" i="7"/>
  <c r="AO83" i="7"/>
  <c r="AN83" i="7"/>
  <c r="AL83" i="7"/>
  <c r="AJ83" i="7"/>
  <c r="AH83" i="7"/>
  <c r="AF83" i="7"/>
  <c r="AD83" i="7"/>
  <c r="AB83" i="7"/>
  <c r="Z83" i="7"/>
  <c r="X83" i="7"/>
  <c r="V83" i="7"/>
  <c r="T83" i="7"/>
  <c r="R83" i="7"/>
  <c r="P83" i="7"/>
  <c r="N83" i="7"/>
  <c r="L83" i="7"/>
  <c r="BF82" i="7"/>
  <c r="BA82" i="7"/>
  <c r="AS82" i="7"/>
  <c r="AQ82" i="7"/>
  <c r="AO82" i="7"/>
  <c r="AN82" i="7"/>
  <c r="AL82" i="7"/>
  <c r="AJ82" i="7"/>
  <c r="AH82" i="7"/>
  <c r="AF82" i="7"/>
  <c r="AD82" i="7"/>
  <c r="AB82" i="7"/>
  <c r="Z82" i="7"/>
  <c r="X82" i="7"/>
  <c r="V82" i="7"/>
  <c r="T82" i="7"/>
  <c r="R82" i="7"/>
  <c r="P82" i="7"/>
  <c r="N82" i="7"/>
  <c r="L82" i="7"/>
  <c r="BF81" i="7"/>
  <c r="BA81" i="7"/>
  <c r="AS81" i="7"/>
  <c r="AQ81" i="7"/>
  <c r="AO81" i="7"/>
  <c r="AN81" i="7"/>
  <c r="AL81" i="7"/>
  <c r="AJ81" i="7"/>
  <c r="AH81" i="7"/>
  <c r="AF81" i="7"/>
  <c r="AD81" i="7"/>
  <c r="AB81" i="7"/>
  <c r="Z81" i="7"/>
  <c r="X81" i="7"/>
  <c r="V81" i="7"/>
  <c r="T81" i="7"/>
  <c r="R81" i="7"/>
  <c r="P81" i="7"/>
  <c r="N81" i="7"/>
  <c r="L81" i="7"/>
  <c r="BF80" i="7"/>
  <c r="BA80" i="7"/>
  <c r="AS80" i="7"/>
  <c r="AQ80" i="7"/>
  <c r="AO80" i="7"/>
  <c r="AN80" i="7"/>
  <c r="AL80" i="7"/>
  <c r="AJ80" i="7"/>
  <c r="AH80" i="7"/>
  <c r="AF80" i="7"/>
  <c r="AD80" i="7"/>
  <c r="AB80" i="7"/>
  <c r="Z80" i="7"/>
  <c r="X80" i="7"/>
  <c r="V80" i="7"/>
  <c r="T80" i="7"/>
  <c r="R80" i="7"/>
  <c r="P80" i="7"/>
  <c r="N80" i="7"/>
  <c r="L80" i="7"/>
  <c r="BK79" i="7"/>
  <c r="BF79" i="7"/>
  <c r="BA79" i="7"/>
  <c r="AS79" i="7"/>
  <c r="AQ79" i="7"/>
  <c r="AO79" i="7"/>
  <c r="AN79" i="7"/>
  <c r="AL79" i="7"/>
  <c r="AJ79" i="7"/>
  <c r="AH79" i="7"/>
  <c r="AF79" i="7"/>
  <c r="AD79" i="7"/>
  <c r="AB79" i="7"/>
  <c r="Z79" i="7"/>
  <c r="X79" i="7"/>
  <c r="V79" i="7"/>
  <c r="T79" i="7"/>
  <c r="R79" i="7"/>
  <c r="P79" i="7"/>
  <c r="N79" i="7"/>
  <c r="L79" i="7"/>
  <c r="BF78" i="7"/>
  <c r="BA78" i="7"/>
  <c r="AS78" i="7"/>
  <c r="AQ78" i="7"/>
  <c r="AO78" i="7"/>
  <c r="AN78" i="7"/>
  <c r="AL78" i="7"/>
  <c r="AJ78" i="7"/>
  <c r="AH78" i="7"/>
  <c r="AF78" i="7"/>
  <c r="AD78" i="7"/>
  <c r="AB78" i="7"/>
  <c r="Z78" i="7"/>
  <c r="X78" i="7"/>
  <c r="V78" i="7"/>
  <c r="T78" i="7"/>
  <c r="R78" i="7"/>
  <c r="P78" i="7"/>
  <c r="N78" i="7"/>
  <c r="L78" i="7"/>
  <c r="BF77" i="7"/>
  <c r="BA77" i="7"/>
  <c r="AS77" i="7"/>
  <c r="AQ77" i="7"/>
  <c r="AO77" i="7"/>
  <c r="AN77" i="7"/>
  <c r="AL77" i="7"/>
  <c r="AJ77" i="7"/>
  <c r="AH77" i="7"/>
  <c r="AF77" i="7"/>
  <c r="AD77" i="7"/>
  <c r="AB77" i="7"/>
  <c r="Z77" i="7"/>
  <c r="X77" i="7"/>
  <c r="V77" i="7"/>
  <c r="T77" i="7"/>
  <c r="R77" i="7"/>
  <c r="P77" i="7"/>
  <c r="N77" i="7"/>
  <c r="L77" i="7"/>
  <c r="BF76" i="7"/>
  <c r="BA76" i="7"/>
  <c r="AS76" i="7"/>
  <c r="AQ76" i="7"/>
  <c r="AO76" i="7"/>
  <c r="AN76" i="7"/>
  <c r="AL76" i="7"/>
  <c r="AJ76" i="7"/>
  <c r="AH76" i="7"/>
  <c r="AF76" i="7"/>
  <c r="AD76" i="7"/>
  <c r="AB76" i="7"/>
  <c r="Z76" i="7"/>
  <c r="X76" i="7"/>
  <c r="V76" i="7"/>
  <c r="T76" i="7"/>
  <c r="R76" i="7"/>
  <c r="P76" i="7"/>
  <c r="N76" i="7"/>
  <c r="L76" i="7"/>
  <c r="BF75" i="7"/>
  <c r="BA75" i="7"/>
  <c r="AS75" i="7"/>
  <c r="AQ75" i="7"/>
  <c r="AO75" i="7"/>
  <c r="AN75" i="7"/>
  <c r="AL75" i="7"/>
  <c r="AJ75" i="7"/>
  <c r="AH75" i="7"/>
  <c r="AF75" i="7"/>
  <c r="AD75" i="7"/>
  <c r="AB75" i="7"/>
  <c r="Z75" i="7"/>
  <c r="X75" i="7"/>
  <c r="V75" i="7"/>
  <c r="T75" i="7"/>
  <c r="R75" i="7"/>
  <c r="P75" i="7"/>
  <c r="N75" i="7"/>
  <c r="L75" i="7"/>
  <c r="BF74" i="7"/>
  <c r="BA74" i="7"/>
  <c r="AS74" i="7"/>
  <c r="AQ74" i="7"/>
  <c r="AO74" i="7"/>
  <c r="AN74" i="7"/>
  <c r="AL74" i="7"/>
  <c r="AJ74" i="7"/>
  <c r="AH74" i="7"/>
  <c r="AF74" i="7"/>
  <c r="AD74" i="7"/>
  <c r="AB74" i="7"/>
  <c r="Z74" i="7"/>
  <c r="X74" i="7"/>
  <c r="V74" i="7"/>
  <c r="T74" i="7"/>
  <c r="R74" i="7"/>
  <c r="P74" i="7"/>
  <c r="N74" i="7"/>
  <c r="L74" i="7"/>
  <c r="BF73" i="7"/>
  <c r="BA73" i="7"/>
  <c r="AS73" i="7"/>
  <c r="AQ73" i="7"/>
  <c r="AO73" i="7"/>
  <c r="AN73" i="7"/>
  <c r="AL73" i="7"/>
  <c r="AJ73" i="7"/>
  <c r="AH73" i="7"/>
  <c r="AF73" i="7"/>
  <c r="AD73" i="7"/>
  <c r="AB73" i="7"/>
  <c r="Z73" i="7"/>
  <c r="X73" i="7"/>
  <c r="V73" i="7"/>
  <c r="T73" i="7"/>
  <c r="R73" i="7"/>
  <c r="P73" i="7"/>
  <c r="N73" i="7"/>
  <c r="L73" i="7"/>
  <c r="BF72" i="7"/>
  <c r="BA72" i="7"/>
  <c r="AS72" i="7"/>
  <c r="AQ72" i="7"/>
  <c r="AO72" i="7"/>
  <c r="AN72" i="7"/>
  <c r="AL72" i="7"/>
  <c r="AJ72" i="7"/>
  <c r="AH72" i="7"/>
  <c r="AF72" i="7"/>
  <c r="AD72" i="7"/>
  <c r="AB72" i="7"/>
  <c r="Z72" i="7"/>
  <c r="X72" i="7"/>
  <c r="V72" i="7"/>
  <c r="T72" i="7"/>
  <c r="R72" i="7"/>
  <c r="P72" i="7"/>
  <c r="N72" i="7"/>
  <c r="L72" i="7"/>
  <c r="BF71" i="7"/>
  <c r="BA71" i="7"/>
  <c r="AS71" i="7"/>
  <c r="AQ71" i="7"/>
  <c r="AO71" i="7"/>
  <c r="AN71" i="7"/>
  <c r="AL71" i="7"/>
  <c r="AJ71" i="7"/>
  <c r="AH71" i="7"/>
  <c r="AF71" i="7"/>
  <c r="AD71" i="7"/>
  <c r="AB71" i="7"/>
  <c r="Z71" i="7"/>
  <c r="X71" i="7"/>
  <c r="V71" i="7"/>
  <c r="T71" i="7"/>
  <c r="R71" i="7"/>
  <c r="P71" i="7"/>
  <c r="N71" i="7"/>
  <c r="L71" i="7"/>
  <c r="BF70" i="7"/>
  <c r="BA70" i="7"/>
  <c r="AS70" i="7"/>
  <c r="AO70" i="7"/>
  <c r="BF69" i="7"/>
  <c r="BA69" i="7"/>
  <c r="AS69" i="7"/>
  <c r="AO69" i="7"/>
  <c r="BF68" i="7"/>
  <c r="BA68" i="7"/>
  <c r="AS68" i="7"/>
  <c r="AO68" i="7"/>
  <c r="BF67" i="7"/>
  <c r="BA67" i="7"/>
  <c r="AS67" i="7"/>
  <c r="AO67" i="7"/>
  <c r="BK66" i="7"/>
  <c r="BF66" i="7"/>
  <c r="BA66" i="7"/>
  <c r="AS66" i="7"/>
  <c r="AO66" i="7"/>
  <c r="BF65" i="7"/>
  <c r="BA65" i="7"/>
  <c r="AS65" i="7"/>
  <c r="AO65" i="7"/>
  <c r="BF64" i="7"/>
  <c r="BA64" i="7"/>
  <c r="AS64" i="7"/>
  <c r="AO64" i="7"/>
  <c r="BF63" i="7"/>
  <c r="BA63" i="7"/>
  <c r="AS63" i="7"/>
  <c r="AO63" i="7"/>
  <c r="BF62" i="7"/>
  <c r="BA62" i="7"/>
  <c r="AS62" i="7"/>
  <c r="AO62" i="7"/>
  <c r="BF61" i="7"/>
  <c r="BA61" i="7"/>
  <c r="AS61" i="7"/>
  <c r="AO61" i="7"/>
  <c r="BF60" i="7"/>
  <c r="BA60" i="7"/>
  <c r="AS60" i="7"/>
  <c r="AQ60" i="7"/>
  <c r="AO60" i="7"/>
  <c r="AN60" i="7"/>
  <c r="AL60" i="7"/>
  <c r="AJ60" i="7"/>
  <c r="AH60" i="7"/>
  <c r="AF60" i="7"/>
  <c r="AD60" i="7"/>
  <c r="AB60" i="7"/>
  <c r="Z60" i="7"/>
  <c r="X60" i="7"/>
  <c r="V60" i="7"/>
  <c r="T60" i="7"/>
  <c r="R60" i="7"/>
  <c r="P60" i="7"/>
  <c r="N60" i="7"/>
  <c r="L60" i="7"/>
  <c r="BF59" i="7"/>
  <c r="BA59" i="7"/>
  <c r="AS59" i="7"/>
  <c r="AQ59" i="7"/>
  <c r="AO59" i="7"/>
  <c r="AN59" i="7"/>
  <c r="AL59" i="7"/>
  <c r="AJ59" i="7"/>
  <c r="AH59" i="7"/>
  <c r="AF59" i="7"/>
  <c r="AD59" i="7"/>
  <c r="AB59" i="7"/>
  <c r="Z59" i="7"/>
  <c r="X59" i="7"/>
  <c r="V59" i="7"/>
  <c r="T59" i="7"/>
  <c r="R59" i="7"/>
  <c r="P59" i="7"/>
  <c r="N59" i="7"/>
  <c r="L59" i="7"/>
  <c r="BF58" i="7"/>
  <c r="BA58" i="7"/>
  <c r="AS58" i="7"/>
  <c r="AQ58" i="7"/>
  <c r="AO58" i="7"/>
  <c r="AN58" i="7"/>
  <c r="AL58" i="7"/>
  <c r="AJ58" i="7"/>
  <c r="AH58" i="7"/>
  <c r="AF58" i="7"/>
  <c r="AD58" i="7"/>
  <c r="AB58" i="7"/>
  <c r="Z58" i="7"/>
  <c r="X58" i="7"/>
  <c r="V58" i="7"/>
  <c r="T58" i="7"/>
  <c r="R58" i="7"/>
  <c r="P58" i="7"/>
  <c r="N58" i="7"/>
  <c r="L58" i="7"/>
  <c r="BF57" i="7"/>
  <c r="BA57" i="7"/>
  <c r="AS57" i="7"/>
  <c r="AQ57" i="7"/>
  <c r="AO57" i="7"/>
  <c r="AN57" i="7"/>
  <c r="AL57" i="7"/>
  <c r="AJ57" i="7"/>
  <c r="AH57" i="7"/>
  <c r="AF57" i="7"/>
  <c r="AD57" i="7"/>
  <c r="AB57" i="7"/>
  <c r="Z57" i="7"/>
  <c r="X57" i="7"/>
  <c r="V57" i="7"/>
  <c r="T57" i="7"/>
  <c r="R57" i="7"/>
  <c r="P57" i="7"/>
  <c r="N57" i="7"/>
  <c r="L57" i="7"/>
  <c r="BF56" i="7"/>
  <c r="BA56" i="7"/>
  <c r="AS56" i="7"/>
  <c r="AQ56" i="7"/>
  <c r="AO56" i="7"/>
  <c r="AN56" i="7"/>
  <c r="AL56" i="7"/>
  <c r="AJ56" i="7"/>
  <c r="AH56" i="7"/>
  <c r="AF56" i="7"/>
  <c r="AD56" i="7"/>
  <c r="AB56" i="7"/>
  <c r="Z56" i="7"/>
  <c r="X56" i="7"/>
  <c r="V56" i="7"/>
  <c r="T56" i="7"/>
  <c r="R56" i="7"/>
  <c r="P56" i="7"/>
  <c r="N56" i="7"/>
  <c r="L56" i="7"/>
  <c r="BF55" i="7"/>
  <c r="BA55" i="7"/>
  <c r="AS55" i="7"/>
  <c r="AQ55" i="7"/>
  <c r="AO55" i="7"/>
  <c r="AN55" i="7"/>
  <c r="AL55" i="7"/>
  <c r="AJ55" i="7"/>
  <c r="AH55" i="7"/>
  <c r="AF55" i="7"/>
  <c r="AD55" i="7"/>
  <c r="AB55" i="7"/>
  <c r="Z55" i="7"/>
  <c r="X55" i="7"/>
  <c r="V55" i="7"/>
  <c r="T55" i="7"/>
  <c r="R55" i="7"/>
  <c r="P55" i="7"/>
  <c r="N55" i="7"/>
  <c r="L55" i="7"/>
  <c r="BF54" i="7"/>
  <c r="BA54" i="7"/>
  <c r="AS54" i="7"/>
  <c r="AQ54" i="7"/>
  <c r="AO54" i="7"/>
  <c r="AN54" i="7"/>
  <c r="AL54" i="7"/>
  <c r="AJ54" i="7"/>
  <c r="AH54" i="7"/>
  <c r="AF54" i="7"/>
  <c r="AD54" i="7"/>
  <c r="AB54" i="7"/>
  <c r="Z54" i="7"/>
  <c r="X54" i="7"/>
  <c r="V54" i="7"/>
  <c r="T54" i="7"/>
  <c r="R54" i="7"/>
  <c r="P54" i="7"/>
  <c r="N54" i="7"/>
  <c r="L54" i="7"/>
  <c r="BF53" i="7"/>
  <c r="BA53" i="7"/>
  <c r="AS53" i="7"/>
  <c r="AQ53" i="7"/>
  <c r="AO53" i="7"/>
  <c r="AN53" i="7"/>
  <c r="AL53" i="7"/>
  <c r="AJ53" i="7"/>
  <c r="AH53" i="7"/>
  <c r="AF53" i="7"/>
  <c r="AD53" i="7"/>
  <c r="AB53" i="7"/>
  <c r="Z53" i="7"/>
  <c r="X53" i="7"/>
  <c r="V53" i="7"/>
  <c r="T53" i="7"/>
  <c r="R53" i="7"/>
  <c r="P53" i="7"/>
  <c r="N53" i="7"/>
  <c r="L53" i="7"/>
  <c r="BK52" i="7"/>
  <c r="BF52" i="7"/>
  <c r="BA52" i="7"/>
  <c r="AS52" i="7"/>
  <c r="AQ52" i="7"/>
  <c r="AO52" i="7"/>
  <c r="AN52" i="7"/>
  <c r="AL52" i="7"/>
  <c r="AJ52" i="7"/>
  <c r="AH52" i="7"/>
  <c r="AF52" i="7"/>
  <c r="AD52" i="7"/>
  <c r="AB52" i="7"/>
  <c r="Z52" i="7"/>
  <c r="X52" i="7"/>
  <c r="V52" i="7"/>
  <c r="T52" i="7"/>
  <c r="R52" i="7"/>
  <c r="P52" i="7"/>
  <c r="N52" i="7"/>
  <c r="L52" i="7"/>
  <c r="BF51" i="7"/>
  <c r="BA51" i="7"/>
  <c r="AS51" i="7"/>
  <c r="AQ51" i="7"/>
  <c r="AO51" i="7"/>
  <c r="AN51" i="7"/>
  <c r="AL51" i="7"/>
  <c r="AJ51" i="7"/>
  <c r="AH51" i="7"/>
  <c r="AF51" i="7"/>
  <c r="AD51" i="7"/>
  <c r="AB51" i="7"/>
  <c r="Z51" i="7"/>
  <c r="X51" i="7"/>
  <c r="V51" i="7"/>
  <c r="T51" i="7"/>
  <c r="R51" i="7"/>
  <c r="P51" i="7"/>
  <c r="N51" i="7"/>
  <c r="L51" i="7"/>
  <c r="BK50" i="7"/>
  <c r="BF50" i="7"/>
  <c r="BA50" i="7"/>
  <c r="AS50" i="7"/>
  <c r="AQ50" i="7"/>
  <c r="AO50" i="7"/>
  <c r="AN50" i="7"/>
  <c r="AL50" i="7"/>
  <c r="AJ50" i="7"/>
  <c r="AH50" i="7"/>
  <c r="AF50" i="7"/>
  <c r="AD50" i="7"/>
  <c r="AB50" i="7"/>
  <c r="Z50" i="7"/>
  <c r="X50" i="7"/>
  <c r="V50" i="7"/>
  <c r="T50" i="7"/>
  <c r="R50" i="7"/>
  <c r="P50" i="7"/>
  <c r="N50" i="7"/>
  <c r="L50" i="7"/>
  <c r="BF49" i="7"/>
  <c r="BA49" i="7"/>
  <c r="AS49" i="7"/>
  <c r="AQ49" i="7"/>
  <c r="AO49" i="7"/>
  <c r="AN49" i="7"/>
  <c r="AL49" i="7"/>
  <c r="AJ49" i="7"/>
  <c r="AH49" i="7"/>
  <c r="AF49" i="7"/>
  <c r="AD49" i="7"/>
  <c r="AB49" i="7"/>
  <c r="Z49" i="7"/>
  <c r="X49" i="7"/>
  <c r="V49" i="7"/>
  <c r="T49" i="7"/>
  <c r="R49" i="7"/>
  <c r="P49" i="7"/>
  <c r="N49" i="7"/>
  <c r="L49" i="7"/>
  <c r="BF48" i="7"/>
  <c r="BA48" i="7"/>
  <c r="AS48" i="7"/>
  <c r="AQ48" i="7"/>
  <c r="AO48" i="7"/>
  <c r="AN48" i="7"/>
  <c r="AL48" i="7"/>
  <c r="AJ48" i="7"/>
  <c r="AH48" i="7"/>
  <c r="AF48" i="7"/>
  <c r="AD48" i="7"/>
  <c r="AB48" i="7"/>
  <c r="Z48" i="7"/>
  <c r="X48" i="7"/>
  <c r="V48" i="7"/>
  <c r="T48" i="7"/>
  <c r="R48" i="7"/>
  <c r="P48" i="7"/>
  <c r="N48" i="7"/>
  <c r="L48" i="7"/>
  <c r="BF47" i="7"/>
  <c r="BA47" i="7"/>
  <c r="AS47" i="7"/>
  <c r="AQ47" i="7"/>
  <c r="AO47" i="7"/>
  <c r="AN47" i="7"/>
  <c r="AL47" i="7"/>
  <c r="AJ47" i="7"/>
  <c r="AH47" i="7"/>
  <c r="AF47" i="7"/>
  <c r="AD47" i="7"/>
  <c r="AB47" i="7"/>
  <c r="Z47" i="7"/>
  <c r="X47" i="7"/>
  <c r="V47" i="7"/>
  <c r="T47" i="7"/>
  <c r="R47" i="7"/>
  <c r="P47" i="7"/>
  <c r="N47" i="7"/>
  <c r="L47" i="7"/>
  <c r="BF46" i="7"/>
  <c r="BA46" i="7"/>
  <c r="AS46" i="7"/>
  <c r="AQ46" i="7"/>
  <c r="AO46" i="7"/>
  <c r="AN46" i="7"/>
  <c r="AL46" i="7"/>
  <c r="AJ46" i="7"/>
  <c r="AH46" i="7"/>
  <c r="AF46" i="7"/>
  <c r="AD46" i="7"/>
  <c r="AB46" i="7"/>
  <c r="Z46" i="7"/>
  <c r="X46" i="7"/>
  <c r="V46" i="7"/>
  <c r="T46" i="7"/>
  <c r="R46" i="7"/>
  <c r="P46" i="7"/>
  <c r="N46" i="7"/>
  <c r="L46" i="7"/>
  <c r="BF45" i="7"/>
  <c r="BA45" i="7"/>
  <c r="AS45" i="7"/>
  <c r="AQ45" i="7"/>
  <c r="AO45" i="7"/>
  <c r="AN45" i="7"/>
  <c r="AL45" i="7"/>
  <c r="AJ45" i="7"/>
  <c r="AH45" i="7"/>
  <c r="AF45" i="7"/>
  <c r="AD45" i="7"/>
  <c r="AB45" i="7"/>
  <c r="Z45" i="7"/>
  <c r="X45" i="7"/>
  <c r="V45" i="7"/>
  <c r="T45" i="7"/>
  <c r="R45" i="7"/>
  <c r="P45" i="7"/>
  <c r="N45" i="7"/>
  <c r="L45" i="7"/>
  <c r="BF44" i="7"/>
  <c r="BA44" i="7"/>
  <c r="AS44" i="7"/>
  <c r="AQ44" i="7"/>
  <c r="AO44" i="7"/>
  <c r="AN44" i="7"/>
  <c r="AL44" i="7"/>
  <c r="AJ44" i="7"/>
  <c r="AH44" i="7"/>
  <c r="AF44" i="7"/>
  <c r="AD44" i="7"/>
  <c r="AB44" i="7"/>
  <c r="Z44" i="7"/>
  <c r="X44" i="7"/>
  <c r="V44" i="7"/>
  <c r="T44" i="7"/>
  <c r="R44" i="7"/>
  <c r="P44" i="7"/>
  <c r="N44" i="7"/>
  <c r="L44" i="7"/>
  <c r="BF43" i="7"/>
  <c r="BA43" i="7"/>
  <c r="AS43" i="7"/>
  <c r="AQ43" i="7"/>
  <c r="AO43" i="7"/>
  <c r="AN43" i="7"/>
  <c r="AL43" i="7"/>
  <c r="AJ43" i="7"/>
  <c r="AH43" i="7"/>
  <c r="AF43" i="7"/>
  <c r="AD43" i="7"/>
  <c r="AB43" i="7"/>
  <c r="Z43" i="7"/>
  <c r="X43" i="7"/>
  <c r="V43" i="7"/>
  <c r="T43" i="7"/>
  <c r="R43" i="7"/>
  <c r="P43" i="7"/>
  <c r="N43" i="7"/>
  <c r="L43" i="7"/>
  <c r="BF42" i="7"/>
  <c r="BA42" i="7"/>
  <c r="AS42" i="7"/>
  <c r="AQ42" i="7"/>
  <c r="AO42" i="7"/>
  <c r="AN42" i="7"/>
  <c r="AL42" i="7"/>
  <c r="AJ42" i="7"/>
  <c r="AH42" i="7"/>
  <c r="AF42" i="7"/>
  <c r="AD42" i="7"/>
  <c r="AB42" i="7"/>
  <c r="Z42" i="7"/>
  <c r="X42" i="7"/>
  <c r="V42" i="7"/>
  <c r="T42" i="7"/>
  <c r="R42" i="7"/>
  <c r="P42" i="7"/>
  <c r="N42" i="7"/>
  <c r="L42" i="7"/>
  <c r="BF41" i="7"/>
  <c r="BA41" i="7"/>
  <c r="AS41" i="7"/>
  <c r="AQ41" i="7"/>
  <c r="AO41" i="7"/>
  <c r="AN41" i="7"/>
  <c r="AL41" i="7"/>
  <c r="AJ41" i="7"/>
  <c r="AH41" i="7"/>
  <c r="AF41" i="7"/>
  <c r="AD41" i="7"/>
  <c r="AB41" i="7"/>
  <c r="Z41" i="7"/>
  <c r="X41" i="7"/>
  <c r="V41" i="7"/>
  <c r="T41" i="7"/>
  <c r="R41" i="7"/>
  <c r="P41" i="7"/>
  <c r="N41" i="7"/>
  <c r="L41" i="7"/>
  <c r="BF40" i="7"/>
  <c r="BA40" i="7"/>
  <c r="AS40" i="7"/>
  <c r="AQ40" i="7"/>
  <c r="AO40" i="7"/>
  <c r="AN40" i="7"/>
  <c r="AL40" i="7"/>
  <c r="AJ40" i="7"/>
  <c r="AH40" i="7"/>
  <c r="AF40" i="7"/>
  <c r="AD40" i="7"/>
  <c r="AB40" i="7"/>
  <c r="Z40" i="7"/>
  <c r="X40" i="7"/>
  <c r="V40" i="7"/>
  <c r="T40" i="7"/>
  <c r="R40" i="7"/>
  <c r="P40" i="7"/>
  <c r="N40" i="7"/>
  <c r="L40" i="7"/>
  <c r="BF39" i="7"/>
  <c r="BA39" i="7"/>
  <c r="AS39" i="7"/>
  <c r="AQ39" i="7"/>
  <c r="AO39" i="7"/>
  <c r="AN39" i="7"/>
  <c r="AL39" i="7"/>
  <c r="AJ39" i="7"/>
  <c r="AH39" i="7"/>
  <c r="AF39" i="7"/>
  <c r="AD39" i="7"/>
  <c r="AB39" i="7"/>
  <c r="Z39" i="7"/>
  <c r="X39" i="7"/>
  <c r="V39" i="7"/>
  <c r="T39" i="7"/>
  <c r="R39" i="7"/>
  <c r="P39" i="7"/>
  <c r="N39" i="7"/>
  <c r="L39" i="7"/>
  <c r="BF38" i="7"/>
  <c r="BA38" i="7"/>
  <c r="AS38" i="7"/>
  <c r="AQ38" i="7"/>
  <c r="AO38" i="7"/>
  <c r="AN38" i="7"/>
  <c r="AL38" i="7"/>
  <c r="AJ38" i="7"/>
  <c r="AH38" i="7"/>
  <c r="AF38" i="7"/>
  <c r="AD38" i="7"/>
  <c r="AB38" i="7"/>
  <c r="Z38" i="7"/>
  <c r="X38" i="7"/>
  <c r="V38" i="7"/>
  <c r="T38" i="7"/>
  <c r="R38" i="7"/>
  <c r="P38" i="7"/>
  <c r="N38" i="7"/>
  <c r="L38" i="7"/>
  <c r="BF37" i="7"/>
  <c r="BA37" i="7"/>
  <c r="AS37" i="7"/>
  <c r="AQ37" i="7"/>
  <c r="AO37" i="7"/>
  <c r="AN37" i="7"/>
  <c r="AL37" i="7"/>
  <c r="AJ37" i="7"/>
  <c r="AH37" i="7"/>
  <c r="AF37" i="7"/>
  <c r="AD37" i="7"/>
  <c r="AB37" i="7"/>
  <c r="Z37" i="7"/>
  <c r="X37" i="7"/>
  <c r="V37" i="7"/>
  <c r="T37" i="7"/>
  <c r="R37" i="7"/>
  <c r="P37" i="7"/>
  <c r="N37" i="7"/>
  <c r="L37" i="7"/>
  <c r="BF36" i="7"/>
  <c r="BA36" i="7"/>
  <c r="AS36" i="7"/>
  <c r="AQ36" i="7"/>
  <c r="AO36" i="7"/>
  <c r="AN36" i="7"/>
  <c r="AL36" i="7"/>
  <c r="AJ36" i="7"/>
  <c r="AH36" i="7"/>
  <c r="AF36" i="7"/>
  <c r="AD36" i="7"/>
  <c r="AB36" i="7"/>
  <c r="Z36" i="7"/>
  <c r="X36" i="7"/>
  <c r="V36" i="7"/>
  <c r="T36" i="7"/>
  <c r="R36" i="7"/>
  <c r="P36" i="7"/>
  <c r="N36" i="7"/>
  <c r="L36" i="7"/>
  <c r="BF35" i="7"/>
  <c r="BA35" i="7"/>
  <c r="AS35" i="7"/>
  <c r="AQ35" i="7"/>
  <c r="AO35" i="7"/>
  <c r="AN35" i="7"/>
  <c r="AL35" i="7"/>
  <c r="AJ35" i="7"/>
  <c r="AH35" i="7"/>
  <c r="AF35" i="7"/>
  <c r="AD35" i="7"/>
  <c r="AB35" i="7"/>
  <c r="Z35" i="7"/>
  <c r="X35" i="7"/>
  <c r="V35" i="7"/>
  <c r="T35" i="7"/>
  <c r="R35" i="7"/>
  <c r="P35" i="7"/>
  <c r="N35" i="7"/>
  <c r="L35" i="7"/>
  <c r="BK34" i="7"/>
  <c r="BF34" i="7"/>
  <c r="BA34" i="7"/>
  <c r="AS34" i="7"/>
  <c r="AQ34" i="7"/>
  <c r="AO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BF33" i="7"/>
  <c r="BA33" i="7"/>
  <c r="AS33" i="7"/>
  <c r="AQ33" i="7"/>
  <c r="AO33" i="7"/>
  <c r="AN33" i="7"/>
  <c r="AL33" i="7"/>
  <c r="AJ33" i="7"/>
  <c r="AH33" i="7"/>
  <c r="AF33" i="7"/>
  <c r="AD33" i="7"/>
  <c r="AB33" i="7"/>
  <c r="Z33" i="7"/>
  <c r="X33" i="7"/>
  <c r="V33" i="7"/>
  <c r="T33" i="7"/>
  <c r="R33" i="7"/>
  <c r="P33" i="7"/>
  <c r="N33" i="7"/>
  <c r="L33" i="7"/>
  <c r="BF32" i="7"/>
  <c r="BA32" i="7"/>
  <c r="AS32" i="7"/>
  <c r="AQ32" i="7"/>
  <c r="AO32" i="7"/>
  <c r="AN32" i="7"/>
  <c r="AL32" i="7"/>
  <c r="AJ32" i="7"/>
  <c r="AH32" i="7"/>
  <c r="AF32" i="7"/>
  <c r="AD32" i="7"/>
  <c r="AB32" i="7"/>
  <c r="Z32" i="7"/>
  <c r="X32" i="7"/>
  <c r="V32" i="7"/>
  <c r="T32" i="7"/>
  <c r="R32" i="7"/>
  <c r="P32" i="7"/>
  <c r="N32" i="7"/>
  <c r="L32" i="7"/>
  <c r="BF31" i="7"/>
  <c r="BA31" i="7"/>
  <c r="AS31" i="7"/>
  <c r="AQ31" i="7"/>
  <c r="AO31" i="7"/>
  <c r="AN31" i="7"/>
  <c r="AL31" i="7"/>
  <c r="AJ31" i="7"/>
  <c r="AH31" i="7"/>
  <c r="AF31" i="7"/>
  <c r="AD31" i="7"/>
  <c r="AB31" i="7"/>
  <c r="Z31" i="7"/>
  <c r="X31" i="7"/>
  <c r="V31" i="7"/>
  <c r="T31" i="7"/>
  <c r="R31" i="7"/>
  <c r="P31" i="7"/>
  <c r="N31" i="7"/>
  <c r="L31" i="7"/>
  <c r="BF30" i="7"/>
  <c r="BA30" i="7"/>
  <c r="AS30" i="7"/>
  <c r="AQ30" i="7"/>
  <c r="AO30" i="7"/>
  <c r="AN30" i="7"/>
  <c r="AL30" i="7"/>
  <c r="AJ30" i="7"/>
  <c r="AH30" i="7"/>
  <c r="AF30" i="7"/>
  <c r="AD30" i="7"/>
  <c r="AB30" i="7"/>
  <c r="Z30" i="7"/>
  <c r="X30" i="7"/>
  <c r="V30" i="7"/>
  <c r="T30" i="7"/>
  <c r="R30" i="7"/>
  <c r="P30" i="7"/>
  <c r="N30" i="7"/>
  <c r="L30" i="7"/>
  <c r="BF29" i="7"/>
  <c r="BA29" i="7"/>
  <c r="AS29" i="7"/>
  <c r="AQ29" i="7"/>
  <c r="AO29" i="7"/>
  <c r="AN29" i="7"/>
  <c r="AL29" i="7"/>
  <c r="AJ29" i="7"/>
  <c r="AH29" i="7"/>
  <c r="AF29" i="7"/>
  <c r="AD29" i="7"/>
  <c r="AB29" i="7"/>
  <c r="Z29" i="7"/>
  <c r="X29" i="7"/>
  <c r="V29" i="7"/>
  <c r="T29" i="7"/>
  <c r="R29" i="7"/>
  <c r="P29" i="7"/>
  <c r="N29" i="7"/>
  <c r="L29" i="7"/>
  <c r="BK28" i="7"/>
  <c r="BF28" i="7"/>
  <c r="BA28" i="7"/>
  <c r="AS28" i="7"/>
  <c r="AQ28" i="7"/>
  <c r="AO28" i="7"/>
  <c r="AN28" i="7"/>
  <c r="AL28" i="7"/>
  <c r="AJ28" i="7"/>
  <c r="AH28" i="7"/>
  <c r="AF28" i="7"/>
  <c r="AD28" i="7"/>
  <c r="AB28" i="7"/>
  <c r="Z28" i="7"/>
  <c r="X28" i="7"/>
  <c r="V28" i="7"/>
  <c r="T28" i="7"/>
  <c r="R28" i="7"/>
  <c r="P28" i="7"/>
  <c r="N28" i="7"/>
  <c r="L28" i="7"/>
  <c r="BF27" i="7"/>
  <c r="BA27" i="7"/>
  <c r="AS27" i="7"/>
  <c r="AQ27" i="7"/>
  <c r="AO27" i="7"/>
  <c r="AN27" i="7"/>
  <c r="AL27" i="7"/>
  <c r="AJ27" i="7"/>
  <c r="AH27" i="7"/>
  <c r="AF27" i="7"/>
  <c r="AD27" i="7"/>
  <c r="AB27" i="7"/>
  <c r="Z27" i="7"/>
  <c r="X27" i="7"/>
  <c r="V27" i="7"/>
  <c r="T27" i="7"/>
  <c r="R27" i="7"/>
  <c r="P27" i="7"/>
  <c r="N27" i="7"/>
  <c r="L27" i="7"/>
  <c r="BF26" i="7"/>
  <c r="BA26" i="7"/>
  <c r="AS26" i="7"/>
  <c r="AQ26" i="7"/>
  <c r="AO26" i="7"/>
  <c r="AN26" i="7"/>
  <c r="AL26" i="7"/>
  <c r="AJ26" i="7"/>
  <c r="AH26" i="7"/>
  <c r="AF26" i="7"/>
  <c r="AD26" i="7"/>
  <c r="AB26" i="7"/>
  <c r="Z26" i="7"/>
  <c r="X26" i="7"/>
  <c r="V26" i="7"/>
  <c r="T26" i="7"/>
  <c r="R26" i="7"/>
  <c r="P26" i="7"/>
  <c r="N26" i="7"/>
  <c r="L26" i="7"/>
  <c r="BF25" i="7"/>
  <c r="BA25" i="7"/>
  <c r="AS25" i="7"/>
  <c r="AQ25" i="7"/>
  <c r="AO25" i="7"/>
  <c r="AN25" i="7"/>
  <c r="AL25" i="7"/>
  <c r="AJ25" i="7"/>
  <c r="AH25" i="7"/>
  <c r="AF25" i="7"/>
  <c r="AD25" i="7"/>
  <c r="AB25" i="7"/>
  <c r="Z25" i="7"/>
  <c r="X25" i="7"/>
  <c r="V25" i="7"/>
  <c r="T25" i="7"/>
  <c r="R25" i="7"/>
  <c r="P25" i="7"/>
  <c r="N25" i="7"/>
  <c r="L25" i="7"/>
  <c r="BF24" i="7"/>
  <c r="BA24" i="7"/>
  <c r="AS24" i="7"/>
  <c r="AQ24" i="7"/>
  <c r="AO24" i="7"/>
  <c r="AN24" i="7"/>
  <c r="AL24" i="7"/>
  <c r="AJ24" i="7"/>
  <c r="AH24" i="7"/>
  <c r="AF24" i="7"/>
  <c r="AD24" i="7"/>
  <c r="AB24" i="7"/>
  <c r="Z24" i="7"/>
  <c r="X24" i="7"/>
  <c r="V24" i="7"/>
  <c r="T24" i="7"/>
  <c r="R24" i="7"/>
  <c r="P24" i="7"/>
  <c r="N24" i="7"/>
  <c r="L24" i="7"/>
  <c r="BF23" i="7"/>
  <c r="BA23" i="7"/>
  <c r="AS23" i="7"/>
  <c r="AQ23" i="7"/>
  <c r="AO23" i="7"/>
  <c r="AN23" i="7"/>
  <c r="AL23" i="7"/>
  <c r="AJ23" i="7"/>
  <c r="AH23" i="7"/>
  <c r="AF23" i="7"/>
  <c r="AD23" i="7"/>
  <c r="AB23" i="7"/>
  <c r="Z23" i="7"/>
  <c r="X23" i="7"/>
  <c r="V23" i="7"/>
  <c r="T23" i="7"/>
  <c r="R23" i="7"/>
  <c r="P23" i="7"/>
  <c r="N23" i="7"/>
  <c r="L23" i="7"/>
  <c r="BF22" i="7"/>
  <c r="BA22" i="7"/>
  <c r="AS22" i="7"/>
  <c r="AQ22" i="7"/>
  <c r="AO22" i="7"/>
  <c r="AN22" i="7"/>
  <c r="AL22" i="7"/>
  <c r="AJ22" i="7"/>
  <c r="AH22" i="7"/>
  <c r="AF22" i="7"/>
  <c r="AD22" i="7"/>
  <c r="AB22" i="7"/>
  <c r="Z22" i="7"/>
  <c r="X22" i="7"/>
  <c r="V22" i="7"/>
  <c r="T22" i="7"/>
  <c r="R22" i="7"/>
  <c r="P22" i="7"/>
  <c r="N22" i="7"/>
  <c r="L22" i="7"/>
  <c r="BF21" i="7"/>
  <c r="BA21" i="7"/>
  <c r="AS21" i="7"/>
  <c r="AQ21" i="7"/>
  <c r="AO21" i="7"/>
  <c r="AN21" i="7"/>
  <c r="AL21" i="7"/>
  <c r="AJ21" i="7"/>
  <c r="AH21" i="7"/>
  <c r="AF21" i="7"/>
  <c r="AD21" i="7"/>
  <c r="AB21" i="7"/>
  <c r="Z21" i="7"/>
  <c r="X21" i="7"/>
  <c r="V21" i="7"/>
  <c r="T21" i="7"/>
  <c r="R21" i="7"/>
  <c r="P21" i="7"/>
  <c r="N21" i="7"/>
  <c r="L21" i="7"/>
  <c r="BF20" i="7"/>
  <c r="BA20" i="7"/>
  <c r="AS20" i="7"/>
  <c r="AQ20" i="7"/>
  <c r="AO20" i="7"/>
  <c r="AN20" i="7"/>
  <c r="AL20" i="7"/>
  <c r="AJ20" i="7"/>
  <c r="AH20" i="7"/>
  <c r="AF20" i="7"/>
  <c r="AD20" i="7"/>
  <c r="AB20" i="7"/>
  <c r="Z20" i="7"/>
  <c r="X20" i="7"/>
  <c r="V20" i="7"/>
  <c r="T20" i="7"/>
  <c r="R20" i="7"/>
  <c r="P20" i="7"/>
  <c r="N20" i="7"/>
  <c r="L20" i="7"/>
  <c r="BF19" i="7"/>
  <c r="BA19" i="7"/>
  <c r="AS19" i="7"/>
  <c r="AQ19" i="7"/>
  <c r="AO19" i="7"/>
  <c r="AN19" i="7"/>
  <c r="AL19" i="7"/>
  <c r="AJ19" i="7"/>
  <c r="AH19" i="7"/>
  <c r="AF19" i="7"/>
  <c r="AD19" i="7"/>
  <c r="AB19" i="7"/>
  <c r="Z19" i="7"/>
  <c r="X19" i="7"/>
  <c r="V19" i="7"/>
  <c r="T19" i="7"/>
  <c r="R19" i="7"/>
  <c r="P19" i="7"/>
  <c r="N19" i="7"/>
  <c r="L19" i="7"/>
  <c r="BF18" i="7"/>
  <c r="BA18" i="7"/>
  <c r="AS18" i="7"/>
  <c r="AQ18" i="7"/>
  <c r="AO18" i="7"/>
  <c r="AN18" i="7"/>
  <c r="AL18" i="7"/>
  <c r="AJ18" i="7"/>
  <c r="AH18" i="7"/>
  <c r="AF18" i="7"/>
  <c r="AD18" i="7"/>
  <c r="AB18" i="7"/>
  <c r="Z18" i="7"/>
  <c r="X18" i="7"/>
  <c r="V18" i="7"/>
  <c r="T18" i="7"/>
  <c r="R18" i="7"/>
  <c r="P18" i="7"/>
  <c r="N18" i="7"/>
  <c r="L18" i="7"/>
  <c r="BF17" i="7"/>
  <c r="BA17" i="7"/>
  <c r="AS17" i="7"/>
  <c r="AQ17" i="7"/>
  <c r="AO17" i="7"/>
  <c r="AN17" i="7"/>
  <c r="AL17" i="7"/>
  <c r="AJ17" i="7"/>
  <c r="AH17" i="7"/>
  <c r="AF17" i="7"/>
  <c r="AD17" i="7"/>
  <c r="AB17" i="7"/>
  <c r="Z17" i="7"/>
  <c r="X17" i="7"/>
  <c r="V17" i="7"/>
  <c r="T17" i="7"/>
  <c r="R17" i="7"/>
  <c r="P17" i="7"/>
  <c r="N17" i="7"/>
  <c r="L17" i="7"/>
  <c r="BF16" i="7"/>
  <c r="BA16" i="7"/>
  <c r="AS16" i="7"/>
  <c r="AQ16" i="7"/>
  <c r="AO16" i="7"/>
  <c r="AN16" i="7"/>
  <c r="AL16" i="7"/>
  <c r="AJ16" i="7"/>
  <c r="AH16" i="7"/>
  <c r="AF16" i="7"/>
  <c r="AD16" i="7"/>
  <c r="AB16" i="7"/>
  <c r="Z16" i="7"/>
  <c r="X16" i="7"/>
  <c r="V16" i="7"/>
  <c r="T16" i="7"/>
  <c r="R16" i="7"/>
  <c r="P16" i="7"/>
  <c r="N16" i="7"/>
  <c r="L16" i="7"/>
  <c r="BF15" i="7"/>
  <c r="BA15" i="7"/>
  <c r="AS15" i="7"/>
  <c r="AQ15" i="7"/>
  <c r="AO15" i="7"/>
  <c r="AN15" i="7"/>
  <c r="AL15" i="7"/>
  <c r="AJ15" i="7"/>
  <c r="AH15" i="7"/>
  <c r="AF15" i="7"/>
  <c r="AD15" i="7"/>
  <c r="AB15" i="7"/>
  <c r="Z15" i="7"/>
  <c r="X15" i="7"/>
  <c r="V15" i="7"/>
  <c r="T15" i="7"/>
  <c r="R15" i="7"/>
  <c r="P15" i="7"/>
  <c r="N15" i="7"/>
  <c r="L15" i="7"/>
  <c r="BF14" i="7"/>
  <c r="BA14" i="7"/>
  <c r="AS14" i="7"/>
  <c r="AQ14" i="7"/>
  <c r="AO14" i="7"/>
  <c r="AN14" i="7"/>
  <c r="AL14" i="7"/>
  <c r="AJ14" i="7"/>
  <c r="AH14" i="7"/>
  <c r="AF14" i="7"/>
  <c r="AD14" i="7"/>
  <c r="AB14" i="7"/>
  <c r="Z14" i="7"/>
  <c r="X14" i="7"/>
  <c r="V14" i="7"/>
  <c r="T14" i="7"/>
  <c r="R14" i="7"/>
  <c r="P14" i="7"/>
  <c r="N14" i="7"/>
  <c r="L14" i="7"/>
  <c r="BF13" i="7"/>
  <c r="BA13" i="7"/>
  <c r="AS13" i="7"/>
  <c r="AQ13" i="7"/>
  <c r="AO13" i="7"/>
  <c r="AN13" i="7"/>
  <c r="AL13" i="7"/>
  <c r="AJ13" i="7"/>
  <c r="AH13" i="7"/>
  <c r="AF13" i="7"/>
  <c r="AD13" i="7"/>
  <c r="AB13" i="7"/>
  <c r="Z13" i="7"/>
  <c r="X13" i="7"/>
  <c r="V13" i="7"/>
  <c r="T13" i="7"/>
  <c r="R13" i="7"/>
  <c r="P13" i="7"/>
  <c r="N13" i="7"/>
  <c r="L13" i="7"/>
  <c r="BF12" i="7"/>
  <c r="BA12" i="7"/>
  <c r="AS12" i="7"/>
  <c r="AQ12" i="7"/>
  <c r="AO12" i="7"/>
  <c r="AN12" i="7"/>
  <c r="AL12" i="7"/>
  <c r="AJ12" i="7"/>
  <c r="AH12" i="7"/>
  <c r="AF12" i="7"/>
  <c r="AD12" i="7"/>
  <c r="AB12" i="7"/>
  <c r="Z12" i="7"/>
  <c r="X12" i="7"/>
  <c r="V12" i="7"/>
  <c r="T12" i="7"/>
  <c r="R12" i="7"/>
  <c r="P12" i="7"/>
  <c r="N12" i="7"/>
  <c r="L12" i="7"/>
  <c r="BF11" i="7"/>
  <c r="BA11" i="7"/>
  <c r="AS11" i="7"/>
  <c r="AQ11" i="7"/>
  <c r="AO11" i="7"/>
  <c r="AN11" i="7"/>
  <c r="AL11" i="7"/>
  <c r="AJ11" i="7"/>
  <c r="AH11" i="7"/>
  <c r="AF11" i="7"/>
  <c r="AD11" i="7"/>
  <c r="AB11" i="7"/>
  <c r="Z11" i="7"/>
  <c r="X11" i="7"/>
  <c r="V11" i="7"/>
  <c r="T11" i="7"/>
  <c r="R11" i="7"/>
  <c r="P11" i="7"/>
  <c r="N11" i="7"/>
  <c r="L11" i="7"/>
  <c r="BF10" i="7"/>
  <c r="BA10" i="7"/>
  <c r="AS10" i="7"/>
  <c r="AQ10" i="7"/>
  <c r="AO10" i="7"/>
  <c r="AN10" i="7"/>
  <c r="AL10" i="7"/>
  <c r="AJ10" i="7"/>
  <c r="AH10" i="7"/>
  <c r="AF10" i="7"/>
  <c r="AD10" i="7"/>
  <c r="AB10" i="7"/>
  <c r="Z10" i="7"/>
  <c r="X10" i="7"/>
  <c r="V10" i="7"/>
  <c r="T10" i="7"/>
  <c r="R10" i="7"/>
  <c r="P10" i="7"/>
  <c r="N10" i="7"/>
  <c r="L10" i="7"/>
  <c r="BF9" i="7"/>
  <c r="BA9" i="7"/>
  <c r="AS9" i="7"/>
  <c r="AQ9" i="7"/>
  <c r="AO9" i="7"/>
  <c r="AN9" i="7"/>
  <c r="AL9" i="7"/>
  <c r="AJ9" i="7"/>
  <c r="AH9" i="7"/>
  <c r="AF9" i="7"/>
  <c r="AD9" i="7"/>
  <c r="AB9" i="7"/>
  <c r="Z9" i="7"/>
  <c r="X9" i="7"/>
  <c r="V9" i="7"/>
  <c r="T9" i="7"/>
  <c r="R9" i="7"/>
  <c r="P9" i="7"/>
  <c r="N9" i="7"/>
  <c r="L9" i="7"/>
  <c r="BF8" i="7"/>
  <c r="BA8" i="7"/>
  <c r="AS8" i="7"/>
  <c r="AQ8" i="7"/>
  <c r="AO8" i="7"/>
  <c r="AN8" i="7"/>
  <c r="AL8" i="7"/>
  <c r="AJ8" i="7"/>
  <c r="AH8" i="7"/>
  <c r="AF8" i="7"/>
  <c r="AD8" i="7"/>
  <c r="AB8" i="7"/>
  <c r="Z8" i="7"/>
  <c r="X8" i="7"/>
  <c r="V8" i="7"/>
  <c r="T8" i="7"/>
  <c r="R8" i="7"/>
  <c r="P8" i="7"/>
  <c r="N8" i="7"/>
  <c r="L8" i="7"/>
  <c r="BF7" i="7"/>
  <c r="BA7" i="7"/>
  <c r="AS7" i="7"/>
  <c r="AQ7" i="7"/>
  <c r="AO7" i="7"/>
  <c r="AN7" i="7"/>
  <c r="AL7" i="7"/>
  <c r="AJ7" i="7"/>
  <c r="AH7" i="7"/>
  <c r="AF7" i="7"/>
  <c r="AD7" i="7"/>
  <c r="AB7" i="7"/>
  <c r="Z7" i="7"/>
  <c r="X7" i="7"/>
  <c r="V7" i="7"/>
  <c r="T7" i="7"/>
  <c r="R7" i="7"/>
  <c r="P7" i="7"/>
  <c r="N7" i="7"/>
  <c r="L7" i="7"/>
  <c r="BF6" i="7"/>
  <c r="BA6" i="7"/>
  <c r="AS6" i="7"/>
  <c r="AQ6" i="7"/>
  <c r="AO6" i="7"/>
  <c r="AN6" i="7"/>
  <c r="AL6" i="7"/>
  <c r="AJ6" i="7"/>
  <c r="AH6" i="7"/>
  <c r="AF6" i="7"/>
  <c r="AD6" i="7"/>
  <c r="AB6" i="7"/>
  <c r="Z6" i="7"/>
  <c r="X6" i="7"/>
  <c r="V6" i="7"/>
  <c r="T6" i="7"/>
  <c r="R6" i="7"/>
  <c r="P6" i="7"/>
  <c r="N6" i="7"/>
  <c r="L6" i="7"/>
  <c r="BF5" i="7"/>
  <c r="BA5" i="7"/>
  <c r="AS5" i="7"/>
  <c r="AQ5" i="7"/>
  <c r="AO5" i="7"/>
  <c r="AN5" i="7"/>
  <c r="AL5" i="7"/>
  <c r="AJ5" i="7"/>
  <c r="AH5" i="7"/>
  <c r="AF5" i="7"/>
  <c r="AD5" i="7"/>
  <c r="AB5" i="7"/>
  <c r="Z5" i="7"/>
  <c r="X5" i="7"/>
  <c r="V5" i="7"/>
  <c r="T5" i="7"/>
  <c r="R5" i="7"/>
  <c r="P5" i="7"/>
  <c r="N5" i="7"/>
  <c r="L5" i="7"/>
  <c r="BF4" i="7"/>
  <c r="BA4" i="7"/>
  <c r="AS4" i="7"/>
  <c r="AQ4" i="7"/>
  <c r="AO4" i="7"/>
  <c r="AN4" i="7"/>
  <c r="AL4" i="7"/>
  <c r="AJ4" i="7"/>
  <c r="AH4" i="7"/>
  <c r="AF4" i="7"/>
  <c r="AD4" i="7"/>
  <c r="AB4" i="7"/>
  <c r="Z4" i="7"/>
  <c r="X4" i="7"/>
  <c r="V4" i="7"/>
  <c r="T4" i="7"/>
  <c r="R4" i="7"/>
  <c r="P4" i="7"/>
  <c r="N4" i="7"/>
  <c r="L4" i="7"/>
  <c r="BF3" i="7"/>
  <c r="BA3" i="7"/>
  <c r="AS3" i="7"/>
  <c r="AQ3" i="7"/>
  <c r="AO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BF2" i="7"/>
  <c r="BA2" i="7"/>
  <c r="AS2" i="7"/>
  <c r="AQ2" i="7"/>
  <c r="AO2" i="7"/>
  <c r="AN2" i="7"/>
  <c r="AL2" i="7"/>
  <c r="AJ2" i="7"/>
  <c r="AH2" i="7"/>
  <c r="AF2" i="7"/>
  <c r="AD2" i="7"/>
  <c r="AB2" i="7"/>
  <c r="Z2" i="7"/>
  <c r="X2" i="7"/>
  <c r="V2" i="7"/>
  <c r="T2" i="7"/>
  <c r="R2" i="7"/>
  <c r="P2" i="7"/>
  <c r="N2" i="7"/>
  <c r="L2" i="7"/>
  <c r="BP145" i="6" l="1"/>
  <c r="BE145" i="6"/>
  <c r="AZ145" i="6"/>
  <c r="AU145" i="6"/>
  <c r="AM145" i="6"/>
  <c r="AK145" i="6"/>
  <c r="AI145" i="6"/>
  <c r="AH145" i="6"/>
  <c r="AF145" i="6"/>
  <c r="AD145" i="6"/>
  <c r="AB145" i="6"/>
  <c r="Z145" i="6"/>
  <c r="X145" i="6"/>
  <c r="V145" i="6"/>
  <c r="T145" i="6"/>
  <c r="R145" i="6"/>
  <c r="P145" i="6"/>
  <c r="N145" i="6"/>
  <c r="L145" i="6"/>
  <c r="AZ144" i="6"/>
  <c r="AU144" i="6"/>
  <c r="AM144" i="6"/>
  <c r="AK144" i="6"/>
  <c r="AI144" i="6"/>
  <c r="BP144" i="6" s="1"/>
  <c r="AH144" i="6"/>
  <c r="AF144" i="6"/>
  <c r="AD144" i="6"/>
  <c r="AB144" i="6"/>
  <c r="Z144" i="6"/>
  <c r="X144" i="6"/>
  <c r="V144" i="6"/>
  <c r="T144" i="6"/>
  <c r="R144" i="6"/>
  <c r="P144" i="6"/>
  <c r="N144" i="6"/>
  <c r="L144" i="6"/>
  <c r="BP143" i="6"/>
  <c r="AM143" i="6"/>
  <c r="AK143" i="6"/>
  <c r="AI143" i="6"/>
  <c r="AH143" i="6"/>
  <c r="AF143" i="6"/>
  <c r="AD143" i="6"/>
  <c r="AB143" i="6"/>
  <c r="Z143" i="6"/>
  <c r="X143" i="6"/>
  <c r="V143" i="6"/>
  <c r="T143" i="6"/>
  <c r="R143" i="6"/>
  <c r="P143" i="6"/>
  <c r="N143" i="6"/>
  <c r="L143" i="6"/>
  <c r="AZ142" i="6"/>
  <c r="AU142" i="6"/>
  <c r="AM142" i="6"/>
  <c r="AK142" i="6"/>
  <c r="AI142" i="6"/>
  <c r="BP142" i="6" s="1"/>
  <c r="AH142" i="6"/>
  <c r="AF142" i="6"/>
  <c r="AD142" i="6"/>
  <c r="AB142" i="6"/>
  <c r="Z142" i="6"/>
  <c r="X142" i="6"/>
  <c r="V142" i="6"/>
  <c r="T142" i="6"/>
  <c r="R142" i="6"/>
  <c r="P142" i="6"/>
  <c r="N142" i="6"/>
  <c r="L142" i="6"/>
  <c r="BE141" i="6"/>
  <c r="AZ141" i="6"/>
  <c r="AU141" i="6"/>
  <c r="AM141" i="6"/>
  <c r="AK141" i="6"/>
  <c r="AI141" i="6"/>
  <c r="BP141" i="6" s="1"/>
  <c r="AH141" i="6"/>
  <c r="AF141" i="6"/>
  <c r="AD141" i="6"/>
  <c r="AB141" i="6"/>
  <c r="Z141" i="6"/>
  <c r="X141" i="6"/>
  <c r="V141" i="6"/>
  <c r="T141" i="6"/>
  <c r="R141" i="6"/>
  <c r="P141" i="6"/>
  <c r="N141" i="6"/>
  <c r="L141" i="6"/>
  <c r="BP140" i="6"/>
  <c r="AZ140" i="6"/>
  <c r="AU140" i="6"/>
  <c r="AM140" i="6"/>
  <c r="AK140" i="6"/>
  <c r="AI140" i="6"/>
  <c r="AH140" i="6"/>
  <c r="AF140" i="6"/>
  <c r="AD140" i="6"/>
  <c r="AB140" i="6"/>
  <c r="Z140" i="6"/>
  <c r="X140" i="6"/>
  <c r="V140" i="6"/>
  <c r="T140" i="6"/>
  <c r="R140" i="6"/>
  <c r="P140" i="6"/>
  <c r="N140" i="6"/>
  <c r="L140" i="6"/>
  <c r="BP139" i="6"/>
  <c r="BE139" i="6"/>
  <c r="AZ139" i="6"/>
  <c r="AU139" i="6"/>
  <c r="AM139" i="6"/>
  <c r="AK139" i="6"/>
  <c r="AI139" i="6"/>
  <c r="AH139" i="6"/>
  <c r="AF139" i="6"/>
  <c r="AD139" i="6"/>
  <c r="AB139" i="6"/>
  <c r="Z139" i="6"/>
  <c r="X139" i="6"/>
  <c r="V139" i="6"/>
  <c r="T139" i="6"/>
  <c r="R139" i="6"/>
  <c r="P139" i="6"/>
  <c r="N139" i="6"/>
  <c r="L139" i="6"/>
  <c r="BP138" i="6"/>
  <c r="AZ138" i="6"/>
  <c r="AU138" i="6"/>
  <c r="AM138" i="6"/>
  <c r="AK138" i="6"/>
  <c r="AI138" i="6"/>
  <c r="AH138" i="6"/>
  <c r="AF138" i="6"/>
  <c r="AD138" i="6"/>
  <c r="AB138" i="6"/>
  <c r="Z138" i="6"/>
  <c r="X138" i="6"/>
  <c r="V138" i="6"/>
  <c r="T138" i="6"/>
  <c r="R138" i="6"/>
  <c r="P138" i="6"/>
  <c r="N138" i="6"/>
  <c r="L138" i="6"/>
  <c r="BP137" i="6"/>
  <c r="AZ137" i="6"/>
  <c r="AU137" i="6"/>
  <c r="AM137" i="6"/>
  <c r="AK137" i="6"/>
  <c r="AI137" i="6"/>
  <c r="AH137" i="6"/>
  <c r="AF137" i="6"/>
  <c r="AD137" i="6"/>
  <c r="AB137" i="6"/>
  <c r="Z137" i="6"/>
  <c r="X137" i="6"/>
  <c r="V137" i="6"/>
  <c r="T137" i="6"/>
  <c r="R137" i="6"/>
  <c r="P137" i="6"/>
  <c r="N137" i="6"/>
  <c r="L137" i="6"/>
  <c r="BP136" i="6"/>
  <c r="AZ136" i="6"/>
  <c r="AU136" i="6"/>
  <c r="AM136" i="6"/>
  <c r="AK136" i="6"/>
  <c r="AI136" i="6"/>
  <c r="AH136" i="6"/>
  <c r="AF136" i="6"/>
  <c r="AD136" i="6"/>
  <c r="AB136" i="6"/>
  <c r="Z136" i="6"/>
  <c r="X136" i="6"/>
  <c r="V136" i="6"/>
  <c r="T136" i="6"/>
  <c r="R136" i="6"/>
  <c r="P136" i="6"/>
  <c r="N136" i="6"/>
  <c r="L136" i="6"/>
  <c r="BP135" i="6"/>
  <c r="AZ135" i="6"/>
  <c r="AU135" i="6"/>
  <c r="AM135" i="6"/>
  <c r="AK135" i="6"/>
  <c r="AI135" i="6"/>
  <c r="AH135" i="6"/>
  <c r="AF135" i="6"/>
  <c r="AD135" i="6"/>
  <c r="AB135" i="6"/>
  <c r="Z135" i="6"/>
  <c r="X135" i="6"/>
  <c r="V135" i="6"/>
  <c r="T135" i="6"/>
  <c r="R135" i="6"/>
  <c r="P135" i="6"/>
  <c r="N135" i="6"/>
  <c r="L135" i="6"/>
  <c r="BP134" i="6"/>
  <c r="AZ134" i="6"/>
  <c r="AU134" i="6"/>
  <c r="AM134" i="6"/>
  <c r="AK134" i="6"/>
  <c r="AI134" i="6"/>
  <c r="AH134" i="6"/>
  <c r="AF134" i="6"/>
  <c r="AD134" i="6"/>
  <c r="AB134" i="6"/>
  <c r="Z134" i="6"/>
  <c r="X134" i="6"/>
  <c r="V134" i="6"/>
  <c r="T134" i="6"/>
  <c r="R134" i="6"/>
  <c r="P134" i="6"/>
  <c r="N134" i="6"/>
  <c r="L134" i="6"/>
  <c r="BP133" i="6"/>
  <c r="AZ133" i="6"/>
  <c r="AU133" i="6"/>
  <c r="AM133" i="6"/>
  <c r="AK133" i="6"/>
  <c r="AI133" i="6"/>
  <c r="AH133" i="6"/>
  <c r="AF133" i="6"/>
  <c r="AD133" i="6"/>
  <c r="AB133" i="6"/>
  <c r="Z133" i="6"/>
  <c r="X133" i="6"/>
  <c r="V133" i="6"/>
  <c r="T133" i="6"/>
  <c r="R133" i="6"/>
  <c r="P133" i="6"/>
  <c r="N133" i="6"/>
  <c r="L133" i="6"/>
  <c r="BP132" i="6"/>
  <c r="AZ132" i="6"/>
  <c r="AU132" i="6"/>
  <c r="AM132" i="6"/>
  <c r="AK132" i="6"/>
  <c r="AI132" i="6"/>
  <c r="AH132" i="6"/>
  <c r="AF132" i="6"/>
  <c r="AD132" i="6"/>
  <c r="AB132" i="6"/>
  <c r="Z132" i="6"/>
  <c r="X132" i="6"/>
  <c r="V132" i="6"/>
  <c r="T132" i="6"/>
  <c r="R132" i="6"/>
  <c r="P132" i="6"/>
  <c r="N132" i="6"/>
  <c r="L132" i="6"/>
  <c r="BP131" i="6"/>
  <c r="AZ131" i="6"/>
  <c r="AU131" i="6"/>
  <c r="AM131" i="6"/>
  <c r="AK131" i="6"/>
  <c r="AI131" i="6"/>
  <c r="AH131" i="6"/>
  <c r="AF131" i="6"/>
  <c r="AD131" i="6"/>
  <c r="AB131" i="6"/>
  <c r="Z131" i="6"/>
  <c r="X131" i="6"/>
  <c r="V131" i="6"/>
  <c r="T131" i="6"/>
  <c r="R131" i="6"/>
  <c r="P131" i="6"/>
  <c r="N131" i="6"/>
  <c r="L131" i="6"/>
  <c r="BE130" i="6"/>
  <c r="AZ130" i="6"/>
  <c r="AU130" i="6"/>
  <c r="AM130" i="6"/>
  <c r="AK130" i="6"/>
  <c r="AI130" i="6"/>
  <c r="BP130" i="6" s="1"/>
  <c r="AH130" i="6"/>
  <c r="AF130" i="6"/>
  <c r="AD130" i="6"/>
  <c r="AB130" i="6"/>
  <c r="Z130" i="6"/>
  <c r="X130" i="6"/>
  <c r="V130" i="6"/>
  <c r="T130" i="6"/>
  <c r="R130" i="6"/>
  <c r="P130" i="6"/>
  <c r="N130" i="6"/>
  <c r="L130" i="6"/>
  <c r="AZ129" i="6"/>
  <c r="AU129" i="6"/>
  <c r="AM129" i="6"/>
  <c r="AK129" i="6"/>
  <c r="AI129" i="6"/>
  <c r="BP129" i="6" s="1"/>
  <c r="AH129" i="6"/>
  <c r="AF129" i="6"/>
  <c r="AD129" i="6"/>
  <c r="AB129" i="6"/>
  <c r="Z129" i="6"/>
  <c r="X129" i="6"/>
  <c r="V129" i="6"/>
  <c r="T129" i="6"/>
  <c r="R129" i="6"/>
  <c r="P129" i="6"/>
  <c r="N129" i="6"/>
  <c r="L129" i="6"/>
  <c r="BP128" i="6"/>
  <c r="AZ128" i="6"/>
  <c r="AU128" i="6"/>
  <c r="AM128" i="6"/>
  <c r="AK128" i="6"/>
  <c r="AI128" i="6"/>
  <c r="AH128" i="6"/>
  <c r="AF128" i="6"/>
  <c r="AD128" i="6"/>
  <c r="AB128" i="6"/>
  <c r="Z128" i="6"/>
  <c r="X128" i="6"/>
  <c r="V128" i="6"/>
  <c r="T128" i="6"/>
  <c r="R128" i="6"/>
  <c r="P128" i="6"/>
  <c r="N128" i="6"/>
  <c r="L128" i="6"/>
  <c r="AZ127" i="6"/>
  <c r="AU127" i="6"/>
  <c r="AM127" i="6"/>
  <c r="AK127" i="6"/>
  <c r="AI127" i="6"/>
  <c r="BP127" i="6" s="1"/>
  <c r="AH127" i="6"/>
  <c r="AF127" i="6"/>
  <c r="AD127" i="6"/>
  <c r="AB127" i="6"/>
  <c r="Z127" i="6"/>
  <c r="X127" i="6"/>
  <c r="V127" i="6"/>
  <c r="T127" i="6"/>
  <c r="R127" i="6"/>
  <c r="P127" i="6"/>
  <c r="N127" i="6"/>
  <c r="L127" i="6"/>
  <c r="BP126" i="6"/>
  <c r="AZ126" i="6"/>
  <c r="AU126" i="6"/>
  <c r="AM126" i="6"/>
  <c r="AK126" i="6"/>
  <c r="AI126" i="6"/>
  <c r="AH126" i="6"/>
  <c r="AF126" i="6"/>
  <c r="AD126" i="6"/>
  <c r="AB126" i="6"/>
  <c r="Z126" i="6"/>
  <c r="X126" i="6"/>
  <c r="V126" i="6"/>
  <c r="T126" i="6"/>
  <c r="R126" i="6"/>
  <c r="P126" i="6"/>
  <c r="N126" i="6"/>
  <c r="L126" i="6"/>
  <c r="AZ125" i="6"/>
  <c r="AU125" i="6"/>
  <c r="AM125" i="6"/>
  <c r="AK125" i="6"/>
  <c r="AI125" i="6"/>
  <c r="BP125" i="6" s="1"/>
  <c r="AH125" i="6"/>
  <c r="AF125" i="6"/>
  <c r="AD125" i="6"/>
  <c r="AB125" i="6"/>
  <c r="Z125" i="6"/>
  <c r="X125" i="6"/>
  <c r="V125" i="6"/>
  <c r="T125" i="6"/>
  <c r="R125" i="6"/>
  <c r="P125" i="6"/>
  <c r="N125" i="6"/>
  <c r="L125" i="6"/>
  <c r="BP124" i="6"/>
  <c r="AZ124" i="6"/>
  <c r="AU124" i="6"/>
  <c r="AM124" i="6"/>
  <c r="AK124" i="6"/>
  <c r="AI124" i="6"/>
  <c r="AH124" i="6"/>
  <c r="AF124" i="6"/>
  <c r="AD124" i="6"/>
  <c r="AB124" i="6"/>
  <c r="Z124" i="6"/>
  <c r="X124" i="6"/>
  <c r="V124" i="6"/>
  <c r="T124" i="6"/>
  <c r="R124" i="6"/>
  <c r="P124" i="6"/>
  <c r="N124" i="6"/>
  <c r="L124" i="6"/>
  <c r="AZ123" i="6"/>
  <c r="AU123" i="6"/>
  <c r="AM123" i="6"/>
  <c r="AK123" i="6"/>
  <c r="AI123" i="6"/>
  <c r="BP123" i="6" s="1"/>
  <c r="AH123" i="6"/>
  <c r="AF123" i="6"/>
  <c r="AD123" i="6"/>
  <c r="AB123" i="6"/>
  <c r="Z123" i="6"/>
  <c r="X123" i="6"/>
  <c r="V123" i="6"/>
  <c r="T123" i="6"/>
  <c r="R123" i="6"/>
  <c r="P123" i="6"/>
  <c r="N123" i="6"/>
  <c r="L123" i="6"/>
  <c r="BP122" i="6"/>
  <c r="AZ122" i="6"/>
  <c r="AU122" i="6"/>
  <c r="AM122" i="6"/>
  <c r="AK122" i="6"/>
  <c r="AI122" i="6"/>
  <c r="AH122" i="6"/>
  <c r="AF122" i="6"/>
  <c r="AD122" i="6"/>
  <c r="AB122" i="6"/>
  <c r="Z122" i="6"/>
  <c r="X122" i="6"/>
  <c r="V122" i="6"/>
  <c r="T122" i="6"/>
  <c r="R122" i="6"/>
  <c r="P122" i="6"/>
  <c r="N122" i="6"/>
  <c r="L122" i="6"/>
  <c r="AZ121" i="6"/>
  <c r="AU121" i="6"/>
  <c r="AM121" i="6"/>
  <c r="AK121" i="6"/>
  <c r="AI121" i="6"/>
  <c r="BP121" i="6" s="1"/>
  <c r="AH121" i="6"/>
  <c r="AF121" i="6"/>
  <c r="AD121" i="6"/>
  <c r="AB121" i="6"/>
  <c r="Z121" i="6"/>
  <c r="X121" i="6"/>
  <c r="V121" i="6"/>
  <c r="T121" i="6"/>
  <c r="R121" i="6"/>
  <c r="P121" i="6"/>
  <c r="N121" i="6"/>
  <c r="L121" i="6"/>
  <c r="BP120" i="6"/>
  <c r="AZ120" i="6"/>
  <c r="AU120" i="6"/>
  <c r="AM120" i="6"/>
  <c r="AK120" i="6"/>
  <c r="AI120" i="6"/>
  <c r="AH120" i="6"/>
  <c r="AF120" i="6"/>
  <c r="AD120" i="6"/>
  <c r="AB120" i="6"/>
  <c r="Z120" i="6"/>
  <c r="X120" i="6"/>
  <c r="V120" i="6"/>
  <c r="T120" i="6"/>
  <c r="R120" i="6"/>
  <c r="P120" i="6"/>
  <c r="N120" i="6"/>
  <c r="L120" i="6"/>
  <c r="AZ119" i="6"/>
  <c r="AU119" i="6"/>
  <c r="AM119" i="6"/>
  <c r="AK119" i="6"/>
  <c r="AI119" i="6"/>
  <c r="BP119" i="6" s="1"/>
  <c r="AH119" i="6"/>
  <c r="AF119" i="6"/>
  <c r="AD119" i="6"/>
  <c r="AB119" i="6"/>
  <c r="Z119" i="6"/>
  <c r="X119" i="6"/>
  <c r="V119" i="6"/>
  <c r="T119" i="6"/>
  <c r="R119" i="6"/>
  <c r="P119" i="6"/>
  <c r="N119" i="6"/>
  <c r="L119" i="6"/>
  <c r="BP118" i="6"/>
  <c r="AZ118" i="6"/>
  <c r="AU118" i="6"/>
  <c r="AM118" i="6"/>
  <c r="AK118" i="6"/>
  <c r="AI118" i="6"/>
  <c r="AH118" i="6"/>
  <c r="AF118" i="6"/>
  <c r="AD118" i="6"/>
  <c r="AB118" i="6"/>
  <c r="Z118" i="6"/>
  <c r="X118" i="6"/>
  <c r="V118" i="6"/>
  <c r="T118" i="6"/>
  <c r="R118" i="6"/>
  <c r="P118" i="6"/>
  <c r="N118" i="6"/>
  <c r="L118" i="6"/>
  <c r="AZ117" i="6"/>
  <c r="AU117" i="6"/>
  <c r="AM117" i="6"/>
  <c r="AK117" i="6"/>
  <c r="AI117" i="6"/>
  <c r="BP117" i="6" s="1"/>
  <c r="AH117" i="6"/>
  <c r="AF117" i="6"/>
  <c r="AD117" i="6"/>
  <c r="AB117" i="6"/>
  <c r="Z117" i="6"/>
  <c r="X117" i="6"/>
  <c r="V117" i="6"/>
  <c r="T117" i="6"/>
  <c r="R117" i="6"/>
  <c r="P117" i="6"/>
  <c r="N117" i="6"/>
  <c r="L117" i="6"/>
  <c r="BP116" i="6"/>
  <c r="AZ116" i="6"/>
  <c r="AU116" i="6"/>
  <c r="AM116" i="6"/>
  <c r="AK116" i="6"/>
  <c r="AI116" i="6"/>
  <c r="AH116" i="6"/>
  <c r="AF116" i="6"/>
  <c r="AD116" i="6"/>
  <c r="AB116" i="6"/>
  <c r="Z116" i="6"/>
  <c r="X116" i="6"/>
  <c r="V116" i="6"/>
  <c r="T116" i="6"/>
  <c r="R116" i="6"/>
  <c r="P116" i="6"/>
  <c r="N116" i="6"/>
  <c r="L116" i="6"/>
  <c r="AZ115" i="6"/>
  <c r="AU115" i="6"/>
  <c r="AM115" i="6"/>
  <c r="AK115" i="6"/>
  <c r="AI115" i="6"/>
  <c r="BP115" i="6" s="1"/>
  <c r="AH115" i="6"/>
  <c r="AF115" i="6"/>
  <c r="AD115" i="6"/>
  <c r="AB115" i="6"/>
  <c r="Z115" i="6"/>
  <c r="X115" i="6"/>
  <c r="V115" i="6"/>
  <c r="T115" i="6"/>
  <c r="R115" i="6"/>
  <c r="P115" i="6"/>
  <c r="N115" i="6"/>
  <c r="L115" i="6"/>
  <c r="BP114" i="6"/>
  <c r="AZ114" i="6"/>
  <c r="AU114" i="6"/>
  <c r="AM114" i="6"/>
  <c r="AK114" i="6"/>
  <c r="AI114" i="6"/>
  <c r="AH114" i="6"/>
  <c r="AF114" i="6"/>
  <c r="AD114" i="6"/>
  <c r="AB114" i="6"/>
  <c r="Z114" i="6"/>
  <c r="X114" i="6"/>
  <c r="V114" i="6"/>
  <c r="T114" i="6"/>
  <c r="R114" i="6"/>
  <c r="P114" i="6"/>
  <c r="N114" i="6"/>
  <c r="L114" i="6"/>
  <c r="AZ113" i="6"/>
  <c r="AU113" i="6"/>
  <c r="AM113" i="6"/>
  <c r="AK113" i="6"/>
  <c r="AI113" i="6"/>
  <c r="BP113" i="6" s="1"/>
  <c r="AH113" i="6"/>
  <c r="AF113" i="6"/>
  <c r="AD113" i="6"/>
  <c r="AB113" i="6"/>
  <c r="Z113" i="6"/>
  <c r="X113" i="6"/>
  <c r="V113" i="6"/>
  <c r="T113" i="6"/>
  <c r="R113" i="6"/>
  <c r="P113" i="6"/>
  <c r="N113" i="6"/>
  <c r="L113" i="6"/>
  <c r="BP112" i="6"/>
  <c r="AZ112" i="6"/>
  <c r="AU112" i="6"/>
  <c r="AM112" i="6"/>
  <c r="AK112" i="6"/>
  <c r="AI112" i="6"/>
  <c r="AH112" i="6"/>
  <c r="AF112" i="6"/>
  <c r="AD112" i="6"/>
  <c r="AB112" i="6"/>
  <c r="Z112" i="6"/>
  <c r="X112" i="6"/>
  <c r="V112" i="6"/>
  <c r="T112" i="6"/>
  <c r="R112" i="6"/>
  <c r="P112" i="6"/>
  <c r="N112" i="6"/>
  <c r="L112" i="6"/>
  <c r="AZ111" i="6"/>
  <c r="AU111" i="6"/>
  <c r="AM111" i="6"/>
  <c r="AK111" i="6"/>
  <c r="AI111" i="6"/>
  <c r="BP111" i="6" s="1"/>
  <c r="BQ111" i="6" s="1"/>
  <c r="AH111" i="6"/>
  <c r="AF111" i="6"/>
  <c r="AD111" i="6"/>
  <c r="AB111" i="6"/>
  <c r="Z111" i="6"/>
  <c r="X111" i="6"/>
  <c r="V111" i="6"/>
  <c r="T111" i="6"/>
  <c r="R111" i="6"/>
  <c r="P111" i="6"/>
  <c r="N111" i="6"/>
  <c r="L111" i="6"/>
  <c r="BP110" i="6"/>
  <c r="AZ110" i="6"/>
  <c r="AU110" i="6"/>
  <c r="AM110" i="6"/>
  <c r="AK110" i="6"/>
  <c r="AI110" i="6"/>
  <c r="AH110" i="6"/>
  <c r="AF110" i="6"/>
  <c r="AD110" i="6"/>
  <c r="AB110" i="6"/>
  <c r="Z110" i="6"/>
  <c r="X110" i="6"/>
  <c r="V110" i="6"/>
  <c r="T110" i="6"/>
  <c r="R110" i="6"/>
  <c r="P110" i="6"/>
  <c r="N110" i="6"/>
  <c r="L110" i="6"/>
  <c r="AZ109" i="6"/>
  <c r="AU109" i="6"/>
  <c r="AM109" i="6"/>
  <c r="AK109" i="6"/>
  <c r="AI109" i="6"/>
  <c r="BP109" i="6" s="1"/>
  <c r="AH109" i="6"/>
  <c r="AF109" i="6"/>
  <c r="AD109" i="6"/>
  <c r="AB109" i="6"/>
  <c r="Z109" i="6"/>
  <c r="X109" i="6"/>
  <c r="V109" i="6"/>
  <c r="T109" i="6"/>
  <c r="R109" i="6"/>
  <c r="P109" i="6"/>
  <c r="N109" i="6"/>
  <c r="L109" i="6"/>
  <c r="BP108" i="6"/>
  <c r="AZ108" i="6"/>
  <c r="AU108" i="6"/>
  <c r="AM108" i="6"/>
  <c r="AK108" i="6"/>
  <c r="AI108" i="6"/>
  <c r="AH108" i="6"/>
  <c r="AF108" i="6"/>
  <c r="AD108" i="6"/>
  <c r="AB108" i="6"/>
  <c r="Z108" i="6"/>
  <c r="X108" i="6"/>
  <c r="V108" i="6"/>
  <c r="T108" i="6"/>
  <c r="R108" i="6"/>
  <c r="P108" i="6"/>
  <c r="N108" i="6"/>
  <c r="L108" i="6"/>
  <c r="AZ107" i="6"/>
  <c r="AU107" i="6"/>
  <c r="AM107" i="6"/>
  <c r="AK107" i="6"/>
  <c r="AI107" i="6"/>
  <c r="BP107" i="6" s="1"/>
  <c r="AH107" i="6"/>
  <c r="AF107" i="6"/>
  <c r="AD107" i="6"/>
  <c r="AB107" i="6"/>
  <c r="Z107" i="6"/>
  <c r="X107" i="6"/>
  <c r="V107" i="6"/>
  <c r="T107" i="6"/>
  <c r="R107" i="6"/>
  <c r="P107" i="6"/>
  <c r="N107" i="6"/>
  <c r="L107" i="6"/>
  <c r="BP106" i="6"/>
  <c r="AZ106" i="6"/>
  <c r="AU106" i="6"/>
  <c r="AM106" i="6"/>
  <c r="AK106" i="6"/>
  <c r="AI106" i="6"/>
  <c r="AH106" i="6"/>
  <c r="AF106" i="6"/>
  <c r="AD106" i="6"/>
  <c r="AB106" i="6"/>
  <c r="Z106" i="6"/>
  <c r="X106" i="6"/>
  <c r="V106" i="6"/>
  <c r="T106" i="6"/>
  <c r="R106" i="6"/>
  <c r="P106" i="6"/>
  <c r="N106" i="6"/>
  <c r="L106" i="6"/>
  <c r="AZ105" i="6"/>
  <c r="AU105" i="6"/>
  <c r="AM105" i="6"/>
  <c r="AK105" i="6"/>
  <c r="AI105" i="6"/>
  <c r="BP105" i="6" s="1"/>
  <c r="AH105" i="6"/>
  <c r="AF105" i="6"/>
  <c r="AD105" i="6"/>
  <c r="AB105" i="6"/>
  <c r="Z105" i="6"/>
  <c r="X105" i="6"/>
  <c r="V105" i="6"/>
  <c r="T105" i="6"/>
  <c r="R105" i="6"/>
  <c r="P105" i="6"/>
  <c r="N105" i="6"/>
  <c r="L105" i="6"/>
  <c r="BP104" i="6"/>
  <c r="AZ104" i="6"/>
  <c r="AU104" i="6"/>
  <c r="AM104" i="6"/>
  <c r="AK104" i="6"/>
  <c r="AI104" i="6"/>
  <c r="AH104" i="6"/>
  <c r="AF104" i="6"/>
  <c r="AD104" i="6"/>
  <c r="AB104" i="6"/>
  <c r="Z104" i="6"/>
  <c r="X104" i="6"/>
  <c r="V104" i="6"/>
  <c r="T104" i="6"/>
  <c r="R104" i="6"/>
  <c r="P104" i="6"/>
  <c r="N104" i="6"/>
  <c r="L104" i="6"/>
  <c r="AZ103" i="6"/>
  <c r="AU103" i="6"/>
  <c r="AM103" i="6"/>
  <c r="AK103" i="6"/>
  <c r="AI103" i="6"/>
  <c r="BP103" i="6" s="1"/>
  <c r="AH103" i="6"/>
  <c r="AF103" i="6"/>
  <c r="AD103" i="6"/>
  <c r="AB103" i="6"/>
  <c r="Z103" i="6"/>
  <c r="X103" i="6"/>
  <c r="V103" i="6"/>
  <c r="T103" i="6"/>
  <c r="R103" i="6"/>
  <c r="P103" i="6"/>
  <c r="N103" i="6"/>
  <c r="L103" i="6"/>
  <c r="BP102" i="6"/>
  <c r="AZ102" i="6"/>
  <c r="AU102" i="6"/>
  <c r="AM102" i="6"/>
  <c r="AK102" i="6"/>
  <c r="AI102" i="6"/>
  <c r="AH102" i="6"/>
  <c r="AF102" i="6"/>
  <c r="AD102" i="6"/>
  <c r="AB102" i="6"/>
  <c r="Z102" i="6"/>
  <c r="X102" i="6"/>
  <c r="V102" i="6"/>
  <c r="T102" i="6"/>
  <c r="R102" i="6"/>
  <c r="P102" i="6"/>
  <c r="N102" i="6"/>
  <c r="L102" i="6"/>
  <c r="AZ101" i="6"/>
  <c r="AU101" i="6"/>
  <c r="AM101" i="6"/>
  <c r="AK101" i="6"/>
  <c r="AI101" i="6"/>
  <c r="BP101" i="6" s="1"/>
  <c r="AH101" i="6"/>
  <c r="AF101" i="6"/>
  <c r="AD101" i="6"/>
  <c r="AB101" i="6"/>
  <c r="Z101" i="6"/>
  <c r="X101" i="6"/>
  <c r="V101" i="6"/>
  <c r="T101" i="6"/>
  <c r="R101" i="6"/>
  <c r="P101" i="6"/>
  <c r="N101" i="6"/>
  <c r="L101" i="6"/>
  <c r="BP100" i="6"/>
  <c r="AZ100" i="6"/>
  <c r="AU100" i="6"/>
  <c r="AM100" i="6"/>
  <c r="AK100" i="6"/>
  <c r="AI100" i="6"/>
  <c r="AH100" i="6"/>
  <c r="AF100" i="6"/>
  <c r="AD100" i="6"/>
  <c r="AB100" i="6"/>
  <c r="Z100" i="6"/>
  <c r="X100" i="6"/>
  <c r="V100" i="6"/>
  <c r="T100" i="6"/>
  <c r="R100" i="6"/>
  <c r="P100" i="6"/>
  <c r="N100" i="6"/>
  <c r="L100" i="6"/>
  <c r="AZ99" i="6"/>
  <c r="AU99" i="6"/>
  <c r="AM99" i="6"/>
  <c r="AK99" i="6"/>
  <c r="AI99" i="6"/>
  <c r="BP99" i="6" s="1"/>
  <c r="AH99" i="6"/>
  <c r="AF99" i="6"/>
  <c r="AD99" i="6"/>
  <c r="AB99" i="6"/>
  <c r="Z99" i="6"/>
  <c r="X99" i="6"/>
  <c r="V99" i="6"/>
  <c r="T99" i="6"/>
  <c r="R99" i="6"/>
  <c r="P99" i="6"/>
  <c r="N99" i="6"/>
  <c r="L99" i="6"/>
  <c r="BP98" i="6"/>
  <c r="AZ98" i="6"/>
  <c r="AU98" i="6"/>
  <c r="AM98" i="6"/>
  <c r="AK98" i="6"/>
  <c r="AI98" i="6"/>
  <c r="AH98" i="6"/>
  <c r="AF98" i="6"/>
  <c r="AD98" i="6"/>
  <c r="AB98" i="6"/>
  <c r="Z98" i="6"/>
  <c r="X98" i="6"/>
  <c r="V98" i="6"/>
  <c r="T98" i="6"/>
  <c r="R98" i="6"/>
  <c r="P98" i="6"/>
  <c r="N98" i="6"/>
  <c r="L98" i="6"/>
  <c r="AZ97" i="6"/>
  <c r="AU97" i="6"/>
  <c r="AM97" i="6"/>
  <c r="AK97" i="6"/>
  <c r="AI97" i="6"/>
  <c r="BP97" i="6" s="1"/>
  <c r="AH97" i="6"/>
  <c r="AF97" i="6"/>
  <c r="AD97" i="6"/>
  <c r="AB97" i="6"/>
  <c r="Z97" i="6"/>
  <c r="X97" i="6"/>
  <c r="V97" i="6"/>
  <c r="T97" i="6"/>
  <c r="R97" i="6"/>
  <c r="P97" i="6"/>
  <c r="N97" i="6"/>
  <c r="L97" i="6"/>
  <c r="BP96" i="6"/>
  <c r="AZ96" i="6"/>
  <c r="AU96" i="6"/>
  <c r="AM96" i="6"/>
  <c r="AK96" i="6"/>
  <c r="AI96" i="6"/>
  <c r="AH96" i="6"/>
  <c r="AF96" i="6"/>
  <c r="AD96" i="6"/>
  <c r="AB96" i="6"/>
  <c r="Z96" i="6"/>
  <c r="X96" i="6"/>
  <c r="V96" i="6"/>
  <c r="T96" i="6"/>
  <c r="R96" i="6"/>
  <c r="P96" i="6"/>
  <c r="N96" i="6"/>
  <c r="L96" i="6"/>
  <c r="AZ95" i="6"/>
  <c r="AU95" i="6"/>
  <c r="AM95" i="6"/>
  <c r="AK95" i="6"/>
  <c r="AI95" i="6"/>
  <c r="BP95" i="6" s="1"/>
  <c r="AH95" i="6"/>
  <c r="AF95" i="6"/>
  <c r="AD95" i="6"/>
  <c r="AB95" i="6"/>
  <c r="Z95" i="6"/>
  <c r="X95" i="6"/>
  <c r="V95" i="6"/>
  <c r="T95" i="6"/>
  <c r="R95" i="6"/>
  <c r="P95" i="6"/>
  <c r="N95" i="6"/>
  <c r="L95" i="6"/>
  <c r="BP94" i="6"/>
  <c r="AZ94" i="6"/>
  <c r="AU94" i="6"/>
  <c r="AM94" i="6"/>
  <c r="AK94" i="6"/>
  <c r="AI94" i="6"/>
  <c r="AH94" i="6"/>
  <c r="AF94" i="6"/>
  <c r="AD94" i="6"/>
  <c r="AB94" i="6"/>
  <c r="Z94" i="6"/>
  <c r="X94" i="6"/>
  <c r="V94" i="6"/>
  <c r="T94" i="6"/>
  <c r="R94" i="6"/>
  <c r="P94" i="6"/>
  <c r="N94" i="6"/>
  <c r="L94" i="6"/>
  <c r="AZ93" i="6"/>
  <c r="AU93" i="6"/>
  <c r="AM93" i="6"/>
  <c r="AK93" i="6"/>
  <c r="AI93" i="6"/>
  <c r="BP93" i="6" s="1"/>
  <c r="AH93" i="6"/>
  <c r="AF93" i="6"/>
  <c r="AD93" i="6"/>
  <c r="AB93" i="6"/>
  <c r="Z93" i="6"/>
  <c r="X93" i="6"/>
  <c r="V93" i="6"/>
  <c r="T93" i="6"/>
  <c r="R93" i="6"/>
  <c r="P93" i="6"/>
  <c r="N93" i="6"/>
  <c r="L93" i="6"/>
  <c r="BP92" i="6"/>
  <c r="AZ92" i="6"/>
  <c r="AU92" i="6"/>
  <c r="AM92" i="6"/>
  <c r="AK92" i="6"/>
  <c r="AI92" i="6"/>
  <c r="AH92" i="6"/>
  <c r="AF92" i="6"/>
  <c r="AD92" i="6"/>
  <c r="AB92" i="6"/>
  <c r="Z92" i="6"/>
  <c r="X92" i="6"/>
  <c r="V92" i="6"/>
  <c r="T92" i="6"/>
  <c r="R92" i="6"/>
  <c r="P92" i="6"/>
  <c r="N92" i="6"/>
  <c r="L92" i="6"/>
  <c r="AZ91" i="6"/>
  <c r="AU91" i="6"/>
  <c r="AM91" i="6"/>
  <c r="AK91" i="6"/>
  <c r="AI91" i="6"/>
  <c r="BP91" i="6" s="1"/>
  <c r="AH91" i="6"/>
  <c r="AF91" i="6"/>
  <c r="AD91" i="6"/>
  <c r="AB91" i="6"/>
  <c r="Z91" i="6"/>
  <c r="X91" i="6"/>
  <c r="V91" i="6"/>
  <c r="T91" i="6"/>
  <c r="R91" i="6"/>
  <c r="P91" i="6"/>
  <c r="N91" i="6"/>
  <c r="L91" i="6"/>
  <c r="BP90" i="6"/>
  <c r="AZ90" i="6"/>
  <c r="AU90" i="6"/>
  <c r="AM90" i="6"/>
  <c r="AK90" i="6"/>
  <c r="AI90" i="6"/>
  <c r="AH90" i="6"/>
  <c r="AF90" i="6"/>
  <c r="AD90" i="6"/>
  <c r="AB90" i="6"/>
  <c r="Z90" i="6"/>
  <c r="X90" i="6"/>
  <c r="V90" i="6"/>
  <c r="T90" i="6"/>
  <c r="R90" i="6"/>
  <c r="P90" i="6"/>
  <c r="N90" i="6"/>
  <c r="L90" i="6"/>
  <c r="AZ89" i="6"/>
  <c r="AU89" i="6"/>
  <c r="AM89" i="6"/>
  <c r="AK89" i="6"/>
  <c r="AI89" i="6"/>
  <c r="BP89" i="6" s="1"/>
  <c r="AH89" i="6"/>
  <c r="AF89" i="6"/>
  <c r="AD89" i="6"/>
  <c r="AB89" i="6"/>
  <c r="Z89" i="6"/>
  <c r="X89" i="6"/>
  <c r="V89" i="6"/>
  <c r="T89" i="6"/>
  <c r="R89" i="6"/>
  <c r="P89" i="6"/>
  <c r="N89" i="6"/>
  <c r="L89" i="6"/>
  <c r="BP88" i="6"/>
  <c r="AZ88" i="6"/>
  <c r="AU88" i="6"/>
  <c r="AM88" i="6"/>
  <c r="AK88" i="6"/>
  <c r="AI88" i="6"/>
  <c r="AH88" i="6"/>
  <c r="AF88" i="6"/>
  <c r="AD88" i="6"/>
  <c r="AB88" i="6"/>
  <c r="Z88" i="6"/>
  <c r="X88" i="6"/>
  <c r="V88" i="6"/>
  <c r="T88" i="6"/>
  <c r="R88" i="6"/>
  <c r="P88" i="6"/>
  <c r="N88" i="6"/>
  <c r="L88" i="6"/>
  <c r="AZ87" i="6"/>
  <c r="AU87" i="6"/>
  <c r="AM87" i="6"/>
  <c r="AK87" i="6"/>
  <c r="AI87" i="6"/>
  <c r="BP87" i="6" s="1"/>
  <c r="AH87" i="6"/>
  <c r="AF87" i="6"/>
  <c r="AD87" i="6"/>
  <c r="AB87" i="6"/>
  <c r="Z87" i="6"/>
  <c r="X87" i="6"/>
  <c r="V87" i="6"/>
  <c r="T87" i="6"/>
  <c r="R87" i="6"/>
  <c r="P87" i="6"/>
  <c r="N87" i="6"/>
  <c r="L87" i="6"/>
  <c r="BP86" i="6"/>
  <c r="AZ86" i="6"/>
  <c r="AU86" i="6"/>
  <c r="AM86" i="6"/>
  <c r="AK86" i="6"/>
  <c r="AI86" i="6"/>
  <c r="AH86" i="6"/>
  <c r="AF86" i="6"/>
  <c r="AD86" i="6"/>
  <c r="AB86" i="6"/>
  <c r="Z86" i="6"/>
  <c r="X86" i="6"/>
  <c r="V86" i="6"/>
  <c r="T86" i="6"/>
  <c r="R86" i="6"/>
  <c r="P86" i="6"/>
  <c r="N86" i="6"/>
  <c r="L86" i="6"/>
  <c r="AZ85" i="6"/>
  <c r="AU85" i="6"/>
  <c r="AM85" i="6"/>
  <c r="AK85" i="6"/>
  <c r="AI85" i="6"/>
  <c r="BP85" i="6" s="1"/>
  <c r="AH85" i="6"/>
  <c r="AF85" i="6"/>
  <c r="AD85" i="6"/>
  <c r="AB85" i="6"/>
  <c r="Z85" i="6"/>
  <c r="X85" i="6"/>
  <c r="V85" i="6"/>
  <c r="T85" i="6"/>
  <c r="R85" i="6"/>
  <c r="P85" i="6"/>
  <c r="N85" i="6"/>
  <c r="L85" i="6"/>
  <c r="BP84" i="6"/>
  <c r="AZ84" i="6"/>
  <c r="AU84" i="6"/>
  <c r="AM84" i="6"/>
  <c r="AK84" i="6"/>
  <c r="AI84" i="6"/>
  <c r="AH84" i="6"/>
  <c r="AF84" i="6"/>
  <c r="AD84" i="6"/>
  <c r="AB84" i="6"/>
  <c r="Z84" i="6"/>
  <c r="X84" i="6"/>
  <c r="V84" i="6"/>
  <c r="T84" i="6"/>
  <c r="R84" i="6"/>
  <c r="P84" i="6"/>
  <c r="N84" i="6"/>
  <c r="L84" i="6"/>
  <c r="AZ83" i="6"/>
  <c r="AU83" i="6"/>
  <c r="AM83" i="6"/>
  <c r="AK83" i="6"/>
  <c r="AI83" i="6"/>
  <c r="BP83" i="6" s="1"/>
  <c r="AH83" i="6"/>
  <c r="AF83" i="6"/>
  <c r="AD83" i="6"/>
  <c r="AB83" i="6"/>
  <c r="Z83" i="6"/>
  <c r="X83" i="6"/>
  <c r="V83" i="6"/>
  <c r="T83" i="6"/>
  <c r="R83" i="6"/>
  <c r="P83" i="6"/>
  <c r="N83" i="6"/>
  <c r="L83" i="6"/>
  <c r="BP82" i="6"/>
  <c r="AZ82" i="6"/>
  <c r="AU82" i="6"/>
  <c r="AM82" i="6"/>
  <c r="AK82" i="6"/>
  <c r="AI82" i="6"/>
  <c r="AH82" i="6"/>
  <c r="AF82" i="6"/>
  <c r="AD82" i="6"/>
  <c r="AB82" i="6"/>
  <c r="Z82" i="6"/>
  <c r="X82" i="6"/>
  <c r="V82" i="6"/>
  <c r="T82" i="6"/>
  <c r="R82" i="6"/>
  <c r="P82" i="6"/>
  <c r="N82" i="6"/>
  <c r="L82" i="6"/>
  <c r="AZ81" i="6"/>
  <c r="AU81" i="6"/>
  <c r="AM81" i="6"/>
  <c r="AK81" i="6"/>
  <c r="AI81" i="6"/>
  <c r="BP81" i="6" s="1"/>
  <c r="AH81" i="6"/>
  <c r="AF81" i="6"/>
  <c r="AD81" i="6"/>
  <c r="AB81" i="6"/>
  <c r="Z81" i="6"/>
  <c r="X81" i="6"/>
  <c r="V81" i="6"/>
  <c r="T81" i="6"/>
  <c r="R81" i="6"/>
  <c r="P81" i="6"/>
  <c r="N81" i="6"/>
  <c r="L81" i="6"/>
  <c r="BP80" i="6"/>
  <c r="AZ80" i="6"/>
  <c r="AU80" i="6"/>
  <c r="AM80" i="6"/>
  <c r="AK80" i="6"/>
  <c r="AI80" i="6"/>
  <c r="AH80" i="6"/>
  <c r="AF80" i="6"/>
  <c r="AD80" i="6"/>
  <c r="AB80" i="6"/>
  <c r="Z80" i="6"/>
  <c r="X80" i="6"/>
  <c r="V80" i="6"/>
  <c r="T80" i="6"/>
  <c r="R80" i="6"/>
  <c r="P80" i="6"/>
  <c r="N80" i="6"/>
  <c r="L80" i="6"/>
  <c r="AZ79" i="6"/>
  <c r="AU79" i="6"/>
  <c r="AM79" i="6"/>
  <c r="AK79" i="6"/>
  <c r="AI79" i="6"/>
  <c r="BP79" i="6" s="1"/>
  <c r="BQ79" i="6" s="1"/>
  <c r="AH79" i="6"/>
  <c r="AF79" i="6"/>
  <c r="AD79" i="6"/>
  <c r="AB79" i="6"/>
  <c r="Z79" i="6"/>
  <c r="X79" i="6"/>
  <c r="V79" i="6"/>
  <c r="T79" i="6"/>
  <c r="R79" i="6"/>
  <c r="P79" i="6"/>
  <c r="N79" i="6"/>
  <c r="L79" i="6"/>
  <c r="BP78" i="6"/>
  <c r="AZ78" i="6"/>
  <c r="AU78" i="6"/>
  <c r="AM78" i="6"/>
  <c r="AK78" i="6"/>
  <c r="AI78" i="6"/>
  <c r="AH78" i="6"/>
  <c r="AF78" i="6"/>
  <c r="AD78" i="6"/>
  <c r="AB78" i="6"/>
  <c r="Z78" i="6"/>
  <c r="X78" i="6"/>
  <c r="V78" i="6"/>
  <c r="T78" i="6"/>
  <c r="R78" i="6"/>
  <c r="P78" i="6"/>
  <c r="N78" i="6"/>
  <c r="L78" i="6"/>
  <c r="AZ77" i="6"/>
  <c r="AU77" i="6"/>
  <c r="AM77" i="6"/>
  <c r="AK77" i="6"/>
  <c r="AI77" i="6"/>
  <c r="BP77" i="6" s="1"/>
  <c r="AH77" i="6"/>
  <c r="AF77" i="6"/>
  <c r="AD77" i="6"/>
  <c r="AB77" i="6"/>
  <c r="Z77" i="6"/>
  <c r="X77" i="6"/>
  <c r="V77" i="6"/>
  <c r="T77" i="6"/>
  <c r="R77" i="6"/>
  <c r="P77" i="6"/>
  <c r="N77" i="6"/>
  <c r="L77" i="6"/>
  <c r="BP76" i="6"/>
  <c r="BQ76" i="6" s="1"/>
  <c r="AZ76" i="6"/>
  <c r="AU76" i="6"/>
  <c r="AM76" i="6"/>
  <c r="AK76" i="6"/>
  <c r="AI76" i="6"/>
  <c r="AH76" i="6"/>
  <c r="AF76" i="6"/>
  <c r="AD76" i="6"/>
  <c r="AB76" i="6"/>
  <c r="Z76" i="6"/>
  <c r="X76" i="6"/>
  <c r="V76" i="6"/>
  <c r="T76" i="6"/>
  <c r="R76" i="6"/>
  <c r="P76" i="6"/>
  <c r="N76" i="6"/>
  <c r="L76" i="6"/>
  <c r="AZ75" i="6"/>
  <c r="AU75" i="6"/>
  <c r="AM75" i="6"/>
  <c r="AK75" i="6"/>
  <c r="AI75" i="6"/>
  <c r="BP75" i="6" s="1"/>
  <c r="AH75" i="6"/>
  <c r="AF75" i="6"/>
  <c r="AD75" i="6"/>
  <c r="AB75" i="6"/>
  <c r="Z75" i="6"/>
  <c r="X75" i="6"/>
  <c r="V75" i="6"/>
  <c r="T75" i="6"/>
  <c r="R75" i="6"/>
  <c r="P75" i="6"/>
  <c r="N75" i="6"/>
  <c r="L75" i="6"/>
  <c r="BP74" i="6"/>
  <c r="AZ74" i="6"/>
  <c r="AU74" i="6"/>
  <c r="AM74" i="6"/>
  <c r="AK74" i="6"/>
  <c r="AI74" i="6"/>
  <c r="AH74" i="6"/>
  <c r="AF74" i="6"/>
  <c r="AD74" i="6"/>
  <c r="AB74" i="6"/>
  <c r="Z74" i="6"/>
  <c r="X74" i="6"/>
  <c r="V74" i="6"/>
  <c r="T74" i="6"/>
  <c r="R74" i="6"/>
  <c r="P74" i="6"/>
  <c r="N74" i="6"/>
  <c r="L74" i="6"/>
  <c r="AZ73" i="6"/>
  <c r="AU73" i="6"/>
  <c r="AM73" i="6"/>
  <c r="AK73" i="6"/>
  <c r="AI73" i="6"/>
  <c r="BP73" i="6" s="1"/>
  <c r="AH73" i="6"/>
  <c r="AF73" i="6"/>
  <c r="AD73" i="6"/>
  <c r="AB73" i="6"/>
  <c r="Z73" i="6"/>
  <c r="X73" i="6"/>
  <c r="V73" i="6"/>
  <c r="T73" i="6"/>
  <c r="R73" i="6"/>
  <c r="P73" i="6"/>
  <c r="N73" i="6"/>
  <c r="L73" i="6"/>
  <c r="BP72" i="6"/>
  <c r="AZ72" i="6"/>
  <c r="AU72" i="6"/>
  <c r="AM72" i="6"/>
  <c r="AK72" i="6"/>
  <c r="AI72" i="6"/>
  <c r="AH72" i="6"/>
  <c r="AF72" i="6"/>
  <c r="AD72" i="6"/>
  <c r="AB72" i="6"/>
  <c r="Z72" i="6"/>
  <c r="X72" i="6"/>
  <c r="V72" i="6"/>
  <c r="T72" i="6"/>
  <c r="R72" i="6"/>
  <c r="P72" i="6"/>
  <c r="N72" i="6"/>
  <c r="L72" i="6"/>
  <c r="AZ71" i="6"/>
  <c r="AU71" i="6"/>
  <c r="AM71" i="6"/>
  <c r="AK71" i="6"/>
  <c r="AI71" i="6"/>
  <c r="BP71" i="6" s="1"/>
  <c r="AH71" i="6"/>
  <c r="AF71" i="6"/>
  <c r="AD71" i="6"/>
  <c r="AB71" i="6"/>
  <c r="Z71" i="6"/>
  <c r="X71" i="6"/>
  <c r="V71" i="6"/>
  <c r="T71" i="6"/>
  <c r="R71" i="6"/>
  <c r="P71" i="6"/>
  <c r="N71" i="6"/>
  <c r="L71" i="6"/>
  <c r="BP70" i="6"/>
  <c r="AZ70" i="6"/>
  <c r="AU70" i="6"/>
  <c r="AM70" i="6"/>
  <c r="AK70" i="6"/>
  <c r="AI70" i="6"/>
  <c r="AH70" i="6"/>
  <c r="AF70" i="6"/>
  <c r="AD70" i="6"/>
  <c r="AB70" i="6"/>
  <c r="Z70" i="6"/>
  <c r="X70" i="6"/>
  <c r="V70" i="6"/>
  <c r="T70" i="6"/>
  <c r="R70" i="6"/>
  <c r="P70" i="6"/>
  <c r="N70" i="6"/>
  <c r="L70" i="6"/>
  <c r="AZ69" i="6"/>
  <c r="AU69" i="6"/>
  <c r="AM69" i="6"/>
  <c r="AK69" i="6"/>
  <c r="AI69" i="6"/>
  <c r="BP69" i="6" s="1"/>
  <c r="AH69" i="6"/>
  <c r="AF69" i="6"/>
  <c r="AD69" i="6"/>
  <c r="AB69" i="6"/>
  <c r="Z69" i="6"/>
  <c r="X69" i="6"/>
  <c r="V69" i="6"/>
  <c r="T69" i="6"/>
  <c r="R69" i="6"/>
  <c r="P69" i="6"/>
  <c r="N69" i="6"/>
  <c r="L69" i="6"/>
  <c r="BP68" i="6"/>
  <c r="AZ68" i="6"/>
  <c r="AU68" i="6"/>
  <c r="AM68" i="6"/>
  <c r="AK68" i="6"/>
  <c r="AI68" i="6"/>
  <c r="AH68" i="6"/>
  <c r="AF68" i="6"/>
  <c r="AD68" i="6"/>
  <c r="AB68" i="6"/>
  <c r="Z68" i="6"/>
  <c r="X68" i="6"/>
  <c r="V68" i="6"/>
  <c r="T68" i="6"/>
  <c r="R68" i="6"/>
  <c r="P68" i="6"/>
  <c r="N68" i="6"/>
  <c r="L68" i="6"/>
  <c r="AZ67" i="6"/>
  <c r="AU67" i="6"/>
  <c r="AM67" i="6"/>
  <c r="AK67" i="6"/>
  <c r="AI67" i="6"/>
  <c r="BP67" i="6" s="1"/>
  <c r="AH67" i="6"/>
  <c r="AF67" i="6"/>
  <c r="AD67" i="6"/>
  <c r="AB67" i="6"/>
  <c r="Z67" i="6"/>
  <c r="X67" i="6"/>
  <c r="V67" i="6"/>
  <c r="T67" i="6"/>
  <c r="R67" i="6"/>
  <c r="P67" i="6"/>
  <c r="N67" i="6"/>
  <c r="L67" i="6"/>
  <c r="BP66" i="6"/>
  <c r="AZ66" i="6"/>
  <c r="AU66" i="6"/>
  <c r="AM66" i="6"/>
  <c r="AK66" i="6"/>
  <c r="AI66" i="6"/>
  <c r="AH66" i="6"/>
  <c r="AF66" i="6"/>
  <c r="AD66" i="6"/>
  <c r="AB66" i="6"/>
  <c r="Z66" i="6"/>
  <c r="X66" i="6"/>
  <c r="V66" i="6"/>
  <c r="T66" i="6"/>
  <c r="R66" i="6"/>
  <c r="P66" i="6"/>
  <c r="N66" i="6"/>
  <c r="L66" i="6"/>
  <c r="AZ65" i="6"/>
  <c r="AU65" i="6"/>
  <c r="AM65" i="6"/>
  <c r="AK65" i="6"/>
  <c r="AI65" i="6"/>
  <c r="BP65" i="6" s="1"/>
  <c r="AH65" i="6"/>
  <c r="AF65" i="6"/>
  <c r="AD65" i="6"/>
  <c r="AB65" i="6"/>
  <c r="Z65" i="6"/>
  <c r="X65" i="6"/>
  <c r="V65" i="6"/>
  <c r="T65" i="6"/>
  <c r="R65" i="6"/>
  <c r="P65" i="6"/>
  <c r="N65" i="6"/>
  <c r="L65" i="6"/>
  <c r="BP64" i="6"/>
  <c r="AZ64" i="6"/>
  <c r="AU64" i="6"/>
  <c r="AM64" i="6"/>
  <c r="AK64" i="6"/>
  <c r="AI64" i="6"/>
  <c r="AH64" i="6"/>
  <c r="AF64" i="6"/>
  <c r="AD64" i="6"/>
  <c r="AB64" i="6"/>
  <c r="Z64" i="6"/>
  <c r="X64" i="6"/>
  <c r="V64" i="6"/>
  <c r="T64" i="6"/>
  <c r="R64" i="6"/>
  <c r="P64" i="6"/>
  <c r="N64" i="6"/>
  <c r="L64" i="6"/>
  <c r="AZ63" i="6"/>
  <c r="AU63" i="6"/>
  <c r="AM63" i="6"/>
  <c r="AK63" i="6"/>
  <c r="AI63" i="6"/>
  <c r="BP63" i="6" s="1"/>
  <c r="AH63" i="6"/>
  <c r="AF63" i="6"/>
  <c r="AD63" i="6"/>
  <c r="AB63" i="6"/>
  <c r="Z63" i="6"/>
  <c r="X63" i="6"/>
  <c r="V63" i="6"/>
  <c r="T63" i="6"/>
  <c r="R63" i="6"/>
  <c r="P63" i="6"/>
  <c r="N63" i="6"/>
  <c r="L63" i="6"/>
  <c r="BP62" i="6"/>
  <c r="AZ62" i="6"/>
  <c r="AU62" i="6"/>
  <c r="AM62" i="6"/>
  <c r="AK62" i="6"/>
  <c r="AI62" i="6"/>
  <c r="AH62" i="6"/>
  <c r="AF62" i="6"/>
  <c r="AD62" i="6"/>
  <c r="AB62" i="6"/>
  <c r="Z62" i="6"/>
  <c r="X62" i="6"/>
  <c r="V62" i="6"/>
  <c r="T62" i="6"/>
  <c r="R62" i="6"/>
  <c r="P62" i="6"/>
  <c r="N62" i="6"/>
  <c r="L62" i="6"/>
  <c r="AZ61" i="6"/>
  <c r="AU61" i="6"/>
  <c r="AM61" i="6"/>
  <c r="AK61" i="6"/>
  <c r="AI61" i="6"/>
  <c r="BP61" i="6" s="1"/>
  <c r="AH61" i="6"/>
  <c r="AF61" i="6"/>
  <c r="AD61" i="6"/>
  <c r="AB61" i="6"/>
  <c r="Z61" i="6"/>
  <c r="X61" i="6"/>
  <c r="V61" i="6"/>
  <c r="T61" i="6"/>
  <c r="R61" i="6"/>
  <c r="P61" i="6"/>
  <c r="N61" i="6"/>
  <c r="L61" i="6"/>
  <c r="BP60" i="6"/>
  <c r="AZ60" i="6"/>
  <c r="AU60" i="6"/>
  <c r="AM60" i="6"/>
  <c r="AK60" i="6"/>
  <c r="AI60" i="6"/>
  <c r="AH60" i="6"/>
  <c r="AF60" i="6"/>
  <c r="AD60" i="6"/>
  <c r="AB60" i="6"/>
  <c r="Z60" i="6"/>
  <c r="X60" i="6"/>
  <c r="V60" i="6"/>
  <c r="T60" i="6"/>
  <c r="R60" i="6"/>
  <c r="P60" i="6"/>
  <c r="N60" i="6"/>
  <c r="L60" i="6"/>
  <c r="AZ59" i="6"/>
  <c r="AU59" i="6"/>
  <c r="AM59" i="6"/>
  <c r="AK59" i="6"/>
  <c r="AI59" i="6"/>
  <c r="BP59" i="6" s="1"/>
  <c r="AH59" i="6"/>
  <c r="AF59" i="6"/>
  <c r="AD59" i="6"/>
  <c r="AB59" i="6"/>
  <c r="Z59" i="6"/>
  <c r="X59" i="6"/>
  <c r="V59" i="6"/>
  <c r="T59" i="6"/>
  <c r="R59" i="6"/>
  <c r="P59" i="6"/>
  <c r="N59" i="6"/>
  <c r="L59" i="6"/>
  <c r="BP58" i="6"/>
  <c r="AZ58" i="6"/>
  <c r="AU58" i="6"/>
  <c r="AM58" i="6"/>
  <c r="AK58" i="6"/>
  <c r="AI58" i="6"/>
  <c r="AH58" i="6"/>
  <c r="AF58" i="6"/>
  <c r="AD58" i="6"/>
  <c r="AB58" i="6"/>
  <c r="Z58" i="6"/>
  <c r="X58" i="6"/>
  <c r="V58" i="6"/>
  <c r="T58" i="6"/>
  <c r="R58" i="6"/>
  <c r="P58" i="6"/>
  <c r="N58" i="6"/>
  <c r="L58" i="6"/>
  <c r="AZ57" i="6"/>
  <c r="AU57" i="6"/>
  <c r="AM57" i="6"/>
  <c r="AK57" i="6"/>
  <c r="AI57" i="6"/>
  <c r="BP57" i="6" s="1"/>
  <c r="AH57" i="6"/>
  <c r="AF57" i="6"/>
  <c r="AD57" i="6"/>
  <c r="AB57" i="6"/>
  <c r="Z57" i="6"/>
  <c r="X57" i="6"/>
  <c r="V57" i="6"/>
  <c r="T57" i="6"/>
  <c r="R57" i="6"/>
  <c r="P57" i="6"/>
  <c r="N57" i="6"/>
  <c r="L57" i="6"/>
  <c r="BP56" i="6"/>
  <c r="AZ56" i="6"/>
  <c r="AU56" i="6"/>
  <c r="AM56" i="6"/>
  <c r="AK56" i="6"/>
  <c r="AI56" i="6"/>
  <c r="AH56" i="6"/>
  <c r="AF56" i="6"/>
  <c r="AD56" i="6"/>
  <c r="AB56" i="6"/>
  <c r="Z56" i="6"/>
  <c r="X56" i="6"/>
  <c r="V56" i="6"/>
  <c r="T56" i="6"/>
  <c r="R56" i="6"/>
  <c r="P56" i="6"/>
  <c r="N56" i="6"/>
  <c r="L56" i="6"/>
  <c r="AZ55" i="6"/>
  <c r="AU55" i="6"/>
  <c r="AM55" i="6"/>
  <c r="AK55" i="6"/>
  <c r="AI55" i="6"/>
  <c r="BP55" i="6" s="1"/>
  <c r="AH55" i="6"/>
  <c r="AF55" i="6"/>
  <c r="AD55" i="6"/>
  <c r="AB55" i="6"/>
  <c r="Z55" i="6"/>
  <c r="X55" i="6"/>
  <c r="V55" i="6"/>
  <c r="T55" i="6"/>
  <c r="R55" i="6"/>
  <c r="P55" i="6"/>
  <c r="N55" i="6"/>
  <c r="L55" i="6"/>
  <c r="BP54" i="6"/>
  <c r="AZ54" i="6"/>
  <c r="AU54" i="6"/>
  <c r="AM54" i="6"/>
  <c r="AK54" i="6"/>
  <c r="AI54" i="6"/>
  <c r="AH54" i="6"/>
  <c r="AF54" i="6"/>
  <c r="AD54" i="6"/>
  <c r="AB54" i="6"/>
  <c r="Z54" i="6"/>
  <c r="X54" i="6"/>
  <c r="V54" i="6"/>
  <c r="T54" i="6"/>
  <c r="R54" i="6"/>
  <c r="P54" i="6"/>
  <c r="N54" i="6"/>
  <c r="L54" i="6"/>
  <c r="AZ53" i="6"/>
  <c r="AU53" i="6"/>
  <c r="AM53" i="6"/>
  <c r="AK53" i="6"/>
  <c r="AI53" i="6"/>
  <c r="BP53" i="6" s="1"/>
  <c r="AH53" i="6"/>
  <c r="AF53" i="6"/>
  <c r="AD53" i="6"/>
  <c r="AB53" i="6"/>
  <c r="Z53" i="6"/>
  <c r="X53" i="6"/>
  <c r="V53" i="6"/>
  <c r="T53" i="6"/>
  <c r="R53" i="6"/>
  <c r="P53" i="6"/>
  <c r="N53" i="6"/>
  <c r="L53" i="6"/>
  <c r="BP52" i="6"/>
  <c r="AZ52" i="6"/>
  <c r="AU52" i="6"/>
  <c r="AM52" i="6"/>
  <c r="AK52" i="6"/>
  <c r="AI52" i="6"/>
  <c r="AH52" i="6"/>
  <c r="AF52" i="6"/>
  <c r="AD52" i="6"/>
  <c r="AB52" i="6"/>
  <c r="Z52" i="6"/>
  <c r="X52" i="6"/>
  <c r="V52" i="6"/>
  <c r="T52" i="6"/>
  <c r="R52" i="6"/>
  <c r="P52" i="6"/>
  <c r="N52" i="6"/>
  <c r="L52" i="6"/>
  <c r="AZ51" i="6"/>
  <c r="AU51" i="6"/>
  <c r="AM51" i="6"/>
  <c r="AK51" i="6"/>
  <c r="AI51" i="6"/>
  <c r="BP51" i="6" s="1"/>
  <c r="AH51" i="6"/>
  <c r="AF51" i="6"/>
  <c r="AD51" i="6"/>
  <c r="AB51" i="6"/>
  <c r="Z51" i="6"/>
  <c r="X51" i="6"/>
  <c r="V51" i="6"/>
  <c r="T51" i="6"/>
  <c r="R51" i="6"/>
  <c r="P51" i="6"/>
  <c r="N51" i="6"/>
  <c r="L51" i="6"/>
  <c r="BP50" i="6"/>
  <c r="AZ50" i="6"/>
  <c r="AU50" i="6"/>
  <c r="AM50" i="6"/>
  <c r="AK50" i="6"/>
  <c r="AI50" i="6"/>
  <c r="AH50" i="6"/>
  <c r="AF50" i="6"/>
  <c r="AD50" i="6"/>
  <c r="AB50" i="6"/>
  <c r="Z50" i="6"/>
  <c r="X50" i="6"/>
  <c r="V50" i="6"/>
  <c r="T50" i="6"/>
  <c r="R50" i="6"/>
  <c r="P50" i="6"/>
  <c r="N50" i="6"/>
  <c r="L50" i="6"/>
  <c r="AZ49" i="6"/>
  <c r="AU49" i="6"/>
  <c r="AM49" i="6"/>
  <c r="AK49" i="6"/>
  <c r="AI49" i="6"/>
  <c r="BP49" i="6" s="1"/>
  <c r="AH49" i="6"/>
  <c r="AF49" i="6"/>
  <c r="AD49" i="6"/>
  <c r="AB49" i="6"/>
  <c r="Z49" i="6"/>
  <c r="X49" i="6"/>
  <c r="V49" i="6"/>
  <c r="T49" i="6"/>
  <c r="R49" i="6"/>
  <c r="P49" i="6"/>
  <c r="N49" i="6"/>
  <c r="L49" i="6"/>
  <c r="BP48" i="6"/>
  <c r="AZ48" i="6"/>
  <c r="AU48" i="6"/>
  <c r="AM48" i="6"/>
  <c r="AK48" i="6"/>
  <c r="AI48" i="6"/>
  <c r="AH48" i="6"/>
  <c r="AF48" i="6"/>
  <c r="AD48" i="6"/>
  <c r="AB48" i="6"/>
  <c r="Z48" i="6"/>
  <c r="X48" i="6"/>
  <c r="V48" i="6"/>
  <c r="T48" i="6"/>
  <c r="R48" i="6"/>
  <c r="P48" i="6"/>
  <c r="N48" i="6"/>
  <c r="L48" i="6"/>
  <c r="AZ47" i="6"/>
  <c r="AU47" i="6"/>
  <c r="AM47" i="6"/>
  <c r="AK47" i="6"/>
  <c r="AI47" i="6"/>
  <c r="BP47" i="6" s="1"/>
  <c r="BQ47" i="6" s="1"/>
  <c r="AH47" i="6"/>
  <c r="AF47" i="6"/>
  <c r="AD47" i="6"/>
  <c r="AB47" i="6"/>
  <c r="Z47" i="6"/>
  <c r="X47" i="6"/>
  <c r="V47" i="6"/>
  <c r="T47" i="6"/>
  <c r="R47" i="6"/>
  <c r="P47" i="6"/>
  <c r="N47" i="6"/>
  <c r="L47" i="6"/>
  <c r="BP46" i="6"/>
  <c r="AZ46" i="6"/>
  <c r="AU46" i="6"/>
  <c r="AM46" i="6"/>
  <c r="AK46" i="6"/>
  <c r="AI46" i="6"/>
  <c r="AH46" i="6"/>
  <c r="AF46" i="6"/>
  <c r="AD46" i="6"/>
  <c r="AB46" i="6"/>
  <c r="Z46" i="6"/>
  <c r="X46" i="6"/>
  <c r="V46" i="6"/>
  <c r="T46" i="6"/>
  <c r="R46" i="6"/>
  <c r="P46" i="6"/>
  <c r="N46" i="6"/>
  <c r="L46" i="6"/>
  <c r="AZ45" i="6"/>
  <c r="AU45" i="6"/>
  <c r="AM45" i="6"/>
  <c r="AK45" i="6"/>
  <c r="AI45" i="6"/>
  <c r="BP45" i="6" s="1"/>
  <c r="AH45" i="6"/>
  <c r="AF45" i="6"/>
  <c r="AD45" i="6"/>
  <c r="AB45" i="6"/>
  <c r="Z45" i="6"/>
  <c r="X45" i="6"/>
  <c r="V45" i="6"/>
  <c r="T45" i="6"/>
  <c r="R45" i="6"/>
  <c r="P45" i="6"/>
  <c r="N45" i="6"/>
  <c r="L45" i="6"/>
  <c r="BP44" i="6"/>
  <c r="BQ44" i="6" s="1"/>
  <c r="AZ44" i="6"/>
  <c r="AU44" i="6"/>
  <c r="AM44" i="6"/>
  <c r="AK44" i="6"/>
  <c r="AI44" i="6"/>
  <c r="AH44" i="6"/>
  <c r="AF44" i="6"/>
  <c r="AD44" i="6"/>
  <c r="AB44" i="6"/>
  <c r="Z44" i="6"/>
  <c r="X44" i="6"/>
  <c r="V44" i="6"/>
  <c r="T44" i="6"/>
  <c r="R44" i="6"/>
  <c r="P44" i="6"/>
  <c r="N44" i="6"/>
  <c r="L44" i="6"/>
  <c r="BP43" i="6"/>
  <c r="BE43" i="6"/>
  <c r="AZ43" i="6"/>
  <c r="AU43" i="6"/>
  <c r="AM43" i="6"/>
  <c r="AK43" i="6"/>
  <c r="AI43" i="6"/>
  <c r="AH43" i="6"/>
  <c r="AF43" i="6"/>
  <c r="AD43" i="6"/>
  <c r="AB43" i="6"/>
  <c r="Z43" i="6"/>
  <c r="X43" i="6"/>
  <c r="V43" i="6"/>
  <c r="T43" i="6"/>
  <c r="R43" i="6"/>
  <c r="P43" i="6"/>
  <c r="N43" i="6"/>
  <c r="L43" i="6"/>
  <c r="BP42" i="6"/>
  <c r="AZ42" i="6"/>
  <c r="AU42" i="6"/>
  <c r="AM42" i="6"/>
  <c r="AK42" i="6"/>
  <c r="AI42" i="6"/>
  <c r="AH42" i="6"/>
  <c r="AF42" i="6"/>
  <c r="AD42" i="6"/>
  <c r="AB42" i="6"/>
  <c r="Z42" i="6"/>
  <c r="X42" i="6"/>
  <c r="V42" i="6"/>
  <c r="T42" i="6"/>
  <c r="R42" i="6"/>
  <c r="P42" i="6"/>
  <c r="N42" i="6"/>
  <c r="L42" i="6"/>
  <c r="BP41" i="6"/>
  <c r="BE41" i="6"/>
  <c r="AZ41" i="6"/>
  <c r="AU41" i="6"/>
  <c r="AM41" i="6"/>
  <c r="AK41" i="6"/>
  <c r="AI41" i="6"/>
  <c r="AH41" i="6"/>
  <c r="AF41" i="6"/>
  <c r="AD41" i="6"/>
  <c r="AB41" i="6"/>
  <c r="Z41" i="6"/>
  <c r="X41" i="6"/>
  <c r="V41" i="6"/>
  <c r="T41" i="6"/>
  <c r="R41" i="6"/>
  <c r="P41" i="6"/>
  <c r="N41" i="6"/>
  <c r="L41" i="6"/>
  <c r="AZ40" i="6"/>
  <c r="AU40" i="6"/>
  <c r="AM40" i="6"/>
  <c r="AK40" i="6"/>
  <c r="AI40" i="6"/>
  <c r="BP40" i="6" s="1"/>
  <c r="AH40" i="6"/>
  <c r="AF40" i="6"/>
  <c r="AD40" i="6"/>
  <c r="AB40" i="6"/>
  <c r="Z40" i="6"/>
  <c r="X40" i="6"/>
  <c r="V40" i="6"/>
  <c r="T40" i="6"/>
  <c r="R40" i="6"/>
  <c r="P40" i="6"/>
  <c r="N40" i="6"/>
  <c r="L40" i="6"/>
  <c r="BP39" i="6"/>
  <c r="AZ39" i="6"/>
  <c r="AU39" i="6"/>
  <c r="AM39" i="6"/>
  <c r="AK39" i="6"/>
  <c r="AI39" i="6"/>
  <c r="AH39" i="6"/>
  <c r="AF39" i="6"/>
  <c r="AD39" i="6"/>
  <c r="AB39" i="6"/>
  <c r="Z39" i="6"/>
  <c r="X39" i="6"/>
  <c r="V39" i="6"/>
  <c r="T39" i="6"/>
  <c r="R39" i="6"/>
  <c r="P39" i="6"/>
  <c r="N39" i="6"/>
  <c r="L39" i="6"/>
  <c r="AZ38" i="6"/>
  <c r="AU38" i="6"/>
  <c r="AM38" i="6"/>
  <c r="AK38" i="6"/>
  <c r="AI38" i="6"/>
  <c r="BP38" i="6" s="1"/>
  <c r="AH38" i="6"/>
  <c r="AF38" i="6"/>
  <c r="AD38" i="6"/>
  <c r="AB38" i="6"/>
  <c r="Z38" i="6"/>
  <c r="X38" i="6"/>
  <c r="V38" i="6"/>
  <c r="T38" i="6"/>
  <c r="R38" i="6"/>
  <c r="P38" i="6"/>
  <c r="N38" i="6"/>
  <c r="L38" i="6"/>
  <c r="BP37" i="6"/>
  <c r="AZ37" i="6"/>
  <c r="AU37" i="6"/>
  <c r="AM37" i="6"/>
  <c r="AK37" i="6"/>
  <c r="AI37" i="6"/>
  <c r="AH37" i="6"/>
  <c r="AF37" i="6"/>
  <c r="AD37" i="6"/>
  <c r="AB37" i="6"/>
  <c r="Z37" i="6"/>
  <c r="X37" i="6"/>
  <c r="V37" i="6"/>
  <c r="T37" i="6"/>
  <c r="R37" i="6"/>
  <c r="P37" i="6"/>
  <c r="N37" i="6"/>
  <c r="L37" i="6"/>
  <c r="AZ36" i="6"/>
  <c r="AU36" i="6"/>
  <c r="AM36" i="6"/>
  <c r="AK36" i="6"/>
  <c r="AI36" i="6"/>
  <c r="BP36" i="6" s="1"/>
  <c r="AH36" i="6"/>
  <c r="AF36" i="6"/>
  <c r="AD36" i="6"/>
  <c r="AB36" i="6"/>
  <c r="Z36" i="6"/>
  <c r="X36" i="6"/>
  <c r="V36" i="6"/>
  <c r="T36" i="6"/>
  <c r="R36" i="6"/>
  <c r="P36" i="6"/>
  <c r="N36" i="6"/>
  <c r="L36" i="6"/>
  <c r="BP35" i="6"/>
  <c r="AZ35" i="6"/>
  <c r="AU35" i="6"/>
  <c r="AM35" i="6"/>
  <c r="AK35" i="6"/>
  <c r="AI35" i="6"/>
  <c r="AH35" i="6"/>
  <c r="AF35" i="6"/>
  <c r="AD35" i="6"/>
  <c r="AB35" i="6"/>
  <c r="Z35" i="6"/>
  <c r="X35" i="6"/>
  <c r="V35" i="6"/>
  <c r="T35" i="6"/>
  <c r="R35" i="6"/>
  <c r="P35" i="6"/>
  <c r="N35" i="6"/>
  <c r="L35" i="6"/>
  <c r="AZ34" i="6"/>
  <c r="AU34" i="6"/>
  <c r="AM34" i="6"/>
  <c r="AK34" i="6"/>
  <c r="AI34" i="6"/>
  <c r="BP34" i="6" s="1"/>
  <c r="AH34" i="6"/>
  <c r="AF34" i="6"/>
  <c r="AD34" i="6"/>
  <c r="AB34" i="6"/>
  <c r="Z34" i="6"/>
  <c r="X34" i="6"/>
  <c r="V34" i="6"/>
  <c r="T34" i="6"/>
  <c r="R34" i="6"/>
  <c r="P34" i="6"/>
  <c r="N34" i="6"/>
  <c r="L34" i="6"/>
  <c r="BP33" i="6"/>
  <c r="AZ33" i="6"/>
  <c r="AU33" i="6"/>
  <c r="AM33" i="6"/>
  <c r="AK33" i="6"/>
  <c r="AI33" i="6"/>
  <c r="AH33" i="6"/>
  <c r="AF33" i="6"/>
  <c r="AD33" i="6"/>
  <c r="AB33" i="6"/>
  <c r="Z33" i="6"/>
  <c r="X33" i="6"/>
  <c r="V33" i="6"/>
  <c r="T33" i="6"/>
  <c r="R33" i="6"/>
  <c r="P33" i="6"/>
  <c r="N33" i="6"/>
  <c r="L33" i="6"/>
  <c r="AZ32" i="6"/>
  <c r="AU32" i="6"/>
  <c r="AM32" i="6"/>
  <c r="AK32" i="6"/>
  <c r="AI32" i="6"/>
  <c r="BP32" i="6" s="1"/>
  <c r="AH32" i="6"/>
  <c r="AF32" i="6"/>
  <c r="AD32" i="6"/>
  <c r="AB32" i="6"/>
  <c r="Z32" i="6"/>
  <c r="X32" i="6"/>
  <c r="V32" i="6"/>
  <c r="T32" i="6"/>
  <c r="R32" i="6"/>
  <c r="P32" i="6"/>
  <c r="N32" i="6"/>
  <c r="L32" i="6"/>
  <c r="BP31" i="6"/>
  <c r="AZ31" i="6"/>
  <c r="AU31" i="6"/>
  <c r="AM31" i="6"/>
  <c r="AK31" i="6"/>
  <c r="AI31" i="6"/>
  <c r="AH31" i="6"/>
  <c r="AF31" i="6"/>
  <c r="AD31" i="6"/>
  <c r="AB31" i="6"/>
  <c r="Z31" i="6"/>
  <c r="X31" i="6"/>
  <c r="V31" i="6"/>
  <c r="T31" i="6"/>
  <c r="R31" i="6"/>
  <c r="P31" i="6"/>
  <c r="N31" i="6"/>
  <c r="L31" i="6"/>
  <c r="AZ30" i="6"/>
  <c r="AU30" i="6"/>
  <c r="AM30" i="6"/>
  <c r="AK30" i="6"/>
  <c r="AI30" i="6"/>
  <c r="BP30" i="6" s="1"/>
  <c r="AH30" i="6"/>
  <c r="AF30" i="6"/>
  <c r="AD30" i="6"/>
  <c r="AB30" i="6"/>
  <c r="Z30" i="6"/>
  <c r="X30" i="6"/>
  <c r="V30" i="6"/>
  <c r="T30" i="6"/>
  <c r="R30" i="6"/>
  <c r="P30" i="6"/>
  <c r="N30" i="6"/>
  <c r="L30" i="6"/>
  <c r="BP29" i="6"/>
  <c r="AZ29" i="6"/>
  <c r="AU29" i="6"/>
  <c r="AM29" i="6"/>
  <c r="AK29" i="6"/>
  <c r="AI29" i="6"/>
  <c r="AH29" i="6"/>
  <c r="AF29" i="6"/>
  <c r="AD29" i="6"/>
  <c r="AB29" i="6"/>
  <c r="Z29" i="6"/>
  <c r="X29" i="6"/>
  <c r="V29" i="6"/>
  <c r="T29" i="6"/>
  <c r="R29" i="6"/>
  <c r="P29" i="6"/>
  <c r="N29" i="6"/>
  <c r="L29" i="6"/>
  <c r="AZ28" i="6"/>
  <c r="AU28" i="6"/>
  <c r="AM28" i="6"/>
  <c r="AK28" i="6"/>
  <c r="AI28" i="6"/>
  <c r="BP28" i="6" s="1"/>
  <c r="AH28" i="6"/>
  <c r="AF28" i="6"/>
  <c r="AD28" i="6"/>
  <c r="AB28" i="6"/>
  <c r="Z28" i="6"/>
  <c r="X28" i="6"/>
  <c r="V28" i="6"/>
  <c r="T28" i="6"/>
  <c r="R28" i="6"/>
  <c r="P28" i="6"/>
  <c r="N28" i="6"/>
  <c r="L28" i="6"/>
  <c r="BP27" i="6"/>
  <c r="AZ27" i="6"/>
  <c r="AU27" i="6"/>
  <c r="AM27" i="6"/>
  <c r="AK27" i="6"/>
  <c r="AI27" i="6"/>
  <c r="AH27" i="6"/>
  <c r="AF27" i="6"/>
  <c r="AD27" i="6"/>
  <c r="AB27" i="6"/>
  <c r="Z27" i="6"/>
  <c r="X27" i="6"/>
  <c r="V27" i="6"/>
  <c r="T27" i="6"/>
  <c r="R27" i="6"/>
  <c r="P27" i="6"/>
  <c r="N27" i="6"/>
  <c r="L27" i="6"/>
  <c r="AZ26" i="6"/>
  <c r="AU26" i="6"/>
  <c r="AM26" i="6"/>
  <c r="AK26" i="6"/>
  <c r="AI26" i="6"/>
  <c r="BP26" i="6" s="1"/>
  <c r="AH26" i="6"/>
  <c r="AF26" i="6"/>
  <c r="AD26" i="6"/>
  <c r="AB26" i="6"/>
  <c r="Z26" i="6"/>
  <c r="X26" i="6"/>
  <c r="V26" i="6"/>
  <c r="T26" i="6"/>
  <c r="R26" i="6"/>
  <c r="P26" i="6"/>
  <c r="N26" i="6"/>
  <c r="L26" i="6"/>
  <c r="BP25" i="6"/>
  <c r="AZ25" i="6"/>
  <c r="AU25" i="6"/>
  <c r="AM25" i="6"/>
  <c r="AK25" i="6"/>
  <c r="AI25" i="6"/>
  <c r="AH25" i="6"/>
  <c r="AF25" i="6"/>
  <c r="AD25" i="6"/>
  <c r="AB25" i="6"/>
  <c r="Z25" i="6"/>
  <c r="X25" i="6"/>
  <c r="V25" i="6"/>
  <c r="T25" i="6"/>
  <c r="R25" i="6"/>
  <c r="P25" i="6"/>
  <c r="N25" i="6"/>
  <c r="L25" i="6"/>
  <c r="AZ24" i="6"/>
  <c r="AU24" i="6"/>
  <c r="AM24" i="6"/>
  <c r="AK24" i="6"/>
  <c r="AI24" i="6"/>
  <c r="BP24" i="6" s="1"/>
  <c r="AH24" i="6"/>
  <c r="AF24" i="6"/>
  <c r="AD24" i="6"/>
  <c r="AB24" i="6"/>
  <c r="Z24" i="6"/>
  <c r="X24" i="6"/>
  <c r="V24" i="6"/>
  <c r="T24" i="6"/>
  <c r="R24" i="6"/>
  <c r="P24" i="6"/>
  <c r="N24" i="6"/>
  <c r="L24" i="6"/>
  <c r="BP23" i="6"/>
  <c r="AZ23" i="6"/>
  <c r="AU23" i="6"/>
  <c r="AM23" i="6"/>
  <c r="AK23" i="6"/>
  <c r="AI23" i="6"/>
  <c r="AH23" i="6"/>
  <c r="AF23" i="6"/>
  <c r="AD23" i="6"/>
  <c r="AB23" i="6"/>
  <c r="Z23" i="6"/>
  <c r="X23" i="6"/>
  <c r="V23" i="6"/>
  <c r="T23" i="6"/>
  <c r="R23" i="6"/>
  <c r="P23" i="6"/>
  <c r="N23" i="6"/>
  <c r="L23" i="6"/>
  <c r="AZ22" i="6"/>
  <c r="AU22" i="6"/>
  <c r="AM22" i="6"/>
  <c r="AK22" i="6"/>
  <c r="AI22" i="6"/>
  <c r="BP22" i="6" s="1"/>
  <c r="AH22" i="6"/>
  <c r="AF22" i="6"/>
  <c r="AD22" i="6"/>
  <c r="AB22" i="6"/>
  <c r="Z22" i="6"/>
  <c r="X22" i="6"/>
  <c r="V22" i="6"/>
  <c r="T22" i="6"/>
  <c r="R22" i="6"/>
  <c r="P22" i="6"/>
  <c r="N22" i="6"/>
  <c r="L22" i="6"/>
  <c r="BP21" i="6"/>
  <c r="AZ21" i="6"/>
  <c r="AU21" i="6"/>
  <c r="AM21" i="6"/>
  <c r="AK21" i="6"/>
  <c r="AI21" i="6"/>
  <c r="AH21" i="6"/>
  <c r="AF21" i="6"/>
  <c r="AD21" i="6"/>
  <c r="AB21" i="6"/>
  <c r="Z21" i="6"/>
  <c r="X21" i="6"/>
  <c r="V21" i="6"/>
  <c r="T21" i="6"/>
  <c r="R21" i="6"/>
  <c r="P21" i="6"/>
  <c r="N21" i="6"/>
  <c r="L21" i="6"/>
  <c r="AZ20" i="6"/>
  <c r="AU20" i="6"/>
  <c r="AM20" i="6"/>
  <c r="AK20" i="6"/>
  <c r="AI20" i="6"/>
  <c r="BP20" i="6" s="1"/>
  <c r="AH20" i="6"/>
  <c r="AF20" i="6"/>
  <c r="AD20" i="6"/>
  <c r="AB20" i="6"/>
  <c r="Z20" i="6"/>
  <c r="X20" i="6"/>
  <c r="V20" i="6"/>
  <c r="T20" i="6"/>
  <c r="R20" i="6"/>
  <c r="P20" i="6"/>
  <c r="N20" i="6"/>
  <c r="L20" i="6"/>
  <c r="BP19" i="6"/>
  <c r="AZ19" i="6"/>
  <c r="AU19" i="6"/>
  <c r="AM19" i="6"/>
  <c r="AK19" i="6"/>
  <c r="AI19" i="6"/>
  <c r="AH19" i="6"/>
  <c r="AF19" i="6"/>
  <c r="AD19" i="6"/>
  <c r="AB19" i="6"/>
  <c r="Z19" i="6"/>
  <c r="X19" i="6"/>
  <c r="V19" i="6"/>
  <c r="T19" i="6"/>
  <c r="R19" i="6"/>
  <c r="P19" i="6"/>
  <c r="N19" i="6"/>
  <c r="L19" i="6"/>
  <c r="AZ18" i="6"/>
  <c r="AU18" i="6"/>
  <c r="AM18" i="6"/>
  <c r="AK18" i="6"/>
  <c r="AI18" i="6"/>
  <c r="BP18" i="6" s="1"/>
  <c r="AH18" i="6"/>
  <c r="AF18" i="6"/>
  <c r="AD18" i="6"/>
  <c r="AB18" i="6"/>
  <c r="Z18" i="6"/>
  <c r="X18" i="6"/>
  <c r="V18" i="6"/>
  <c r="T18" i="6"/>
  <c r="R18" i="6"/>
  <c r="P18" i="6"/>
  <c r="N18" i="6"/>
  <c r="L18" i="6"/>
  <c r="BP17" i="6"/>
  <c r="AZ17" i="6"/>
  <c r="AU17" i="6"/>
  <c r="AM17" i="6"/>
  <c r="AK17" i="6"/>
  <c r="AI17" i="6"/>
  <c r="AH17" i="6"/>
  <c r="AF17" i="6"/>
  <c r="AD17" i="6"/>
  <c r="AB17" i="6"/>
  <c r="Z17" i="6"/>
  <c r="X17" i="6"/>
  <c r="V17" i="6"/>
  <c r="T17" i="6"/>
  <c r="R17" i="6"/>
  <c r="P17" i="6"/>
  <c r="N17" i="6"/>
  <c r="L17" i="6"/>
  <c r="AZ16" i="6"/>
  <c r="AU16" i="6"/>
  <c r="AM16" i="6"/>
  <c r="AK16" i="6"/>
  <c r="AI16" i="6"/>
  <c r="BP16" i="6" s="1"/>
  <c r="AH16" i="6"/>
  <c r="AF16" i="6"/>
  <c r="AD16" i="6"/>
  <c r="AB16" i="6"/>
  <c r="Z16" i="6"/>
  <c r="X16" i="6"/>
  <c r="V16" i="6"/>
  <c r="T16" i="6"/>
  <c r="R16" i="6"/>
  <c r="P16" i="6"/>
  <c r="N16" i="6"/>
  <c r="L16" i="6"/>
  <c r="BP15" i="6"/>
  <c r="AZ15" i="6"/>
  <c r="AU15" i="6"/>
  <c r="AM15" i="6"/>
  <c r="AK15" i="6"/>
  <c r="AI15" i="6"/>
  <c r="AH15" i="6"/>
  <c r="AF15" i="6"/>
  <c r="AD15" i="6"/>
  <c r="AB15" i="6"/>
  <c r="Z15" i="6"/>
  <c r="X15" i="6"/>
  <c r="V15" i="6"/>
  <c r="T15" i="6"/>
  <c r="R15" i="6"/>
  <c r="P15" i="6"/>
  <c r="N15" i="6"/>
  <c r="L15" i="6"/>
  <c r="AZ14" i="6"/>
  <c r="AU14" i="6"/>
  <c r="AM14" i="6"/>
  <c r="AK14" i="6"/>
  <c r="AI14" i="6"/>
  <c r="BP14" i="6" s="1"/>
  <c r="AH14" i="6"/>
  <c r="AF14" i="6"/>
  <c r="AD14" i="6"/>
  <c r="AB14" i="6"/>
  <c r="Z14" i="6"/>
  <c r="X14" i="6"/>
  <c r="V14" i="6"/>
  <c r="T14" i="6"/>
  <c r="R14" i="6"/>
  <c r="P14" i="6"/>
  <c r="N14" i="6"/>
  <c r="L14" i="6"/>
  <c r="BP13" i="6"/>
  <c r="AZ13" i="6"/>
  <c r="AU13" i="6"/>
  <c r="AM13" i="6"/>
  <c r="AK13" i="6"/>
  <c r="AI13" i="6"/>
  <c r="AH13" i="6"/>
  <c r="AF13" i="6"/>
  <c r="AD13" i="6"/>
  <c r="AB13" i="6"/>
  <c r="Z13" i="6"/>
  <c r="X13" i="6"/>
  <c r="V13" i="6"/>
  <c r="T13" i="6"/>
  <c r="R13" i="6"/>
  <c r="P13" i="6"/>
  <c r="N13" i="6"/>
  <c r="L13" i="6"/>
  <c r="AZ12" i="6"/>
  <c r="AU12" i="6"/>
  <c r="AM12" i="6"/>
  <c r="AK12" i="6"/>
  <c r="AI12" i="6"/>
  <c r="BP12" i="6" s="1"/>
  <c r="AH12" i="6"/>
  <c r="AF12" i="6"/>
  <c r="AD12" i="6"/>
  <c r="AB12" i="6"/>
  <c r="Z12" i="6"/>
  <c r="X12" i="6"/>
  <c r="V12" i="6"/>
  <c r="T12" i="6"/>
  <c r="R12" i="6"/>
  <c r="P12" i="6"/>
  <c r="N12" i="6"/>
  <c r="L12" i="6"/>
  <c r="BP11" i="6"/>
  <c r="AZ11" i="6"/>
  <c r="AU11" i="6"/>
  <c r="AM11" i="6"/>
  <c r="AK11" i="6"/>
  <c r="AI11" i="6"/>
  <c r="AH11" i="6"/>
  <c r="AF11" i="6"/>
  <c r="AD11" i="6"/>
  <c r="AB11" i="6"/>
  <c r="Z11" i="6"/>
  <c r="X11" i="6"/>
  <c r="V11" i="6"/>
  <c r="T11" i="6"/>
  <c r="R11" i="6"/>
  <c r="P11" i="6"/>
  <c r="N11" i="6"/>
  <c r="L11" i="6"/>
  <c r="AZ10" i="6"/>
  <c r="AU10" i="6"/>
  <c r="AM10" i="6"/>
  <c r="AK10" i="6"/>
  <c r="AI10" i="6"/>
  <c r="BP10" i="6" s="1"/>
  <c r="AH10" i="6"/>
  <c r="AF10" i="6"/>
  <c r="AD10" i="6"/>
  <c r="AB10" i="6"/>
  <c r="Z10" i="6"/>
  <c r="X10" i="6"/>
  <c r="V10" i="6"/>
  <c r="T10" i="6"/>
  <c r="R10" i="6"/>
  <c r="P10" i="6"/>
  <c r="N10" i="6"/>
  <c r="L10" i="6"/>
  <c r="BP9" i="6"/>
  <c r="AZ9" i="6"/>
  <c r="AU9" i="6"/>
  <c r="AM9" i="6"/>
  <c r="AK9" i="6"/>
  <c r="AI9" i="6"/>
  <c r="AH9" i="6"/>
  <c r="AF9" i="6"/>
  <c r="AD9" i="6"/>
  <c r="AB9" i="6"/>
  <c r="Z9" i="6"/>
  <c r="X9" i="6"/>
  <c r="V9" i="6"/>
  <c r="T9" i="6"/>
  <c r="R9" i="6"/>
  <c r="P9" i="6"/>
  <c r="N9" i="6"/>
  <c r="L9" i="6"/>
  <c r="AZ8" i="6"/>
  <c r="AU8" i="6"/>
  <c r="AM8" i="6"/>
  <c r="AK8" i="6"/>
  <c r="AI8" i="6"/>
  <c r="BP8" i="6" s="1"/>
  <c r="AH8" i="6"/>
  <c r="AF8" i="6"/>
  <c r="AD8" i="6"/>
  <c r="AB8" i="6"/>
  <c r="Z8" i="6"/>
  <c r="X8" i="6"/>
  <c r="V8" i="6"/>
  <c r="T8" i="6"/>
  <c r="R8" i="6"/>
  <c r="P8" i="6"/>
  <c r="N8" i="6"/>
  <c r="L8" i="6"/>
  <c r="BP7" i="6"/>
  <c r="AZ7" i="6"/>
  <c r="AU7" i="6"/>
  <c r="AM7" i="6"/>
  <c r="AK7" i="6"/>
  <c r="AI7" i="6"/>
  <c r="AH7" i="6"/>
  <c r="AF7" i="6"/>
  <c r="AD7" i="6"/>
  <c r="AB7" i="6"/>
  <c r="Z7" i="6"/>
  <c r="X7" i="6"/>
  <c r="V7" i="6"/>
  <c r="T7" i="6"/>
  <c r="R7" i="6"/>
  <c r="P7" i="6"/>
  <c r="N7" i="6"/>
  <c r="L7" i="6"/>
  <c r="AZ6" i="6"/>
  <c r="AU6" i="6"/>
  <c r="AM6" i="6"/>
  <c r="AK6" i="6"/>
  <c r="AI6" i="6"/>
  <c r="BP6" i="6" s="1"/>
  <c r="AH6" i="6"/>
  <c r="AF6" i="6"/>
  <c r="AD6" i="6"/>
  <c r="AB6" i="6"/>
  <c r="Z6" i="6"/>
  <c r="X6" i="6"/>
  <c r="V6" i="6"/>
  <c r="T6" i="6"/>
  <c r="R6" i="6"/>
  <c r="P6" i="6"/>
  <c r="N6" i="6"/>
  <c r="L6" i="6"/>
  <c r="BP5" i="6"/>
  <c r="AZ5" i="6"/>
  <c r="AU5" i="6"/>
  <c r="AM5" i="6"/>
  <c r="AK5" i="6"/>
  <c r="AI5" i="6"/>
  <c r="AH5" i="6"/>
  <c r="AF5" i="6"/>
  <c r="AD5" i="6"/>
  <c r="AB5" i="6"/>
  <c r="Z5" i="6"/>
  <c r="X5" i="6"/>
  <c r="V5" i="6"/>
  <c r="T5" i="6"/>
  <c r="R5" i="6"/>
  <c r="P5" i="6"/>
  <c r="N5" i="6"/>
  <c r="L5" i="6"/>
  <c r="AZ4" i="6"/>
  <c r="AU4" i="6"/>
  <c r="AM4" i="6"/>
  <c r="AK4" i="6"/>
  <c r="AI4" i="6"/>
  <c r="BP4" i="6" s="1"/>
  <c r="AH4" i="6"/>
  <c r="AF4" i="6"/>
  <c r="AD4" i="6"/>
  <c r="AB4" i="6"/>
  <c r="Z4" i="6"/>
  <c r="X4" i="6"/>
  <c r="V4" i="6"/>
  <c r="T4" i="6"/>
  <c r="R4" i="6"/>
  <c r="P4" i="6"/>
  <c r="N4" i="6"/>
  <c r="L4" i="6"/>
  <c r="BP3" i="6"/>
  <c r="AZ3" i="6"/>
  <c r="AU3" i="6"/>
  <c r="AM3" i="6"/>
  <c r="AK3" i="6"/>
  <c r="AI3" i="6"/>
  <c r="AH3" i="6"/>
  <c r="AF3" i="6"/>
  <c r="AD3" i="6"/>
  <c r="AB3" i="6"/>
  <c r="Z3" i="6"/>
  <c r="X3" i="6"/>
  <c r="V3" i="6"/>
  <c r="T3" i="6"/>
  <c r="R3" i="6"/>
  <c r="P3" i="6"/>
  <c r="N3" i="6"/>
  <c r="L3" i="6"/>
  <c r="AZ2" i="6"/>
  <c r="AU2" i="6"/>
  <c r="AM2" i="6"/>
  <c r="AK2" i="6"/>
  <c r="AI2" i="6"/>
  <c r="BP2" i="6" s="1"/>
  <c r="AH2" i="6"/>
  <c r="AF2" i="6"/>
  <c r="AD2" i="6"/>
  <c r="AB2" i="6"/>
  <c r="Z2" i="6"/>
  <c r="X2" i="6"/>
  <c r="V2" i="6"/>
  <c r="T2" i="6"/>
  <c r="R2" i="6"/>
  <c r="P2" i="6"/>
  <c r="N2" i="6"/>
  <c r="L2" i="6"/>
  <c r="BN14" i="6" l="1"/>
  <c r="BN15" i="6"/>
  <c r="BN31" i="6"/>
  <c r="BN36" i="6"/>
  <c r="BN44" i="6"/>
  <c r="BN49" i="6"/>
  <c r="BN50" i="6"/>
  <c r="BN66" i="6"/>
  <c r="BN71" i="6"/>
  <c r="BN82" i="6"/>
  <c r="BN87" i="6"/>
  <c r="BN98" i="6"/>
  <c r="BN103" i="6"/>
  <c r="BN114" i="6"/>
  <c r="BN119" i="6"/>
  <c r="BN144" i="6"/>
  <c r="BN45" i="6"/>
  <c r="BN46" i="6"/>
  <c r="BN62" i="6"/>
  <c r="BN67" i="6"/>
  <c r="BN78" i="6"/>
  <c r="BN83" i="6"/>
  <c r="BN94" i="6"/>
  <c r="BN99" i="6"/>
  <c r="BN110" i="6"/>
  <c r="BN115" i="6"/>
  <c r="BN126" i="6"/>
  <c r="BN130" i="6"/>
  <c r="BN142" i="6"/>
  <c r="BN143" i="6"/>
  <c r="BN37" i="6"/>
  <c r="BN55" i="6"/>
  <c r="BN120" i="6"/>
  <c r="BN134" i="6"/>
  <c r="BN11" i="6"/>
  <c r="BN26" i="6"/>
  <c r="BN27" i="6"/>
  <c r="BN32" i="6"/>
  <c r="BN16" i="6"/>
  <c r="BN17" i="6"/>
  <c r="BN33" i="6"/>
  <c r="BN38" i="6"/>
  <c r="BN42" i="6"/>
  <c r="BN51" i="6"/>
  <c r="BN52" i="6"/>
  <c r="BN68" i="6"/>
  <c r="BN73" i="6"/>
  <c r="BN84" i="6"/>
  <c r="BN89" i="6"/>
  <c r="BN100" i="6"/>
  <c r="BN105" i="6"/>
  <c r="BN116" i="6"/>
  <c r="BN121" i="6"/>
  <c r="BN131" i="6"/>
  <c r="BN135" i="6"/>
  <c r="BN21" i="6"/>
  <c r="BN77" i="6"/>
  <c r="BN109" i="6"/>
  <c r="BN141" i="6"/>
  <c r="BN10" i="6"/>
  <c r="BN7" i="6"/>
  <c r="BN22" i="6"/>
  <c r="BN23" i="6"/>
  <c r="BN39" i="6"/>
  <c r="BN57" i="6"/>
  <c r="BN58" i="6"/>
  <c r="BN63" i="6"/>
  <c r="BN74" i="6"/>
  <c r="BN79" i="6"/>
  <c r="BN90" i="6"/>
  <c r="BN95" i="6"/>
  <c r="BN106" i="6"/>
  <c r="BN111" i="6"/>
  <c r="BN122" i="6"/>
  <c r="BN127" i="6"/>
  <c r="BN139" i="6"/>
  <c r="BN145" i="6"/>
  <c r="BN61" i="6"/>
  <c r="BN12" i="6"/>
  <c r="BN13" i="6"/>
  <c r="BN28" i="6"/>
  <c r="BN29" i="6"/>
  <c r="BN34" i="6"/>
  <c r="BN47" i="6"/>
  <c r="BN48" i="6"/>
  <c r="BN64" i="6"/>
  <c r="BN69" i="6"/>
  <c r="BN80" i="6"/>
  <c r="BN85" i="6"/>
  <c r="BN96" i="6"/>
  <c r="BN101" i="6"/>
  <c r="BN112" i="6"/>
  <c r="BN117" i="6"/>
  <c r="BN128" i="6"/>
  <c r="BN132" i="6"/>
  <c r="BN136" i="6"/>
  <c r="BN140" i="6"/>
  <c r="BN5" i="6"/>
  <c r="BN72" i="6"/>
  <c r="BN88" i="6"/>
  <c r="BN93" i="6"/>
  <c r="BN104" i="6"/>
  <c r="BN125" i="6"/>
  <c r="BN138" i="6"/>
  <c r="BN18" i="6"/>
  <c r="BN35" i="6"/>
  <c r="BN40" i="6"/>
  <c r="BN43" i="6"/>
  <c r="BN53" i="6"/>
  <c r="BN54" i="6"/>
  <c r="BN70" i="6"/>
  <c r="BN75" i="6"/>
  <c r="BN86" i="6"/>
  <c r="BN91" i="6"/>
  <c r="BN102" i="6"/>
  <c r="BN107" i="6"/>
  <c r="BN118" i="6"/>
  <c r="BN123" i="6"/>
  <c r="BN137" i="6"/>
  <c r="BN4" i="6"/>
  <c r="BN20" i="6"/>
  <c r="BN56" i="6"/>
  <c r="BN2" i="6"/>
  <c r="BN3" i="6"/>
  <c r="BN19" i="6"/>
  <c r="BN6" i="6"/>
  <c r="BN8" i="6"/>
  <c r="BN9" i="6"/>
  <c r="BN24" i="6"/>
  <c r="BN25" i="6"/>
  <c r="BN30" i="6"/>
  <c r="BN41" i="6"/>
  <c r="BN59" i="6"/>
  <c r="BN60" i="6"/>
  <c r="BN65" i="6"/>
  <c r="BN76" i="6"/>
  <c r="BN81" i="6"/>
  <c r="BN92" i="6"/>
  <c r="BN97" i="6"/>
  <c r="BN108" i="6"/>
  <c r="BN113" i="6"/>
  <c r="BN124" i="6"/>
  <c r="BN129" i="6"/>
  <c r="BN133" i="6"/>
  <c r="BQ9" i="6"/>
  <c r="BQ60" i="6"/>
  <c r="BQ124" i="6"/>
  <c r="BQ69" i="6"/>
  <c r="BQ114" i="6"/>
  <c r="BQ3" i="6"/>
  <c r="BQ6" i="6"/>
  <c r="BQ19" i="6"/>
  <c r="BQ22" i="6"/>
  <c r="BQ38" i="6"/>
  <c r="BQ39" i="6"/>
  <c r="BQ42" i="6"/>
  <c r="BQ54" i="6"/>
  <c r="BQ57" i="6"/>
  <c r="BQ70" i="6"/>
  <c r="BQ73" i="6"/>
  <c r="BQ86" i="6"/>
  <c r="BQ89" i="6"/>
  <c r="BQ102" i="6"/>
  <c r="BQ105" i="6"/>
  <c r="BQ118" i="6"/>
  <c r="BQ121" i="6"/>
  <c r="BQ25" i="6"/>
  <c r="BQ143" i="6"/>
  <c r="BQ15" i="6"/>
  <c r="BQ34" i="6"/>
  <c r="BQ41" i="6"/>
  <c r="BQ53" i="6"/>
  <c r="BQ5" i="6"/>
  <c r="BQ8" i="6"/>
  <c r="BQ21" i="6"/>
  <c r="BQ24" i="6"/>
  <c r="BQ40" i="6"/>
  <c r="BQ56" i="6"/>
  <c r="BQ59" i="6"/>
  <c r="BQ72" i="6"/>
  <c r="BQ75" i="6"/>
  <c r="BQ88" i="6"/>
  <c r="BQ91" i="6"/>
  <c r="BQ104" i="6"/>
  <c r="BQ107" i="6"/>
  <c r="BQ120" i="6"/>
  <c r="BQ123" i="6"/>
  <c r="BQ2" i="6"/>
  <c r="BQ37" i="6"/>
  <c r="BQ35" i="6"/>
  <c r="BQ33" i="6"/>
  <c r="BQ18" i="6"/>
  <c r="BQ85" i="6"/>
  <c r="BQ11" i="6"/>
  <c r="BQ27" i="6"/>
  <c r="BQ30" i="6"/>
  <c r="BQ46" i="6"/>
  <c r="BQ49" i="6"/>
  <c r="BQ62" i="6"/>
  <c r="BQ65" i="6"/>
  <c r="BQ78" i="6"/>
  <c r="BQ81" i="6"/>
  <c r="BQ94" i="6"/>
  <c r="BQ97" i="6"/>
  <c r="BQ110" i="6"/>
  <c r="BQ113" i="6"/>
  <c r="BQ126" i="6"/>
  <c r="BQ129" i="6"/>
  <c r="BQ141" i="6"/>
  <c r="BQ12" i="6"/>
  <c r="BQ98" i="6"/>
  <c r="BQ4" i="6"/>
  <c r="BQ17" i="6"/>
  <c r="BQ20" i="6"/>
  <c r="BQ36" i="6"/>
  <c r="BQ52" i="6"/>
  <c r="BQ55" i="6"/>
  <c r="BQ68" i="6"/>
  <c r="BQ71" i="6"/>
  <c r="BQ84" i="6"/>
  <c r="BQ87" i="6"/>
  <c r="BQ100" i="6"/>
  <c r="BQ103" i="6"/>
  <c r="BQ116" i="6"/>
  <c r="BQ119" i="6"/>
  <c r="BQ130" i="6"/>
  <c r="BQ139" i="6"/>
  <c r="BQ63" i="6"/>
  <c r="BQ95" i="6"/>
  <c r="BQ31" i="6"/>
  <c r="BQ66" i="6"/>
  <c r="BQ117" i="6"/>
  <c r="BQ7" i="6"/>
  <c r="BQ10" i="6"/>
  <c r="BQ23" i="6"/>
  <c r="BQ26" i="6"/>
  <c r="BQ45" i="6"/>
  <c r="BQ58" i="6"/>
  <c r="BQ61" i="6"/>
  <c r="BQ74" i="6"/>
  <c r="BQ77" i="6"/>
  <c r="BQ90" i="6"/>
  <c r="BQ93" i="6"/>
  <c r="BQ106" i="6"/>
  <c r="BQ109" i="6"/>
  <c r="BQ122" i="6"/>
  <c r="BQ125" i="6"/>
  <c r="BQ142" i="6"/>
  <c r="BQ28" i="6"/>
  <c r="BQ92" i="6"/>
  <c r="BQ127" i="6"/>
  <c r="BQ50" i="6"/>
  <c r="BQ82" i="6"/>
  <c r="BQ101" i="6"/>
  <c r="BQ14" i="6"/>
  <c r="BQ13" i="6"/>
  <c r="BQ16" i="6"/>
  <c r="BQ29" i="6"/>
  <c r="BQ32" i="6"/>
  <c r="BQ43" i="6"/>
  <c r="BQ48" i="6"/>
  <c r="BQ51" i="6"/>
  <c r="BQ64" i="6"/>
  <c r="BQ67" i="6"/>
  <c r="BQ80" i="6"/>
  <c r="BQ83" i="6"/>
  <c r="BQ96" i="6"/>
  <c r="BQ99" i="6"/>
  <c r="BQ112" i="6"/>
  <c r="BQ115" i="6"/>
  <c r="BQ128" i="6"/>
  <c r="BQ140" i="6"/>
  <c r="BQ144" i="6"/>
  <c r="BQ145" i="6"/>
  <c r="BQ108" i="6"/>
  <c r="BQ132" i="6"/>
  <c r="BQ134" i="6"/>
  <c r="BQ136" i="6"/>
  <c r="BQ138" i="6"/>
  <c r="BQ131" i="6"/>
  <c r="BQ133" i="6"/>
  <c r="BQ135" i="6"/>
  <c r="BQ137" i="6"/>
  <c r="BB37" i="5" l="1"/>
  <c r="AW37" i="5"/>
  <c r="AO37" i="5"/>
  <c r="AM37" i="5"/>
  <c r="AK37" i="5"/>
  <c r="AJ37" i="5"/>
  <c r="AH37" i="5"/>
  <c r="AF37" i="5"/>
  <c r="AD37" i="5"/>
  <c r="AB37" i="5"/>
  <c r="Z37" i="5"/>
  <c r="X37" i="5"/>
  <c r="V37" i="5"/>
  <c r="T37" i="5"/>
  <c r="R37" i="5"/>
  <c r="P37" i="5"/>
  <c r="N37" i="5"/>
  <c r="L37" i="5"/>
  <c r="BB36" i="5"/>
  <c r="AW36" i="5"/>
  <c r="AO36" i="5"/>
  <c r="AM36" i="5"/>
  <c r="AK36" i="5"/>
  <c r="AJ36" i="5"/>
  <c r="AH36" i="5"/>
  <c r="AF36" i="5"/>
  <c r="AD36" i="5"/>
  <c r="AB36" i="5"/>
  <c r="Z36" i="5"/>
  <c r="X36" i="5"/>
  <c r="V36" i="5"/>
  <c r="T36" i="5"/>
  <c r="R36" i="5"/>
  <c r="P36" i="5"/>
  <c r="N36" i="5"/>
  <c r="L36" i="5"/>
  <c r="BB35" i="5"/>
  <c r="AW35" i="5"/>
  <c r="AO35" i="5"/>
  <c r="AM35" i="5"/>
  <c r="AK35" i="5"/>
  <c r="AJ35" i="5"/>
  <c r="AH35" i="5"/>
  <c r="AF35" i="5"/>
  <c r="AD35" i="5"/>
  <c r="AB35" i="5"/>
  <c r="Z35" i="5"/>
  <c r="X35" i="5"/>
  <c r="V35" i="5"/>
  <c r="T35" i="5"/>
  <c r="R35" i="5"/>
  <c r="P35" i="5"/>
  <c r="N35" i="5"/>
  <c r="L35" i="5"/>
  <c r="BB34" i="5"/>
  <c r="AW34" i="5"/>
  <c r="AO34" i="5"/>
  <c r="AM34" i="5"/>
  <c r="AK34" i="5"/>
  <c r="AJ34" i="5"/>
  <c r="AH34" i="5"/>
  <c r="AF34" i="5"/>
  <c r="AD34" i="5"/>
  <c r="AB34" i="5"/>
  <c r="Z34" i="5"/>
  <c r="X34" i="5"/>
  <c r="V34" i="5"/>
  <c r="T34" i="5"/>
  <c r="R34" i="5"/>
  <c r="P34" i="5"/>
  <c r="N34" i="5"/>
  <c r="L34" i="5"/>
  <c r="BB33" i="5"/>
  <c r="AW33" i="5"/>
  <c r="AO33" i="5"/>
  <c r="AM33" i="5"/>
  <c r="AK33" i="5"/>
  <c r="AJ33" i="5"/>
  <c r="AH33" i="5"/>
  <c r="AF33" i="5"/>
  <c r="AD33" i="5"/>
  <c r="AB33" i="5"/>
  <c r="Z33" i="5"/>
  <c r="X33" i="5"/>
  <c r="V33" i="5"/>
  <c r="T33" i="5"/>
  <c r="R33" i="5"/>
  <c r="P33" i="5"/>
  <c r="N33" i="5"/>
  <c r="L33" i="5"/>
  <c r="BB32" i="5"/>
  <c r="AW32" i="5"/>
  <c r="AO32" i="5"/>
  <c r="AM32" i="5"/>
  <c r="AK32" i="5"/>
  <c r="AJ32" i="5"/>
  <c r="AH32" i="5"/>
  <c r="AF32" i="5"/>
  <c r="AD32" i="5"/>
  <c r="AB32" i="5"/>
  <c r="Z32" i="5"/>
  <c r="X32" i="5"/>
  <c r="V32" i="5"/>
  <c r="T32" i="5"/>
  <c r="R32" i="5"/>
  <c r="P32" i="5"/>
  <c r="N32" i="5"/>
  <c r="L32" i="5"/>
  <c r="BB31" i="5"/>
  <c r="AW31" i="5"/>
  <c r="AO31" i="5"/>
  <c r="AM31" i="5"/>
  <c r="AK31" i="5"/>
  <c r="AJ31" i="5"/>
  <c r="AH31" i="5"/>
  <c r="AF31" i="5"/>
  <c r="AD31" i="5"/>
  <c r="AB31" i="5"/>
  <c r="Z31" i="5"/>
  <c r="X31" i="5"/>
  <c r="V31" i="5"/>
  <c r="T31" i="5"/>
  <c r="R31" i="5"/>
  <c r="P31" i="5"/>
  <c r="N31" i="5"/>
  <c r="L31" i="5"/>
  <c r="BB30" i="5"/>
  <c r="AW30" i="5"/>
  <c r="AO30" i="5"/>
  <c r="AM30" i="5"/>
  <c r="AK30" i="5"/>
  <c r="AJ30" i="5"/>
  <c r="AH30" i="5"/>
  <c r="AF30" i="5"/>
  <c r="AD30" i="5"/>
  <c r="AB30" i="5"/>
  <c r="Z30" i="5"/>
  <c r="X30" i="5"/>
  <c r="V30" i="5"/>
  <c r="T30" i="5"/>
  <c r="R30" i="5"/>
  <c r="P30" i="5"/>
  <c r="N30" i="5"/>
  <c r="L30" i="5"/>
  <c r="BB29" i="5"/>
  <c r="AW29" i="5"/>
  <c r="AO29" i="5"/>
  <c r="AM29" i="5"/>
  <c r="AK29" i="5"/>
  <c r="AJ29" i="5"/>
  <c r="AH29" i="5"/>
  <c r="AF29" i="5"/>
  <c r="AD29" i="5"/>
  <c r="AB29" i="5"/>
  <c r="Z29" i="5"/>
  <c r="X29" i="5"/>
  <c r="V29" i="5"/>
  <c r="T29" i="5"/>
  <c r="R29" i="5"/>
  <c r="P29" i="5"/>
  <c r="N29" i="5"/>
  <c r="L29" i="5"/>
  <c r="BB28" i="5"/>
  <c r="AW28" i="5"/>
  <c r="AO28" i="5"/>
  <c r="AM28" i="5"/>
  <c r="AK28" i="5"/>
  <c r="AJ28" i="5"/>
  <c r="AH28" i="5"/>
  <c r="AF28" i="5"/>
  <c r="AD28" i="5"/>
  <c r="AB28" i="5"/>
  <c r="Z28" i="5"/>
  <c r="X28" i="5"/>
  <c r="V28" i="5"/>
  <c r="T28" i="5"/>
  <c r="R28" i="5"/>
  <c r="P28" i="5"/>
  <c r="N28" i="5"/>
  <c r="L28" i="5"/>
  <c r="BB27" i="5"/>
  <c r="AW27" i="5"/>
  <c r="AO27" i="5"/>
  <c r="AM27" i="5"/>
  <c r="AK27" i="5"/>
  <c r="AJ27" i="5"/>
  <c r="AH27" i="5"/>
  <c r="AF27" i="5"/>
  <c r="AD27" i="5"/>
  <c r="AB27" i="5"/>
  <c r="Z27" i="5"/>
  <c r="X27" i="5"/>
  <c r="V27" i="5"/>
  <c r="T27" i="5"/>
  <c r="R27" i="5"/>
  <c r="P27" i="5"/>
  <c r="N27" i="5"/>
  <c r="L27" i="5"/>
  <c r="BB26" i="5"/>
  <c r="AW26" i="5"/>
  <c r="AO26" i="5"/>
  <c r="AM26" i="5"/>
  <c r="AK26" i="5"/>
  <c r="AJ26" i="5"/>
  <c r="AH26" i="5"/>
  <c r="AF26" i="5"/>
  <c r="AD26" i="5"/>
  <c r="AB26" i="5"/>
  <c r="Z26" i="5"/>
  <c r="X26" i="5"/>
  <c r="V26" i="5"/>
  <c r="T26" i="5"/>
  <c r="R26" i="5"/>
  <c r="P26" i="5"/>
  <c r="N26" i="5"/>
  <c r="L26" i="5"/>
  <c r="BB25" i="5"/>
  <c r="AW25" i="5"/>
  <c r="AO25" i="5"/>
  <c r="AM25" i="5"/>
  <c r="AK25" i="5"/>
  <c r="AJ25" i="5"/>
  <c r="AH25" i="5"/>
  <c r="AF25" i="5"/>
  <c r="AD25" i="5"/>
  <c r="AB25" i="5"/>
  <c r="Z25" i="5"/>
  <c r="X25" i="5"/>
  <c r="V25" i="5"/>
  <c r="T25" i="5"/>
  <c r="R25" i="5"/>
  <c r="P25" i="5"/>
  <c r="N25" i="5"/>
  <c r="L25" i="5"/>
  <c r="BB24" i="5"/>
  <c r="AW24" i="5"/>
  <c r="AO24" i="5"/>
  <c r="AM24" i="5"/>
  <c r="AK24" i="5"/>
  <c r="AJ24" i="5"/>
  <c r="AH24" i="5"/>
  <c r="AF24" i="5"/>
  <c r="AD24" i="5"/>
  <c r="AB24" i="5"/>
  <c r="Z24" i="5"/>
  <c r="X24" i="5"/>
  <c r="V24" i="5"/>
  <c r="T24" i="5"/>
  <c r="R24" i="5"/>
  <c r="P24" i="5"/>
  <c r="N24" i="5"/>
  <c r="L24" i="5"/>
  <c r="BB23" i="5"/>
  <c r="AW23" i="5"/>
  <c r="AO23" i="5"/>
  <c r="AM23" i="5"/>
  <c r="AK23" i="5"/>
  <c r="AJ23" i="5"/>
  <c r="AH23" i="5"/>
  <c r="AF23" i="5"/>
  <c r="AD23" i="5"/>
  <c r="AB23" i="5"/>
  <c r="Z23" i="5"/>
  <c r="X23" i="5"/>
  <c r="V23" i="5"/>
  <c r="T23" i="5"/>
  <c r="R23" i="5"/>
  <c r="P23" i="5"/>
  <c r="N23" i="5"/>
  <c r="L23" i="5"/>
  <c r="BB22" i="5"/>
  <c r="AW22" i="5"/>
  <c r="AO22" i="5"/>
  <c r="AM22" i="5"/>
  <c r="AK22" i="5"/>
  <c r="AJ22" i="5"/>
  <c r="AH22" i="5"/>
  <c r="AF22" i="5"/>
  <c r="AD22" i="5"/>
  <c r="AB22" i="5"/>
  <c r="Z22" i="5"/>
  <c r="X22" i="5"/>
  <c r="V22" i="5"/>
  <c r="T22" i="5"/>
  <c r="R22" i="5"/>
  <c r="P22" i="5"/>
  <c r="N22" i="5"/>
  <c r="L22" i="5"/>
  <c r="BB21" i="5"/>
  <c r="AW21" i="5"/>
  <c r="AO21" i="5"/>
  <c r="AM21" i="5"/>
  <c r="AK21" i="5"/>
  <c r="AJ21" i="5"/>
  <c r="AH21" i="5"/>
  <c r="AF21" i="5"/>
  <c r="AD21" i="5"/>
  <c r="AB21" i="5"/>
  <c r="Z21" i="5"/>
  <c r="X21" i="5"/>
  <c r="V21" i="5"/>
  <c r="T21" i="5"/>
  <c r="R21" i="5"/>
  <c r="P21" i="5"/>
  <c r="N21" i="5"/>
  <c r="L21" i="5"/>
  <c r="BB20" i="5"/>
  <c r="AW20" i="5"/>
  <c r="AO20" i="5"/>
  <c r="AM20" i="5"/>
  <c r="AK20" i="5"/>
  <c r="AJ20" i="5"/>
  <c r="AH20" i="5"/>
  <c r="AF20" i="5"/>
  <c r="AD20" i="5"/>
  <c r="AB20" i="5"/>
  <c r="Z20" i="5"/>
  <c r="X20" i="5"/>
  <c r="V20" i="5"/>
  <c r="T20" i="5"/>
  <c r="R20" i="5"/>
  <c r="P20" i="5"/>
  <c r="N20" i="5"/>
  <c r="L20" i="5"/>
  <c r="BB19" i="5"/>
  <c r="AW19" i="5"/>
  <c r="AO19" i="5"/>
  <c r="AM19" i="5"/>
  <c r="AK19" i="5"/>
  <c r="AJ19" i="5"/>
  <c r="AH19" i="5"/>
  <c r="AF19" i="5"/>
  <c r="AD19" i="5"/>
  <c r="AB19" i="5"/>
  <c r="Z19" i="5"/>
  <c r="X19" i="5"/>
  <c r="V19" i="5"/>
  <c r="T19" i="5"/>
  <c r="R19" i="5"/>
  <c r="P19" i="5"/>
  <c r="N19" i="5"/>
  <c r="L19" i="5"/>
  <c r="BB18" i="5"/>
  <c r="AW18" i="5"/>
  <c r="AO18" i="5"/>
  <c r="AM18" i="5"/>
  <c r="AK18" i="5"/>
  <c r="AJ18" i="5"/>
  <c r="AH18" i="5"/>
  <c r="AF18" i="5"/>
  <c r="AD18" i="5"/>
  <c r="AB18" i="5"/>
  <c r="Z18" i="5"/>
  <c r="X18" i="5"/>
  <c r="V18" i="5"/>
  <c r="T18" i="5"/>
  <c r="R18" i="5"/>
  <c r="P18" i="5"/>
  <c r="N18" i="5"/>
  <c r="L18" i="5"/>
  <c r="BB17" i="5"/>
  <c r="AW17" i="5"/>
  <c r="AO17" i="5"/>
  <c r="AM17" i="5"/>
  <c r="AK17" i="5"/>
  <c r="AJ17" i="5"/>
  <c r="AH17" i="5"/>
  <c r="AF17" i="5"/>
  <c r="AD17" i="5"/>
  <c r="AB17" i="5"/>
  <c r="Z17" i="5"/>
  <c r="X17" i="5"/>
  <c r="V17" i="5"/>
  <c r="T17" i="5"/>
  <c r="R17" i="5"/>
  <c r="P17" i="5"/>
  <c r="N17" i="5"/>
  <c r="L17" i="5"/>
  <c r="BB16" i="5"/>
  <c r="AW16" i="5"/>
  <c r="AO16" i="5"/>
  <c r="AM16" i="5"/>
  <c r="AK16" i="5"/>
  <c r="AJ16" i="5"/>
  <c r="AH16" i="5"/>
  <c r="AF16" i="5"/>
  <c r="AD16" i="5"/>
  <c r="AB16" i="5"/>
  <c r="Z16" i="5"/>
  <c r="X16" i="5"/>
  <c r="V16" i="5"/>
  <c r="T16" i="5"/>
  <c r="R16" i="5"/>
  <c r="P16" i="5"/>
  <c r="N16" i="5"/>
  <c r="L16" i="5"/>
  <c r="BB15" i="5"/>
  <c r="AW15" i="5"/>
  <c r="AO15" i="5"/>
  <c r="AM15" i="5"/>
  <c r="AK15" i="5"/>
  <c r="AJ15" i="5"/>
  <c r="AH15" i="5"/>
  <c r="AF15" i="5"/>
  <c r="AD15" i="5"/>
  <c r="AB15" i="5"/>
  <c r="Z15" i="5"/>
  <c r="X15" i="5"/>
  <c r="V15" i="5"/>
  <c r="T15" i="5"/>
  <c r="R15" i="5"/>
  <c r="P15" i="5"/>
  <c r="N15" i="5"/>
  <c r="L15" i="5"/>
  <c r="BB14" i="5"/>
  <c r="AW14" i="5"/>
  <c r="AO14" i="5"/>
  <c r="AM14" i="5"/>
  <c r="AK14" i="5"/>
  <c r="AJ14" i="5"/>
  <c r="AH14" i="5"/>
  <c r="AF14" i="5"/>
  <c r="AD14" i="5"/>
  <c r="AB14" i="5"/>
  <c r="Z14" i="5"/>
  <c r="X14" i="5"/>
  <c r="V14" i="5"/>
  <c r="T14" i="5"/>
  <c r="R14" i="5"/>
  <c r="P14" i="5"/>
  <c r="N14" i="5"/>
  <c r="L14" i="5"/>
  <c r="BB13" i="5"/>
  <c r="AW13" i="5"/>
  <c r="AO13" i="5"/>
  <c r="AM13" i="5"/>
  <c r="AK13" i="5"/>
  <c r="AJ13" i="5"/>
  <c r="AH13" i="5"/>
  <c r="AF13" i="5"/>
  <c r="AD13" i="5"/>
  <c r="AB13" i="5"/>
  <c r="Z13" i="5"/>
  <c r="X13" i="5"/>
  <c r="V13" i="5"/>
  <c r="T13" i="5"/>
  <c r="R13" i="5"/>
  <c r="P13" i="5"/>
  <c r="N13" i="5"/>
  <c r="L13" i="5"/>
  <c r="BB12" i="5"/>
  <c r="AW12" i="5"/>
  <c r="AO12" i="5"/>
  <c r="AM12" i="5"/>
  <c r="AK12" i="5"/>
  <c r="AJ12" i="5"/>
  <c r="AH12" i="5"/>
  <c r="AF12" i="5"/>
  <c r="AD12" i="5"/>
  <c r="AB12" i="5"/>
  <c r="Z12" i="5"/>
  <c r="X12" i="5"/>
  <c r="V12" i="5"/>
  <c r="T12" i="5"/>
  <c r="R12" i="5"/>
  <c r="P12" i="5"/>
  <c r="N12" i="5"/>
  <c r="L12" i="5"/>
  <c r="BB11" i="5"/>
  <c r="AW11" i="5"/>
  <c r="AO11" i="5"/>
  <c r="AM11" i="5"/>
  <c r="AK11" i="5"/>
  <c r="AJ11" i="5"/>
  <c r="AH11" i="5"/>
  <c r="AF11" i="5"/>
  <c r="AD11" i="5"/>
  <c r="AB11" i="5"/>
  <c r="Z11" i="5"/>
  <c r="X11" i="5"/>
  <c r="V11" i="5"/>
  <c r="T11" i="5"/>
  <c r="R11" i="5"/>
  <c r="P11" i="5"/>
  <c r="N11" i="5"/>
  <c r="L11" i="5"/>
  <c r="BB10" i="5"/>
  <c r="AW10" i="5"/>
  <c r="AO10" i="5"/>
  <c r="AM10" i="5"/>
  <c r="AK10" i="5"/>
  <c r="AJ10" i="5"/>
  <c r="AH10" i="5"/>
  <c r="AF10" i="5"/>
  <c r="AD10" i="5"/>
  <c r="AB10" i="5"/>
  <c r="Z10" i="5"/>
  <c r="X10" i="5"/>
  <c r="V10" i="5"/>
  <c r="T10" i="5"/>
  <c r="R10" i="5"/>
  <c r="P10" i="5"/>
  <c r="N10" i="5"/>
  <c r="L10" i="5"/>
  <c r="BB9" i="5"/>
  <c r="AW9" i="5"/>
  <c r="AO9" i="5"/>
  <c r="AM9" i="5"/>
  <c r="AK9" i="5"/>
  <c r="AJ9" i="5"/>
  <c r="AH9" i="5"/>
  <c r="AF9" i="5"/>
  <c r="AD9" i="5"/>
  <c r="AB9" i="5"/>
  <c r="Z9" i="5"/>
  <c r="X9" i="5"/>
  <c r="V9" i="5"/>
  <c r="T9" i="5"/>
  <c r="R9" i="5"/>
  <c r="P9" i="5"/>
  <c r="N9" i="5"/>
  <c r="L9" i="5"/>
  <c r="BB8" i="5"/>
  <c r="AW8" i="5"/>
  <c r="AO8" i="5"/>
  <c r="AM8" i="5"/>
  <c r="AK8" i="5"/>
  <c r="AJ8" i="5"/>
  <c r="AH8" i="5"/>
  <c r="AF8" i="5"/>
  <c r="AD8" i="5"/>
  <c r="AB8" i="5"/>
  <c r="Z8" i="5"/>
  <c r="X8" i="5"/>
  <c r="V8" i="5"/>
  <c r="T8" i="5"/>
  <c r="R8" i="5"/>
  <c r="P8" i="5"/>
  <c r="N8" i="5"/>
  <c r="L8" i="5"/>
  <c r="BB7" i="5"/>
  <c r="AW7" i="5"/>
  <c r="AO7" i="5"/>
  <c r="AM7" i="5"/>
  <c r="AK7" i="5"/>
  <c r="AJ7" i="5"/>
  <c r="AH7" i="5"/>
  <c r="AF7" i="5"/>
  <c r="AD7" i="5"/>
  <c r="AB7" i="5"/>
  <c r="Z7" i="5"/>
  <c r="X7" i="5"/>
  <c r="V7" i="5"/>
  <c r="T7" i="5"/>
  <c r="R7" i="5"/>
  <c r="P7" i="5"/>
  <c r="N7" i="5"/>
  <c r="L7" i="5"/>
  <c r="BB6" i="5"/>
  <c r="AW6" i="5"/>
  <c r="AO6" i="5"/>
  <c r="AM6" i="5"/>
  <c r="AK6" i="5"/>
  <c r="AJ6" i="5"/>
  <c r="AH6" i="5"/>
  <c r="AF6" i="5"/>
  <c r="AD6" i="5"/>
  <c r="AB6" i="5"/>
  <c r="Z6" i="5"/>
  <c r="X6" i="5"/>
  <c r="V6" i="5"/>
  <c r="T6" i="5"/>
  <c r="R6" i="5"/>
  <c r="P6" i="5"/>
  <c r="N6" i="5"/>
  <c r="L6" i="5"/>
  <c r="BB5" i="5"/>
  <c r="AW5" i="5"/>
  <c r="AO5" i="5"/>
  <c r="AM5" i="5"/>
  <c r="AK5" i="5"/>
  <c r="AJ5" i="5"/>
  <c r="AH5" i="5"/>
  <c r="AF5" i="5"/>
  <c r="AD5" i="5"/>
  <c r="AB5" i="5"/>
  <c r="Z5" i="5"/>
  <c r="X5" i="5"/>
  <c r="V5" i="5"/>
  <c r="T5" i="5"/>
  <c r="R5" i="5"/>
  <c r="P5" i="5"/>
  <c r="N5" i="5"/>
  <c r="L5" i="5"/>
  <c r="BB4" i="5"/>
  <c r="AW4" i="5"/>
  <c r="AO4" i="5"/>
  <c r="AM4" i="5"/>
  <c r="AK4" i="5"/>
  <c r="AJ4" i="5"/>
  <c r="AH4" i="5"/>
  <c r="AF4" i="5"/>
  <c r="AD4" i="5"/>
  <c r="AB4" i="5"/>
  <c r="Z4" i="5"/>
  <c r="X4" i="5"/>
  <c r="V4" i="5"/>
  <c r="T4" i="5"/>
  <c r="R4" i="5"/>
  <c r="P4" i="5"/>
  <c r="N4" i="5"/>
  <c r="L4" i="5"/>
  <c r="BB3" i="5"/>
  <c r="AW3" i="5"/>
  <c r="AO3" i="5"/>
  <c r="AM3" i="5"/>
  <c r="AK3" i="5"/>
  <c r="AJ3" i="5"/>
  <c r="AH3" i="5"/>
  <c r="AF3" i="5"/>
  <c r="AD3" i="5"/>
  <c r="AB3" i="5"/>
  <c r="Z3" i="5"/>
  <c r="X3" i="5"/>
  <c r="V3" i="5"/>
  <c r="T3" i="5"/>
  <c r="R3" i="5"/>
  <c r="P3" i="5"/>
  <c r="N3" i="5"/>
  <c r="L3" i="5"/>
  <c r="BB2" i="5"/>
  <c r="AW2" i="5"/>
  <c r="AO2" i="5"/>
  <c r="AM2" i="5"/>
  <c r="AK2" i="5"/>
  <c r="AJ2" i="5"/>
  <c r="AH2" i="5"/>
  <c r="AF2" i="5"/>
  <c r="AD2" i="5"/>
  <c r="AB2" i="5"/>
  <c r="Z2" i="5"/>
  <c r="X2" i="5"/>
  <c r="V2" i="5"/>
  <c r="T2" i="5"/>
  <c r="R2" i="5"/>
  <c r="P2" i="5"/>
  <c r="N2" i="5"/>
  <c r="L2" i="5"/>
  <c r="BF109" i="4" l="1"/>
  <c r="BA109" i="4"/>
  <c r="AO109" i="4"/>
  <c r="P109" i="4"/>
  <c r="BT109" i="4" s="1"/>
  <c r="BF108" i="4"/>
  <c r="BA108" i="4"/>
  <c r="AS108" i="4"/>
  <c r="AQ108" i="4"/>
  <c r="AO108" i="4"/>
  <c r="AN108" i="4"/>
  <c r="AL108" i="4"/>
  <c r="AJ108" i="4"/>
  <c r="AH108" i="4"/>
  <c r="AF108" i="4"/>
  <c r="AD108" i="4"/>
  <c r="AB108" i="4"/>
  <c r="Z108" i="4"/>
  <c r="X108" i="4"/>
  <c r="V108" i="4"/>
  <c r="T108" i="4"/>
  <c r="R108" i="4"/>
  <c r="P108" i="4"/>
  <c r="N108" i="4"/>
  <c r="BF107" i="4"/>
  <c r="BA107" i="4"/>
  <c r="AS107" i="4"/>
  <c r="AQ107" i="4"/>
  <c r="AO107" i="4"/>
  <c r="AN107" i="4"/>
  <c r="AL107" i="4"/>
  <c r="AJ107" i="4"/>
  <c r="AH107" i="4"/>
  <c r="AF107" i="4"/>
  <c r="AD107" i="4"/>
  <c r="AB107" i="4"/>
  <c r="Z107" i="4"/>
  <c r="X107" i="4"/>
  <c r="V107" i="4"/>
  <c r="T107" i="4"/>
  <c r="R107" i="4"/>
  <c r="P107" i="4"/>
  <c r="N107" i="4"/>
  <c r="BF106" i="4"/>
  <c r="BA106" i="4"/>
  <c r="AS106" i="4"/>
  <c r="AQ106" i="4"/>
  <c r="AO106" i="4"/>
  <c r="AN106" i="4"/>
  <c r="AL106" i="4"/>
  <c r="AJ106" i="4"/>
  <c r="AH106" i="4"/>
  <c r="AF106" i="4"/>
  <c r="AD106" i="4"/>
  <c r="AB106" i="4"/>
  <c r="Z106" i="4"/>
  <c r="X106" i="4"/>
  <c r="V106" i="4"/>
  <c r="T106" i="4"/>
  <c r="R106" i="4"/>
  <c r="P106" i="4"/>
  <c r="N106" i="4"/>
  <c r="BF105" i="4"/>
  <c r="BA105" i="4"/>
  <c r="AS105" i="4"/>
  <c r="AQ105" i="4"/>
  <c r="AO105" i="4"/>
  <c r="AN105" i="4"/>
  <c r="AL105" i="4"/>
  <c r="AJ105" i="4"/>
  <c r="AH105" i="4"/>
  <c r="AF105" i="4"/>
  <c r="AD105" i="4"/>
  <c r="AB105" i="4"/>
  <c r="Z105" i="4"/>
  <c r="X105" i="4"/>
  <c r="V105" i="4"/>
  <c r="T105" i="4"/>
  <c r="R105" i="4"/>
  <c r="P105" i="4"/>
  <c r="N105" i="4"/>
  <c r="BF104" i="4"/>
  <c r="BA104" i="4"/>
  <c r="AS104" i="4"/>
  <c r="AQ104" i="4"/>
  <c r="AO104" i="4"/>
  <c r="AN104" i="4"/>
  <c r="AL104" i="4"/>
  <c r="AJ104" i="4"/>
  <c r="AH104" i="4"/>
  <c r="AF104" i="4"/>
  <c r="AD104" i="4"/>
  <c r="AB104" i="4"/>
  <c r="Z104" i="4"/>
  <c r="X104" i="4"/>
  <c r="V104" i="4"/>
  <c r="T104" i="4"/>
  <c r="R104" i="4"/>
  <c r="P104" i="4"/>
  <c r="N104" i="4"/>
  <c r="BF103" i="4"/>
  <c r="BA103" i="4"/>
  <c r="AS103" i="4"/>
  <c r="AQ103" i="4"/>
  <c r="AO103" i="4"/>
  <c r="AN103" i="4"/>
  <c r="AL103" i="4"/>
  <c r="AJ103" i="4"/>
  <c r="AH103" i="4"/>
  <c r="AF103" i="4"/>
  <c r="AD103" i="4"/>
  <c r="AB103" i="4"/>
  <c r="Z103" i="4"/>
  <c r="X103" i="4"/>
  <c r="V103" i="4"/>
  <c r="T103" i="4"/>
  <c r="R103" i="4"/>
  <c r="P103" i="4"/>
  <c r="N103" i="4"/>
  <c r="BF102" i="4"/>
  <c r="BA102" i="4"/>
  <c r="AS102" i="4"/>
  <c r="AQ102" i="4"/>
  <c r="AO102" i="4"/>
  <c r="AN102" i="4"/>
  <c r="AL102" i="4"/>
  <c r="AJ102" i="4"/>
  <c r="AH102" i="4"/>
  <c r="AF102" i="4"/>
  <c r="AD102" i="4"/>
  <c r="AB102" i="4"/>
  <c r="Z102" i="4"/>
  <c r="X102" i="4"/>
  <c r="V102" i="4"/>
  <c r="T102" i="4"/>
  <c r="R102" i="4"/>
  <c r="P102" i="4"/>
  <c r="N102" i="4"/>
  <c r="BF101" i="4"/>
  <c r="BA101" i="4"/>
  <c r="AS101" i="4"/>
  <c r="AQ101" i="4"/>
  <c r="AO101" i="4"/>
  <c r="AN101" i="4"/>
  <c r="AL101" i="4"/>
  <c r="AJ101" i="4"/>
  <c r="AH101" i="4"/>
  <c r="AF101" i="4"/>
  <c r="AD101" i="4"/>
  <c r="AB101" i="4"/>
  <c r="Z101" i="4"/>
  <c r="X101" i="4"/>
  <c r="V101" i="4"/>
  <c r="T101" i="4"/>
  <c r="R101" i="4"/>
  <c r="P101" i="4"/>
  <c r="N101" i="4"/>
  <c r="BF100" i="4"/>
  <c r="BA100" i="4"/>
  <c r="AS100" i="4"/>
  <c r="AQ100" i="4"/>
  <c r="AO100" i="4"/>
  <c r="AN100" i="4"/>
  <c r="AL100" i="4"/>
  <c r="AJ100" i="4"/>
  <c r="AH100" i="4"/>
  <c r="AF100" i="4"/>
  <c r="AD100" i="4"/>
  <c r="AB100" i="4"/>
  <c r="Z100" i="4"/>
  <c r="X100" i="4"/>
  <c r="V100" i="4"/>
  <c r="T100" i="4"/>
  <c r="R100" i="4"/>
  <c r="P100" i="4"/>
  <c r="N100" i="4"/>
  <c r="BF99" i="4"/>
  <c r="BA99" i="4"/>
  <c r="AS99" i="4"/>
  <c r="AQ99" i="4"/>
  <c r="AO99" i="4"/>
  <c r="AN99" i="4"/>
  <c r="AL99" i="4"/>
  <c r="AJ99" i="4"/>
  <c r="AH99" i="4"/>
  <c r="AF99" i="4"/>
  <c r="AD99" i="4"/>
  <c r="AB99" i="4"/>
  <c r="Z99" i="4"/>
  <c r="X99" i="4"/>
  <c r="V99" i="4"/>
  <c r="T99" i="4"/>
  <c r="R99" i="4"/>
  <c r="P99" i="4"/>
  <c r="N99" i="4"/>
  <c r="BF98" i="4"/>
  <c r="BA98" i="4"/>
  <c r="AS98" i="4"/>
  <c r="AQ98" i="4"/>
  <c r="AO98" i="4"/>
  <c r="AN98" i="4"/>
  <c r="AL98" i="4"/>
  <c r="AJ98" i="4"/>
  <c r="AH98" i="4"/>
  <c r="AF98" i="4"/>
  <c r="AD98" i="4"/>
  <c r="AB98" i="4"/>
  <c r="Z98" i="4"/>
  <c r="X98" i="4"/>
  <c r="V98" i="4"/>
  <c r="T98" i="4"/>
  <c r="R98" i="4"/>
  <c r="P98" i="4"/>
  <c r="N98" i="4"/>
  <c r="BF97" i="4"/>
  <c r="BA97" i="4"/>
  <c r="AS97" i="4"/>
  <c r="AQ97" i="4"/>
  <c r="AO97" i="4"/>
  <c r="AN97" i="4"/>
  <c r="AL97" i="4"/>
  <c r="AJ97" i="4"/>
  <c r="AH97" i="4"/>
  <c r="AF97" i="4"/>
  <c r="AD97" i="4"/>
  <c r="AB97" i="4"/>
  <c r="Z97" i="4"/>
  <c r="X97" i="4"/>
  <c r="V97" i="4"/>
  <c r="T97" i="4"/>
  <c r="R97" i="4"/>
  <c r="P97" i="4"/>
  <c r="N97" i="4"/>
  <c r="BA96" i="4"/>
  <c r="AS96" i="4"/>
  <c r="AQ96" i="4"/>
  <c r="AO96" i="4"/>
  <c r="AN96" i="4"/>
  <c r="AL96" i="4"/>
  <c r="AJ96" i="4"/>
  <c r="AH96" i="4"/>
  <c r="AF96" i="4"/>
  <c r="AD96" i="4"/>
  <c r="AB96" i="4"/>
  <c r="Z96" i="4"/>
  <c r="X96" i="4"/>
  <c r="V96" i="4"/>
  <c r="T96" i="4"/>
  <c r="R96" i="4"/>
  <c r="P96" i="4"/>
  <c r="N96" i="4"/>
  <c r="BF95" i="4"/>
  <c r="BA95" i="4"/>
  <c r="AS95" i="4"/>
  <c r="AQ95" i="4"/>
  <c r="AO95" i="4"/>
  <c r="AN95" i="4"/>
  <c r="AL95" i="4"/>
  <c r="AJ95" i="4"/>
  <c r="AH95" i="4"/>
  <c r="AF95" i="4"/>
  <c r="AD95" i="4"/>
  <c r="AB95" i="4"/>
  <c r="Z95" i="4"/>
  <c r="X95" i="4"/>
  <c r="V95" i="4"/>
  <c r="T95" i="4"/>
  <c r="R95" i="4"/>
  <c r="P95" i="4"/>
  <c r="N95" i="4"/>
  <c r="BF94" i="4"/>
  <c r="BA94" i="4"/>
  <c r="AS94" i="4"/>
  <c r="AQ94" i="4"/>
  <c r="AO94" i="4"/>
  <c r="AN94" i="4"/>
  <c r="AL94" i="4"/>
  <c r="AJ94" i="4"/>
  <c r="AH94" i="4"/>
  <c r="AF94" i="4"/>
  <c r="AD94" i="4"/>
  <c r="AB94" i="4"/>
  <c r="Z94" i="4"/>
  <c r="X94" i="4"/>
  <c r="V94" i="4"/>
  <c r="T94" i="4"/>
  <c r="R94" i="4"/>
  <c r="P94" i="4"/>
  <c r="N94" i="4"/>
  <c r="BF93" i="4"/>
  <c r="BA93" i="4"/>
  <c r="AS93" i="4"/>
  <c r="AQ93" i="4"/>
  <c r="AO93" i="4"/>
  <c r="AN93" i="4"/>
  <c r="AL93" i="4"/>
  <c r="AJ93" i="4"/>
  <c r="AH93" i="4"/>
  <c r="AF93" i="4"/>
  <c r="AD93" i="4"/>
  <c r="AB93" i="4"/>
  <c r="Z93" i="4"/>
  <c r="X93" i="4"/>
  <c r="V93" i="4"/>
  <c r="T93" i="4"/>
  <c r="R93" i="4"/>
  <c r="P93" i="4"/>
  <c r="N93" i="4"/>
  <c r="BF92" i="4"/>
  <c r="BA92" i="4"/>
  <c r="AS92" i="4"/>
  <c r="AQ92" i="4"/>
  <c r="AO92" i="4"/>
  <c r="AN92" i="4"/>
  <c r="AL92" i="4"/>
  <c r="AJ92" i="4"/>
  <c r="AH92" i="4"/>
  <c r="AF92" i="4"/>
  <c r="AD92" i="4"/>
  <c r="AB92" i="4"/>
  <c r="Z92" i="4"/>
  <c r="X92" i="4"/>
  <c r="V92" i="4"/>
  <c r="T92" i="4"/>
  <c r="R92" i="4"/>
  <c r="P92" i="4"/>
  <c r="N92" i="4"/>
  <c r="BF91" i="4"/>
  <c r="BA91" i="4"/>
  <c r="AS91" i="4"/>
  <c r="AQ91" i="4"/>
  <c r="AO91" i="4"/>
  <c r="AN91" i="4"/>
  <c r="AL91" i="4"/>
  <c r="AJ91" i="4"/>
  <c r="AH91" i="4"/>
  <c r="AF91" i="4"/>
  <c r="AD91" i="4"/>
  <c r="AB91" i="4"/>
  <c r="Z91" i="4"/>
  <c r="X91" i="4"/>
  <c r="V91" i="4"/>
  <c r="T91" i="4"/>
  <c r="R91" i="4"/>
  <c r="P91" i="4"/>
  <c r="N91" i="4"/>
  <c r="BK90" i="4"/>
  <c r="BF90" i="4"/>
  <c r="BA90" i="4"/>
  <c r="AS90" i="4"/>
  <c r="AQ90" i="4"/>
  <c r="AO90" i="4"/>
  <c r="AN90" i="4"/>
  <c r="AL90" i="4"/>
  <c r="AJ90" i="4"/>
  <c r="AH90" i="4"/>
  <c r="AF90" i="4"/>
  <c r="AD90" i="4"/>
  <c r="AB90" i="4"/>
  <c r="Z90" i="4"/>
  <c r="X90" i="4"/>
  <c r="V90" i="4"/>
  <c r="T90" i="4"/>
  <c r="R90" i="4"/>
  <c r="P90" i="4"/>
  <c r="N90" i="4"/>
  <c r="BF89" i="4"/>
  <c r="BA89" i="4"/>
  <c r="AS89" i="4"/>
  <c r="AQ89" i="4"/>
  <c r="AO89" i="4"/>
  <c r="AN89" i="4"/>
  <c r="AL89" i="4"/>
  <c r="AJ89" i="4"/>
  <c r="AH89" i="4"/>
  <c r="AF89" i="4"/>
  <c r="AD89" i="4"/>
  <c r="AB89" i="4"/>
  <c r="Z89" i="4"/>
  <c r="X89" i="4"/>
  <c r="V89" i="4"/>
  <c r="T89" i="4"/>
  <c r="R89" i="4"/>
  <c r="P89" i="4"/>
  <c r="N89" i="4"/>
  <c r="BF88" i="4"/>
  <c r="BA88" i="4"/>
  <c r="AS88" i="4"/>
  <c r="AQ88" i="4"/>
  <c r="AO88" i="4"/>
  <c r="AN88" i="4"/>
  <c r="AL88" i="4"/>
  <c r="AJ88" i="4"/>
  <c r="AH88" i="4"/>
  <c r="AF88" i="4"/>
  <c r="AD88" i="4"/>
  <c r="AB88" i="4"/>
  <c r="Z88" i="4"/>
  <c r="X88" i="4"/>
  <c r="V88" i="4"/>
  <c r="T88" i="4"/>
  <c r="R88" i="4"/>
  <c r="P88" i="4"/>
  <c r="N88" i="4"/>
  <c r="BF87" i="4"/>
  <c r="BA87" i="4"/>
  <c r="AS87" i="4"/>
  <c r="AQ87" i="4"/>
  <c r="AO87" i="4"/>
  <c r="AN87" i="4"/>
  <c r="AL87" i="4"/>
  <c r="AJ87" i="4"/>
  <c r="AH87" i="4"/>
  <c r="AF87" i="4"/>
  <c r="AD87" i="4"/>
  <c r="AB87" i="4"/>
  <c r="Z87" i="4"/>
  <c r="X87" i="4"/>
  <c r="V87" i="4"/>
  <c r="T87" i="4"/>
  <c r="R87" i="4"/>
  <c r="P87" i="4"/>
  <c r="N87" i="4"/>
  <c r="BF86" i="4"/>
  <c r="BA86" i="4"/>
  <c r="AS86" i="4"/>
  <c r="AQ86" i="4"/>
  <c r="AO86" i="4"/>
  <c r="AN86" i="4"/>
  <c r="AL86" i="4"/>
  <c r="AJ86" i="4"/>
  <c r="AH86" i="4"/>
  <c r="AF86" i="4"/>
  <c r="AD86" i="4"/>
  <c r="AB86" i="4"/>
  <c r="Z86" i="4"/>
  <c r="X86" i="4"/>
  <c r="V86" i="4"/>
  <c r="T86" i="4"/>
  <c r="R86" i="4"/>
  <c r="P86" i="4"/>
  <c r="N86" i="4"/>
  <c r="BF85" i="4"/>
  <c r="BA85" i="4"/>
  <c r="AS85" i="4"/>
  <c r="AQ85" i="4"/>
  <c r="AO85" i="4"/>
  <c r="AN85" i="4"/>
  <c r="AL85" i="4"/>
  <c r="AJ85" i="4"/>
  <c r="AH85" i="4"/>
  <c r="AF85" i="4"/>
  <c r="AD85" i="4"/>
  <c r="AB85" i="4"/>
  <c r="Z85" i="4"/>
  <c r="X85" i="4"/>
  <c r="V85" i="4"/>
  <c r="T85" i="4"/>
  <c r="R85" i="4"/>
  <c r="P85" i="4"/>
  <c r="N85" i="4"/>
  <c r="BF84" i="4"/>
  <c r="BA84" i="4"/>
  <c r="AS84" i="4"/>
  <c r="AQ84" i="4"/>
  <c r="AO84" i="4"/>
  <c r="AN84" i="4"/>
  <c r="AL84" i="4"/>
  <c r="AJ84" i="4"/>
  <c r="AH84" i="4"/>
  <c r="AF84" i="4"/>
  <c r="AD84" i="4"/>
  <c r="AB84" i="4"/>
  <c r="Z84" i="4"/>
  <c r="X84" i="4"/>
  <c r="V84" i="4"/>
  <c r="T84" i="4"/>
  <c r="R84" i="4"/>
  <c r="P84" i="4"/>
  <c r="N84" i="4"/>
  <c r="BF83" i="4"/>
  <c r="BA83" i="4"/>
  <c r="AS83" i="4"/>
  <c r="AQ83" i="4"/>
  <c r="AO83" i="4"/>
  <c r="AN83" i="4"/>
  <c r="AL83" i="4"/>
  <c r="AJ83" i="4"/>
  <c r="AH83" i="4"/>
  <c r="AF83" i="4"/>
  <c r="AD83" i="4"/>
  <c r="AB83" i="4"/>
  <c r="Z83" i="4"/>
  <c r="X83" i="4"/>
  <c r="V83" i="4"/>
  <c r="T83" i="4"/>
  <c r="R83" i="4"/>
  <c r="P83" i="4"/>
  <c r="N83" i="4"/>
  <c r="BF82" i="4"/>
  <c r="BA82" i="4"/>
  <c r="AS82" i="4"/>
  <c r="AQ82" i="4"/>
  <c r="AO82" i="4"/>
  <c r="AN82" i="4"/>
  <c r="AL82" i="4"/>
  <c r="AJ82" i="4"/>
  <c r="AH82" i="4"/>
  <c r="AF82" i="4"/>
  <c r="AD82" i="4"/>
  <c r="AB82" i="4"/>
  <c r="Z82" i="4"/>
  <c r="X82" i="4"/>
  <c r="V82" i="4"/>
  <c r="T82" i="4"/>
  <c r="R82" i="4"/>
  <c r="P82" i="4"/>
  <c r="N82" i="4"/>
  <c r="BF81" i="4"/>
  <c r="BA81" i="4"/>
  <c r="AS81" i="4"/>
  <c r="AQ81" i="4"/>
  <c r="AO81" i="4"/>
  <c r="AN81" i="4"/>
  <c r="AL81" i="4"/>
  <c r="AJ81" i="4"/>
  <c r="AH81" i="4"/>
  <c r="AF81" i="4"/>
  <c r="AD81" i="4"/>
  <c r="AB81" i="4"/>
  <c r="Z81" i="4"/>
  <c r="X81" i="4"/>
  <c r="V81" i="4"/>
  <c r="T81" i="4"/>
  <c r="R81" i="4"/>
  <c r="P81" i="4"/>
  <c r="N81" i="4"/>
  <c r="BF80" i="4"/>
  <c r="BA80" i="4"/>
  <c r="AS80" i="4"/>
  <c r="AQ80" i="4"/>
  <c r="AO80" i="4"/>
  <c r="AN80" i="4"/>
  <c r="AL80" i="4"/>
  <c r="AJ80" i="4"/>
  <c r="AH80" i="4"/>
  <c r="AF80" i="4"/>
  <c r="AD80" i="4"/>
  <c r="AB80" i="4"/>
  <c r="Z80" i="4"/>
  <c r="X80" i="4"/>
  <c r="V80" i="4"/>
  <c r="T80" i="4"/>
  <c r="R80" i="4"/>
  <c r="P80" i="4"/>
  <c r="N80" i="4"/>
  <c r="BF79" i="4"/>
  <c r="BA79" i="4"/>
  <c r="AS79" i="4"/>
  <c r="AQ79" i="4"/>
  <c r="AO79" i="4"/>
  <c r="AN79" i="4"/>
  <c r="AL79" i="4"/>
  <c r="AJ79" i="4"/>
  <c r="AH79" i="4"/>
  <c r="AF79" i="4"/>
  <c r="AD79" i="4"/>
  <c r="AB79" i="4"/>
  <c r="Z79" i="4"/>
  <c r="X79" i="4"/>
  <c r="V79" i="4"/>
  <c r="T79" i="4"/>
  <c r="R79" i="4"/>
  <c r="P79" i="4"/>
  <c r="N79" i="4"/>
  <c r="BF78" i="4"/>
  <c r="BA78" i="4"/>
  <c r="AS78" i="4"/>
  <c r="AQ78" i="4"/>
  <c r="AO78" i="4"/>
  <c r="AN78" i="4"/>
  <c r="AL78" i="4"/>
  <c r="AJ78" i="4"/>
  <c r="AH78" i="4"/>
  <c r="AF78" i="4"/>
  <c r="AD78" i="4"/>
  <c r="AB78" i="4"/>
  <c r="Z78" i="4"/>
  <c r="X78" i="4"/>
  <c r="V78" i="4"/>
  <c r="T78" i="4"/>
  <c r="R78" i="4"/>
  <c r="P78" i="4"/>
  <c r="N78" i="4"/>
  <c r="BF77" i="4"/>
  <c r="BA77" i="4"/>
  <c r="AS77" i="4"/>
  <c r="AQ77" i="4"/>
  <c r="AO77" i="4"/>
  <c r="AN77" i="4"/>
  <c r="AL77" i="4"/>
  <c r="AJ77" i="4"/>
  <c r="AH77" i="4"/>
  <c r="AF77" i="4"/>
  <c r="AD77" i="4"/>
  <c r="AB77" i="4"/>
  <c r="Z77" i="4"/>
  <c r="X77" i="4"/>
  <c r="V77" i="4"/>
  <c r="T77" i="4"/>
  <c r="R77" i="4"/>
  <c r="P77" i="4"/>
  <c r="N77" i="4"/>
  <c r="BF76" i="4"/>
  <c r="BA76" i="4"/>
  <c r="AS76" i="4"/>
  <c r="AQ76" i="4"/>
  <c r="AO76" i="4"/>
  <c r="AN76" i="4"/>
  <c r="AL76" i="4"/>
  <c r="AJ76" i="4"/>
  <c r="AH76" i="4"/>
  <c r="AF76" i="4"/>
  <c r="AD76" i="4"/>
  <c r="AB76" i="4"/>
  <c r="Z76" i="4"/>
  <c r="X76" i="4"/>
  <c r="V76" i="4"/>
  <c r="T76" i="4"/>
  <c r="R76" i="4"/>
  <c r="P76" i="4"/>
  <c r="N76" i="4"/>
  <c r="BF75" i="4"/>
  <c r="BA75" i="4"/>
  <c r="AS75" i="4"/>
  <c r="AQ75" i="4"/>
  <c r="AO75" i="4"/>
  <c r="AN75" i="4"/>
  <c r="AL75" i="4"/>
  <c r="AJ75" i="4"/>
  <c r="AH75" i="4"/>
  <c r="AF75" i="4"/>
  <c r="AD75" i="4"/>
  <c r="AB75" i="4"/>
  <c r="Z75" i="4"/>
  <c r="X75" i="4"/>
  <c r="V75" i="4"/>
  <c r="T75" i="4"/>
  <c r="R75" i="4"/>
  <c r="P75" i="4"/>
  <c r="N75" i="4"/>
  <c r="BF74" i="4"/>
  <c r="BA74" i="4"/>
  <c r="AS74" i="4"/>
  <c r="AQ74" i="4"/>
  <c r="AO74" i="4"/>
  <c r="AN74" i="4"/>
  <c r="AL74" i="4"/>
  <c r="AJ74" i="4"/>
  <c r="AH74" i="4"/>
  <c r="AF74" i="4"/>
  <c r="AD74" i="4"/>
  <c r="AB74" i="4"/>
  <c r="Z74" i="4"/>
  <c r="X74" i="4"/>
  <c r="V74" i="4"/>
  <c r="T74" i="4"/>
  <c r="R74" i="4"/>
  <c r="P74" i="4"/>
  <c r="N74" i="4"/>
  <c r="BF73" i="4"/>
  <c r="BA73" i="4"/>
  <c r="AS73" i="4"/>
  <c r="AQ73" i="4"/>
  <c r="AO73" i="4"/>
  <c r="AN73" i="4"/>
  <c r="AL73" i="4"/>
  <c r="AJ73" i="4"/>
  <c r="AH73" i="4"/>
  <c r="AF73" i="4"/>
  <c r="AD73" i="4"/>
  <c r="AB73" i="4"/>
  <c r="Z73" i="4"/>
  <c r="X73" i="4"/>
  <c r="V73" i="4"/>
  <c r="T73" i="4"/>
  <c r="R73" i="4"/>
  <c r="P73" i="4"/>
  <c r="N73" i="4"/>
  <c r="BF72" i="4"/>
  <c r="BA72" i="4"/>
  <c r="AS72" i="4"/>
  <c r="AQ72" i="4"/>
  <c r="AO72" i="4"/>
  <c r="AN72" i="4"/>
  <c r="AL72" i="4"/>
  <c r="AJ72" i="4"/>
  <c r="AH72" i="4"/>
  <c r="AF72" i="4"/>
  <c r="AD72" i="4"/>
  <c r="AB72" i="4"/>
  <c r="Z72" i="4"/>
  <c r="X72" i="4"/>
  <c r="V72" i="4"/>
  <c r="T72" i="4"/>
  <c r="R72" i="4"/>
  <c r="P72" i="4"/>
  <c r="N72" i="4"/>
  <c r="BF71" i="4"/>
  <c r="BA71" i="4"/>
  <c r="AS71" i="4"/>
  <c r="AQ71" i="4"/>
  <c r="AO71" i="4"/>
  <c r="AN71" i="4"/>
  <c r="AL71" i="4"/>
  <c r="AJ71" i="4"/>
  <c r="AH71" i="4"/>
  <c r="AF71" i="4"/>
  <c r="AD71" i="4"/>
  <c r="AB71" i="4"/>
  <c r="Z71" i="4"/>
  <c r="X71" i="4"/>
  <c r="V71" i="4"/>
  <c r="T71" i="4"/>
  <c r="R71" i="4"/>
  <c r="P71" i="4"/>
  <c r="N71" i="4"/>
  <c r="BF70" i="4"/>
  <c r="BA70" i="4"/>
  <c r="AS70" i="4"/>
  <c r="AQ70" i="4"/>
  <c r="AO70" i="4"/>
  <c r="AN70" i="4"/>
  <c r="AL70" i="4"/>
  <c r="AJ70" i="4"/>
  <c r="AH70" i="4"/>
  <c r="AF70" i="4"/>
  <c r="AD70" i="4"/>
  <c r="AB70" i="4"/>
  <c r="Z70" i="4"/>
  <c r="X70" i="4"/>
  <c r="V70" i="4"/>
  <c r="T70" i="4"/>
  <c r="R70" i="4"/>
  <c r="P70" i="4"/>
  <c r="N70" i="4"/>
  <c r="BF69" i="4"/>
  <c r="BA69" i="4"/>
  <c r="AS69" i="4"/>
  <c r="AQ69" i="4"/>
  <c r="AO69" i="4"/>
  <c r="AN69" i="4"/>
  <c r="AL69" i="4"/>
  <c r="AJ69" i="4"/>
  <c r="AH69" i="4"/>
  <c r="AF69" i="4"/>
  <c r="AD69" i="4"/>
  <c r="AB69" i="4"/>
  <c r="Z69" i="4"/>
  <c r="X69" i="4"/>
  <c r="V69" i="4"/>
  <c r="T69" i="4"/>
  <c r="R69" i="4"/>
  <c r="P69" i="4"/>
  <c r="N69" i="4"/>
  <c r="BF68" i="4"/>
  <c r="BA68" i="4"/>
  <c r="AS68" i="4"/>
  <c r="AQ68" i="4"/>
  <c r="AO68" i="4"/>
  <c r="AN68" i="4"/>
  <c r="AL68" i="4"/>
  <c r="AJ68" i="4"/>
  <c r="AH68" i="4"/>
  <c r="AF68" i="4"/>
  <c r="AD68" i="4"/>
  <c r="AB68" i="4"/>
  <c r="Z68" i="4"/>
  <c r="X68" i="4"/>
  <c r="V68" i="4"/>
  <c r="T68" i="4"/>
  <c r="R68" i="4"/>
  <c r="P68" i="4"/>
  <c r="N68" i="4"/>
  <c r="BF67" i="4"/>
  <c r="BA67" i="4"/>
  <c r="AS67" i="4"/>
  <c r="AQ67" i="4"/>
  <c r="AO67" i="4"/>
  <c r="AN67" i="4"/>
  <c r="AL67" i="4"/>
  <c r="AJ67" i="4"/>
  <c r="AH67" i="4"/>
  <c r="AF67" i="4"/>
  <c r="AD67" i="4"/>
  <c r="AB67" i="4"/>
  <c r="Z67" i="4"/>
  <c r="X67" i="4"/>
  <c r="V67" i="4"/>
  <c r="T67" i="4"/>
  <c r="R67" i="4"/>
  <c r="P67" i="4"/>
  <c r="N67" i="4"/>
  <c r="BF66" i="4"/>
  <c r="BA66" i="4"/>
  <c r="AS66" i="4"/>
  <c r="AQ66" i="4"/>
  <c r="AO66" i="4"/>
  <c r="AN66" i="4"/>
  <c r="AL66" i="4"/>
  <c r="AJ66" i="4"/>
  <c r="AH66" i="4"/>
  <c r="AF66" i="4"/>
  <c r="AD66" i="4"/>
  <c r="AB66" i="4"/>
  <c r="Z66" i="4"/>
  <c r="X66" i="4"/>
  <c r="V66" i="4"/>
  <c r="T66" i="4"/>
  <c r="R66" i="4"/>
  <c r="P66" i="4"/>
  <c r="N66" i="4"/>
  <c r="BF65" i="4"/>
  <c r="BA65" i="4"/>
  <c r="AS65" i="4"/>
  <c r="AQ65" i="4"/>
  <c r="AO65" i="4"/>
  <c r="AN65" i="4"/>
  <c r="AL65" i="4"/>
  <c r="AJ65" i="4"/>
  <c r="AH65" i="4"/>
  <c r="AF65" i="4"/>
  <c r="AD65" i="4"/>
  <c r="AB65" i="4"/>
  <c r="Z65" i="4"/>
  <c r="X65" i="4"/>
  <c r="V65" i="4"/>
  <c r="T65" i="4"/>
  <c r="R65" i="4"/>
  <c r="P65" i="4"/>
  <c r="N65" i="4"/>
  <c r="BF64" i="4"/>
  <c r="BA64" i="4"/>
  <c r="AS64" i="4"/>
  <c r="AQ64" i="4"/>
  <c r="AO64" i="4"/>
  <c r="AN64" i="4"/>
  <c r="AL64" i="4"/>
  <c r="AJ64" i="4"/>
  <c r="AH64" i="4"/>
  <c r="AF64" i="4"/>
  <c r="AD64" i="4"/>
  <c r="AB64" i="4"/>
  <c r="Z64" i="4"/>
  <c r="X64" i="4"/>
  <c r="V64" i="4"/>
  <c r="T64" i="4"/>
  <c r="R64" i="4"/>
  <c r="P64" i="4"/>
  <c r="N64" i="4"/>
  <c r="BF63" i="4"/>
  <c r="BA63" i="4"/>
  <c r="AS63" i="4"/>
  <c r="AQ63" i="4"/>
  <c r="AO63" i="4"/>
  <c r="AN63" i="4"/>
  <c r="AL63" i="4"/>
  <c r="AJ63" i="4"/>
  <c r="AH63" i="4"/>
  <c r="AF63" i="4"/>
  <c r="AD63" i="4"/>
  <c r="AB63" i="4"/>
  <c r="Z63" i="4"/>
  <c r="X63" i="4"/>
  <c r="V63" i="4"/>
  <c r="T63" i="4"/>
  <c r="R63" i="4"/>
  <c r="P63" i="4"/>
  <c r="N63" i="4"/>
  <c r="BF62" i="4"/>
  <c r="BA62" i="4"/>
  <c r="AS62" i="4"/>
  <c r="AQ62" i="4"/>
  <c r="AO62" i="4"/>
  <c r="AN62" i="4"/>
  <c r="AL62" i="4"/>
  <c r="AJ62" i="4"/>
  <c r="AH62" i="4"/>
  <c r="AF62" i="4"/>
  <c r="AD62" i="4"/>
  <c r="AB62" i="4"/>
  <c r="Z62" i="4"/>
  <c r="X62" i="4"/>
  <c r="V62" i="4"/>
  <c r="T62" i="4"/>
  <c r="R62" i="4"/>
  <c r="P62" i="4"/>
  <c r="N62" i="4"/>
  <c r="BF61" i="4"/>
  <c r="BA61" i="4"/>
  <c r="AS61" i="4"/>
  <c r="AQ61" i="4"/>
  <c r="AO61" i="4"/>
  <c r="AN61" i="4"/>
  <c r="AL61" i="4"/>
  <c r="AJ61" i="4"/>
  <c r="AH61" i="4"/>
  <c r="AF61" i="4"/>
  <c r="AD61" i="4"/>
  <c r="AB61" i="4"/>
  <c r="Z61" i="4"/>
  <c r="X61" i="4"/>
  <c r="V61" i="4"/>
  <c r="T61" i="4"/>
  <c r="R61" i="4"/>
  <c r="P61" i="4"/>
  <c r="N61" i="4"/>
  <c r="BF60" i="4"/>
  <c r="BA60" i="4"/>
  <c r="AS60" i="4"/>
  <c r="AQ60" i="4"/>
  <c r="AO60" i="4"/>
  <c r="AN60" i="4"/>
  <c r="AL60" i="4"/>
  <c r="AJ60" i="4"/>
  <c r="AH60" i="4"/>
  <c r="AF60" i="4"/>
  <c r="AD60" i="4"/>
  <c r="AB60" i="4"/>
  <c r="Z60" i="4"/>
  <c r="X60" i="4"/>
  <c r="V60" i="4"/>
  <c r="T60" i="4"/>
  <c r="R60" i="4"/>
  <c r="P60" i="4"/>
  <c r="N60" i="4"/>
  <c r="BF59" i="4"/>
  <c r="BA59" i="4"/>
  <c r="AS59" i="4"/>
  <c r="AQ59" i="4"/>
  <c r="AO59" i="4"/>
  <c r="AN59" i="4"/>
  <c r="AL59" i="4"/>
  <c r="AJ59" i="4"/>
  <c r="AH59" i="4"/>
  <c r="AF59" i="4"/>
  <c r="AD59" i="4"/>
  <c r="AB59" i="4"/>
  <c r="Z59" i="4"/>
  <c r="X59" i="4"/>
  <c r="V59" i="4"/>
  <c r="T59" i="4"/>
  <c r="R59" i="4"/>
  <c r="P59" i="4"/>
  <c r="N59" i="4"/>
  <c r="BF58" i="4"/>
  <c r="BA58" i="4"/>
  <c r="AS58" i="4"/>
  <c r="AQ58" i="4"/>
  <c r="AO58" i="4"/>
  <c r="AN58" i="4"/>
  <c r="AL58" i="4"/>
  <c r="AJ58" i="4"/>
  <c r="AH58" i="4"/>
  <c r="AF58" i="4"/>
  <c r="AD58" i="4"/>
  <c r="AB58" i="4"/>
  <c r="Z58" i="4"/>
  <c r="X58" i="4"/>
  <c r="V58" i="4"/>
  <c r="T58" i="4"/>
  <c r="R58" i="4"/>
  <c r="P58" i="4"/>
  <c r="N58" i="4"/>
  <c r="BF57" i="4"/>
  <c r="BA57" i="4"/>
  <c r="AS57" i="4"/>
  <c r="AQ57" i="4"/>
  <c r="AO57" i="4"/>
  <c r="AN57" i="4"/>
  <c r="AL57" i="4"/>
  <c r="AJ57" i="4"/>
  <c r="AH57" i="4"/>
  <c r="AF57" i="4"/>
  <c r="AD57" i="4"/>
  <c r="AB57" i="4"/>
  <c r="Z57" i="4"/>
  <c r="X57" i="4"/>
  <c r="V57" i="4"/>
  <c r="T57" i="4"/>
  <c r="R57" i="4"/>
  <c r="P57" i="4"/>
  <c r="N57" i="4"/>
  <c r="BF56" i="4"/>
  <c r="BA56" i="4"/>
  <c r="AS56" i="4"/>
  <c r="AQ56" i="4"/>
  <c r="AO56" i="4"/>
  <c r="AN56" i="4"/>
  <c r="AL56" i="4"/>
  <c r="AJ56" i="4"/>
  <c r="AH56" i="4"/>
  <c r="AF56" i="4"/>
  <c r="AD56" i="4"/>
  <c r="AB56" i="4"/>
  <c r="Z56" i="4"/>
  <c r="X56" i="4"/>
  <c r="V56" i="4"/>
  <c r="T56" i="4"/>
  <c r="R56" i="4"/>
  <c r="P56" i="4"/>
  <c r="N56" i="4"/>
  <c r="BF55" i="4"/>
  <c r="BA55" i="4"/>
  <c r="AS55" i="4"/>
  <c r="AQ55" i="4"/>
  <c r="AO55" i="4"/>
  <c r="AN55" i="4"/>
  <c r="AL55" i="4"/>
  <c r="AJ55" i="4"/>
  <c r="AH55" i="4"/>
  <c r="AF55" i="4"/>
  <c r="AD55" i="4"/>
  <c r="AB55" i="4"/>
  <c r="Z55" i="4"/>
  <c r="X55" i="4"/>
  <c r="V55" i="4"/>
  <c r="T55" i="4"/>
  <c r="R55" i="4"/>
  <c r="P55" i="4"/>
  <c r="N55" i="4"/>
  <c r="BF54" i="4"/>
  <c r="BA54" i="4"/>
  <c r="AS54" i="4"/>
  <c r="AQ54" i="4"/>
  <c r="AO54" i="4"/>
  <c r="AN54" i="4"/>
  <c r="AL54" i="4"/>
  <c r="AJ54" i="4"/>
  <c r="AH54" i="4"/>
  <c r="AF54" i="4"/>
  <c r="AD54" i="4"/>
  <c r="AB54" i="4"/>
  <c r="Z54" i="4"/>
  <c r="X54" i="4"/>
  <c r="V54" i="4"/>
  <c r="T54" i="4"/>
  <c r="R54" i="4"/>
  <c r="P54" i="4"/>
  <c r="N54" i="4"/>
  <c r="BF53" i="4"/>
  <c r="BA53" i="4"/>
  <c r="AS53" i="4"/>
  <c r="AQ53" i="4"/>
  <c r="AO53" i="4"/>
  <c r="AN53" i="4"/>
  <c r="AL53" i="4"/>
  <c r="AJ53" i="4"/>
  <c r="AH53" i="4"/>
  <c r="AF53" i="4"/>
  <c r="AD53" i="4"/>
  <c r="AB53" i="4"/>
  <c r="Z53" i="4"/>
  <c r="X53" i="4"/>
  <c r="V53" i="4"/>
  <c r="T53" i="4"/>
  <c r="R53" i="4"/>
  <c r="P53" i="4"/>
  <c r="N53" i="4"/>
  <c r="BF52" i="4"/>
  <c r="BA52" i="4"/>
  <c r="AS52" i="4"/>
  <c r="AQ52" i="4"/>
  <c r="AO52" i="4"/>
  <c r="AN52" i="4"/>
  <c r="AL52" i="4"/>
  <c r="AJ52" i="4"/>
  <c r="AH52" i="4"/>
  <c r="AF52" i="4"/>
  <c r="AD52" i="4"/>
  <c r="AB52" i="4"/>
  <c r="Z52" i="4"/>
  <c r="X52" i="4"/>
  <c r="V52" i="4"/>
  <c r="T52" i="4"/>
  <c r="R52" i="4"/>
  <c r="P52" i="4"/>
  <c r="N52" i="4"/>
  <c r="BF51" i="4"/>
  <c r="BA51" i="4"/>
  <c r="AS51" i="4"/>
  <c r="AQ51" i="4"/>
  <c r="AO51" i="4"/>
  <c r="AN51" i="4"/>
  <c r="AL51" i="4"/>
  <c r="AJ51" i="4"/>
  <c r="AH51" i="4"/>
  <c r="AF51" i="4"/>
  <c r="AD51" i="4"/>
  <c r="AB51" i="4"/>
  <c r="Z51" i="4"/>
  <c r="X51" i="4"/>
  <c r="V51" i="4"/>
  <c r="T51" i="4"/>
  <c r="R51" i="4"/>
  <c r="P51" i="4"/>
  <c r="N51" i="4"/>
  <c r="BF50" i="4"/>
  <c r="BA50" i="4"/>
  <c r="AS50" i="4"/>
  <c r="AQ50" i="4"/>
  <c r="AO50" i="4"/>
  <c r="AN50" i="4"/>
  <c r="AL50" i="4"/>
  <c r="AJ50" i="4"/>
  <c r="AH50" i="4"/>
  <c r="AF50" i="4"/>
  <c r="AD50" i="4"/>
  <c r="AB50" i="4"/>
  <c r="Z50" i="4"/>
  <c r="X50" i="4"/>
  <c r="V50" i="4"/>
  <c r="T50" i="4"/>
  <c r="R50" i="4"/>
  <c r="P50" i="4"/>
  <c r="N50" i="4"/>
  <c r="BF49" i="4"/>
  <c r="BA49" i="4"/>
  <c r="AS49" i="4"/>
  <c r="AQ49" i="4"/>
  <c r="AO49" i="4"/>
  <c r="AN49" i="4"/>
  <c r="AL49" i="4"/>
  <c r="AJ49" i="4"/>
  <c r="AH49" i="4"/>
  <c r="AF49" i="4"/>
  <c r="AD49" i="4"/>
  <c r="AB49" i="4"/>
  <c r="Z49" i="4"/>
  <c r="X49" i="4"/>
  <c r="V49" i="4"/>
  <c r="T49" i="4"/>
  <c r="R49" i="4"/>
  <c r="P49" i="4"/>
  <c r="N49" i="4"/>
  <c r="BF48" i="4"/>
  <c r="BA48" i="4"/>
  <c r="AS48" i="4"/>
  <c r="AQ48" i="4"/>
  <c r="AO48" i="4"/>
  <c r="AN48" i="4"/>
  <c r="AL48" i="4"/>
  <c r="AJ48" i="4"/>
  <c r="AH48" i="4"/>
  <c r="AF48" i="4"/>
  <c r="AD48" i="4"/>
  <c r="AB48" i="4"/>
  <c r="Z48" i="4"/>
  <c r="X48" i="4"/>
  <c r="V48" i="4"/>
  <c r="T48" i="4"/>
  <c r="R48" i="4"/>
  <c r="P48" i="4"/>
  <c r="N48" i="4"/>
  <c r="BF47" i="4"/>
  <c r="BA47" i="4"/>
  <c r="AS47" i="4"/>
  <c r="AQ47" i="4"/>
  <c r="AO47" i="4"/>
  <c r="AN47" i="4"/>
  <c r="AL47" i="4"/>
  <c r="AJ47" i="4"/>
  <c r="AH47" i="4"/>
  <c r="AF47" i="4"/>
  <c r="AD47" i="4"/>
  <c r="AB47" i="4"/>
  <c r="Z47" i="4"/>
  <c r="X47" i="4"/>
  <c r="V47" i="4"/>
  <c r="T47" i="4"/>
  <c r="R47" i="4"/>
  <c r="P47" i="4"/>
  <c r="N47" i="4"/>
  <c r="BF46" i="4"/>
  <c r="BA46" i="4"/>
  <c r="AS46" i="4"/>
  <c r="AQ46" i="4"/>
  <c r="AO46" i="4"/>
  <c r="AN46" i="4"/>
  <c r="AL46" i="4"/>
  <c r="AJ46" i="4"/>
  <c r="AH46" i="4"/>
  <c r="AF46" i="4"/>
  <c r="AD46" i="4"/>
  <c r="AB46" i="4"/>
  <c r="Z46" i="4"/>
  <c r="X46" i="4"/>
  <c r="V46" i="4"/>
  <c r="T46" i="4"/>
  <c r="R46" i="4"/>
  <c r="P46" i="4"/>
  <c r="N46" i="4"/>
  <c r="BF45" i="4"/>
  <c r="BA45" i="4"/>
  <c r="AS45" i="4"/>
  <c r="AQ45" i="4"/>
  <c r="AO45" i="4"/>
  <c r="AN45" i="4"/>
  <c r="AL45" i="4"/>
  <c r="AJ45" i="4"/>
  <c r="AH45" i="4"/>
  <c r="AF45" i="4"/>
  <c r="AD45" i="4"/>
  <c r="AB45" i="4"/>
  <c r="Z45" i="4"/>
  <c r="X45" i="4"/>
  <c r="V45" i="4"/>
  <c r="T45" i="4"/>
  <c r="R45" i="4"/>
  <c r="P45" i="4"/>
  <c r="N45" i="4"/>
  <c r="BF44" i="4"/>
  <c r="BA44" i="4"/>
  <c r="AS44" i="4"/>
  <c r="AQ44" i="4"/>
  <c r="AO44" i="4"/>
  <c r="AN44" i="4"/>
  <c r="AL44" i="4"/>
  <c r="AJ44" i="4"/>
  <c r="AH44" i="4"/>
  <c r="AF44" i="4"/>
  <c r="AD44" i="4"/>
  <c r="AB44" i="4"/>
  <c r="Z44" i="4"/>
  <c r="X44" i="4"/>
  <c r="V44" i="4"/>
  <c r="T44" i="4"/>
  <c r="R44" i="4"/>
  <c r="P44" i="4"/>
  <c r="N44" i="4"/>
  <c r="BF43" i="4"/>
  <c r="BA43" i="4"/>
  <c r="AS43" i="4"/>
  <c r="AQ43" i="4"/>
  <c r="AO43" i="4"/>
  <c r="AN43" i="4"/>
  <c r="AL43" i="4"/>
  <c r="AJ43" i="4"/>
  <c r="AH43" i="4"/>
  <c r="AF43" i="4"/>
  <c r="AD43" i="4"/>
  <c r="AB43" i="4"/>
  <c r="Z43" i="4"/>
  <c r="X43" i="4"/>
  <c r="V43" i="4"/>
  <c r="T43" i="4"/>
  <c r="R43" i="4"/>
  <c r="P43" i="4"/>
  <c r="N43" i="4"/>
  <c r="BF42" i="4"/>
  <c r="BA42" i="4"/>
  <c r="AS42" i="4"/>
  <c r="AQ42" i="4"/>
  <c r="AO42" i="4"/>
  <c r="AN42" i="4"/>
  <c r="AL42" i="4"/>
  <c r="AJ42" i="4"/>
  <c r="AH42" i="4"/>
  <c r="AF42" i="4"/>
  <c r="AD42" i="4"/>
  <c r="AB42" i="4"/>
  <c r="Z42" i="4"/>
  <c r="X42" i="4"/>
  <c r="V42" i="4"/>
  <c r="T42" i="4"/>
  <c r="R42" i="4"/>
  <c r="P42" i="4"/>
  <c r="N42" i="4"/>
  <c r="BF41" i="4"/>
  <c r="BA41" i="4"/>
  <c r="AS41" i="4"/>
  <c r="AQ41" i="4"/>
  <c r="AO41" i="4"/>
  <c r="AN41" i="4"/>
  <c r="AL41" i="4"/>
  <c r="AJ41" i="4"/>
  <c r="AH41" i="4"/>
  <c r="AF41" i="4"/>
  <c r="AD41" i="4"/>
  <c r="AB41" i="4"/>
  <c r="Z41" i="4"/>
  <c r="X41" i="4"/>
  <c r="V41" i="4"/>
  <c r="T41" i="4"/>
  <c r="R41" i="4"/>
  <c r="P41" i="4"/>
  <c r="N41" i="4"/>
  <c r="BF40" i="4"/>
  <c r="BA40" i="4"/>
  <c r="AS40" i="4"/>
  <c r="AQ40" i="4"/>
  <c r="AO40" i="4"/>
  <c r="AN40" i="4"/>
  <c r="AL40" i="4"/>
  <c r="AJ40" i="4"/>
  <c r="AH40" i="4"/>
  <c r="AF40" i="4"/>
  <c r="AD40" i="4"/>
  <c r="AB40" i="4"/>
  <c r="Z40" i="4"/>
  <c r="X40" i="4"/>
  <c r="V40" i="4"/>
  <c r="T40" i="4"/>
  <c r="R40" i="4"/>
  <c r="P40" i="4"/>
  <c r="N40" i="4"/>
  <c r="BF39" i="4"/>
  <c r="BA39" i="4"/>
  <c r="AS39" i="4"/>
  <c r="AQ39" i="4"/>
  <c r="AO39" i="4"/>
  <c r="AN39" i="4"/>
  <c r="AL39" i="4"/>
  <c r="AJ39" i="4"/>
  <c r="AH39" i="4"/>
  <c r="AF39" i="4"/>
  <c r="AD39" i="4"/>
  <c r="AB39" i="4"/>
  <c r="Z39" i="4"/>
  <c r="X39" i="4"/>
  <c r="V39" i="4"/>
  <c r="T39" i="4"/>
  <c r="R39" i="4"/>
  <c r="P39" i="4"/>
  <c r="N39" i="4"/>
  <c r="BF38" i="4"/>
  <c r="BA38" i="4"/>
  <c r="AS38" i="4"/>
  <c r="AQ38" i="4"/>
  <c r="AO38" i="4"/>
  <c r="AN38" i="4"/>
  <c r="AL38" i="4"/>
  <c r="AJ38" i="4"/>
  <c r="AH38" i="4"/>
  <c r="AF38" i="4"/>
  <c r="AD38" i="4"/>
  <c r="AB38" i="4"/>
  <c r="Z38" i="4"/>
  <c r="X38" i="4"/>
  <c r="V38" i="4"/>
  <c r="T38" i="4"/>
  <c r="R38" i="4"/>
  <c r="P38" i="4"/>
  <c r="N38" i="4"/>
  <c r="BF37" i="4"/>
  <c r="BA37" i="4"/>
  <c r="AS37" i="4"/>
  <c r="AQ37" i="4"/>
  <c r="AO37" i="4"/>
  <c r="AN37" i="4"/>
  <c r="AL37" i="4"/>
  <c r="AJ37" i="4"/>
  <c r="AH37" i="4"/>
  <c r="AF37" i="4"/>
  <c r="AD37" i="4"/>
  <c r="AB37" i="4"/>
  <c r="Z37" i="4"/>
  <c r="X37" i="4"/>
  <c r="V37" i="4"/>
  <c r="T37" i="4"/>
  <c r="R37" i="4"/>
  <c r="P37" i="4"/>
  <c r="N37" i="4"/>
  <c r="BF36" i="4"/>
  <c r="BA36" i="4"/>
  <c r="AS36" i="4"/>
  <c r="AQ36" i="4"/>
  <c r="AO36" i="4"/>
  <c r="AN36" i="4"/>
  <c r="AL36" i="4"/>
  <c r="AJ36" i="4"/>
  <c r="AH36" i="4"/>
  <c r="AF36" i="4"/>
  <c r="AD36" i="4"/>
  <c r="AB36" i="4"/>
  <c r="Z36" i="4"/>
  <c r="X36" i="4"/>
  <c r="V36" i="4"/>
  <c r="T36" i="4"/>
  <c r="R36" i="4"/>
  <c r="P36" i="4"/>
  <c r="N36" i="4"/>
  <c r="BF35" i="4"/>
  <c r="BA35" i="4"/>
  <c r="AS35" i="4"/>
  <c r="AQ35" i="4"/>
  <c r="AO35" i="4"/>
  <c r="AN35" i="4"/>
  <c r="AL35" i="4"/>
  <c r="AJ35" i="4"/>
  <c r="AH35" i="4"/>
  <c r="AF35" i="4"/>
  <c r="AD35" i="4"/>
  <c r="AB35" i="4"/>
  <c r="Z35" i="4"/>
  <c r="X35" i="4"/>
  <c r="V35" i="4"/>
  <c r="T35" i="4"/>
  <c r="R35" i="4"/>
  <c r="P35" i="4"/>
  <c r="N35" i="4"/>
  <c r="BF34" i="4"/>
  <c r="BA34" i="4"/>
  <c r="AS34" i="4"/>
  <c r="AQ34" i="4"/>
  <c r="AO34" i="4"/>
  <c r="AN34" i="4"/>
  <c r="AL34" i="4"/>
  <c r="AJ34" i="4"/>
  <c r="AH34" i="4"/>
  <c r="AF34" i="4"/>
  <c r="AD34" i="4"/>
  <c r="AB34" i="4"/>
  <c r="Z34" i="4"/>
  <c r="X34" i="4"/>
  <c r="V34" i="4"/>
  <c r="T34" i="4"/>
  <c r="R34" i="4"/>
  <c r="P34" i="4"/>
  <c r="N34" i="4"/>
  <c r="BF33" i="4"/>
  <c r="BA33" i="4"/>
  <c r="AS33" i="4"/>
  <c r="AQ33" i="4"/>
  <c r="AO33" i="4"/>
  <c r="AN33" i="4"/>
  <c r="AL33" i="4"/>
  <c r="AJ33" i="4"/>
  <c r="AH33" i="4"/>
  <c r="AF33" i="4"/>
  <c r="AD33" i="4"/>
  <c r="AB33" i="4"/>
  <c r="Z33" i="4"/>
  <c r="X33" i="4"/>
  <c r="V33" i="4"/>
  <c r="T33" i="4"/>
  <c r="R33" i="4"/>
  <c r="P33" i="4"/>
  <c r="N33" i="4"/>
  <c r="BF32" i="4"/>
  <c r="BA32" i="4"/>
  <c r="AS32" i="4"/>
  <c r="AQ32" i="4"/>
  <c r="AO32" i="4"/>
  <c r="AN32" i="4"/>
  <c r="AL32" i="4"/>
  <c r="AJ32" i="4"/>
  <c r="AH32" i="4"/>
  <c r="AF32" i="4"/>
  <c r="AD32" i="4"/>
  <c r="AB32" i="4"/>
  <c r="Z32" i="4"/>
  <c r="X32" i="4"/>
  <c r="V32" i="4"/>
  <c r="T32" i="4"/>
  <c r="R32" i="4"/>
  <c r="P32" i="4"/>
  <c r="N32" i="4"/>
  <c r="BF31" i="4"/>
  <c r="BA31" i="4"/>
  <c r="AS31" i="4"/>
  <c r="AQ31" i="4"/>
  <c r="AO31" i="4"/>
  <c r="AN31" i="4"/>
  <c r="AL31" i="4"/>
  <c r="AJ31" i="4"/>
  <c r="AH31" i="4"/>
  <c r="AF31" i="4"/>
  <c r="AD31" i="4"/>
  <c r="AB31" i="4"/>
  <c r="Z31" i="4"/>
  <c r="X31" i="4"/>
  <c r="V31" i="4"/>
  <c r="T31" i="4"/>
  <c r="R31" i="4"/>
  <c r="P31" i="4"/>
  <c r="N31" i="4"/>
  <c r="BF30" i="4"/>
  <c r="BA30" i="4"/>
  <c r="AS30" i="4"/>
  <c r="AQ30" i="4"/>
  <c r="AO30" i="4"/>
  <c r="AN30" i="4"/>
  <c r="AL30" i="4"/>
  <c r="AJ30" i="4"/>
  <c r="AH30" i="4"/>
  <c r="AF30" i="4"/>
  <c r="AD30" i="4"/>
  <c r="AB30" i="4"/>
  <c r="Z30" i="4"/>
  <c r="X30" i="4"/>
  <c r="V30" i="4"/>
  <c r="T30" i="4"/>
  <c r="R30" i="4"/>
  <c r="P30" i="4"/>
  <c r="N30" i="4"/>
  <c r="BF29" i="4"/>
  <c r="BA29" i="4"/>
  <c r="AS29" i="4"/>
  <c r="AQ29" i="4"/>
  <c r="AO29" i="4"/>
  <c r="AN29" i="4"/>
  <c r="AL29" i="4"/>
  <c r="AJ29" i="4"/>
  <c r="AH29" i="4"/>
  <c r="AF29" i="4"/>
  <c r="AD29" i="4"/>
  <c r="AB29" i="4"/>
  <c r="Z29" i="4"/>
  <c r="X29" i="4"/>
  <c r="V29" i="4"/>
  <c r="T29" i="4"/>
  <c r="R29" i="4"/>
  <c r="P29" i="4"/>
  <c r="N29" i="4"/>
  <c r="BF28" i="4"/>
  <c r="BA28" i="4"/>
  <c r="AS28" i="4"/>
  <c r="AQ28" i="4"/>
  <c r="AO28" i="4"/>
  <c r="AN28" i="4"/>
  <c r="AL28" i="4"/>
  <c r="AJ28" i="4"/>
  <c r="AH28" i="4"/>
  <c r="AF28" i="4"/>
  <c r="AD28" i="4"/>
  <c r="AB28" i="4"/>
  <c r="Z28" i="4"/>
  <c r="X28" i="4"/>
  <c r="V28" i="4"/>
  <c r="T28" i="4"/>
  <c r="R28" i="4"/>
  <c r="P28" i="4"/>
  <c r="N28" i="4"/>
  <c r="BF27" i="4"/>
  <c r="BA27" i="4"/>
  <c r="AS27" i="4"/>
  <c r="AQ27" i="4"/>
  <c r="AO27" i="4"/>
  <c r="AN27" i="4"/>
  <c r="AL27" i="4"/>
  <c r="AJ27" i="4"/>
  <c r="AH27" i="4"/>
  <c r="AF27" i="4"/>
  <c r="AD27" i="4"/>
  <c r="AB27" i="4"/>
  <c r="Z27" i="4"/>
  <c r="X27" i="4"/>
  <c r="V27" i="4"/>
  <c r="T27" i="4"/>
  <c r="R27" i="4"/>
  <c r="P27" i="4"/>
  <c r="N27" i="4"/>
  <c r="BF26" i="4"/>
  <c r="BA26" i="4"/>
  <c r="AS26" i="4"/>
  <c r="AQ26" i="4"/>
  <c r="AO26" i="4"/>
  <c r="AN26" i="4"/>
  <c r="AL26" i="4"/>
  <c r="AJ26" i="4"/>
  <c r="AH26" i="4"/>
  <c r="AF26" i="4"/>
  <c r="AD26" i="4"/>
  <c r="AB26" i="4"/>
  <c r="Z26" i="4"/>
  <c r="X26" i="4"/>
  <c r="V26" i="4"/>
  <c r="T26" i="4"/>
  <c r="R26" i="4"/>
  <c r="P26" i="4"/>
  <c r="N26" i="4"/>
  <c r="BF25" i="4"/>
  <c r="BA25" i="4"/>
  <c r="AS25" i="4"/>
  <c r="AQ25" i="4"/>
  <c r="AO25" i="4"/>
  <c r="AN25" i="4"/>
  <c r="AL25" i="4"/>
  <c r="AJ25" i="4"/>
  <c r="AH25" i="4"/>
  <c r="AF25" i="4"/>
  <c r="AD25" i="4"/>
  <c r="AB25" i="4"/>
  <c r="Z25" i="4"/>
  <c r="X25" i="4"/>
  <c r="V25" i="4"/>
  <c r="T25" i="4"/>
  <c r="R25" i="4"/>
  <c r="P25" i="4"/>
  <c r="N25" i="4"/>
  <c r="BF24" i="4"/>
  <c r="BA24" i="4"/>
  <c r="AS24" i="4"/>
  <c r="AQ24" i="4"/>
  <c r="AO24" i="4"/>
  <c r="AN24" i="4"/>
  <c r="AL24" i="4"/>
  <c r="AJ24" i="4"/>
  <c r="AH24" i="4"/>
  <c r="AF24" i="4"/>
  <c r="AD24" i="4"/>
  <c r="AB24" i="4"/>
  <c r="Z24" i="4"/>
  <c r="X24" i="4"/>
  <c r="V24" i="4"/>
  <c r="T24" i="4"/>
  <c r="R24" i="4"/>
  <c r="P24" i="4"/>
  <c r="N24" i="4"/>
  <c r="BF23" i="4"/>
  <c r="BA23" i="4"/>
  <c r="AS23" i="4"/>
  <c r="AQ23" i="4"/>
  <c r="AO23" i="4"/>
  <c r="AN23" i="4"/>
  <c r="AL23" i="4"/>
  <c r="AJ23" i="4"/>
  <c r="AH23" i="4"/>
  <c r="AF23" i="4"/>
  <c r="AD23" i="4"/>
  <c r="AB23" i="4"/>
  <c r="Z23" i="4"/>
  <c r="X23" i="4"/>
  <c r="V23" i="4"/>
  <c r="T23" i="4"/>
  <c r="R23" i="4"/>
  <c r="P23" i="4"/>
  <c r="N23" i="4"/>
  <c r="BF22" i="4"/>
  <c r="BA22" i="4"/>
  <c r="AS22" i="4"/>
  <c r="AQ22" i="4"/>
  <c r="AO22" i="4"/>
  <c r="AN22" i="4"/>
  <c r="AL22" i="4"/>
  <c r="AJ22" i="4"/>
  <c r="AH22" i="4"/>
  <c r="AF22" i="4"/>
  <c r="AD22" i="4"/>
  <c r="AB22" i="4"/>
  <c r="Z22" i="4"/>
  <c r="X22" i="4"/>
  <c r="V22" i="4"/>
  <c r="T22" i="4"/>
  <c r="R22" i="4"/>
  <c r="P22" i="4"/>
  <c r="N22" i="4"/>
  <c r="BK21" i="4"/>
  <c r="BF21" i="4"/>
  <c r="BA21" i="4"/>
  <c r="AS21" i="4"/>
  <c r="AQ21" i="4"/>
  <c r="AO21" i="4"/>
  <c r="AN21" i="4"/>
  <c r="AL21" i="4"/>
  <c r="AJ21" i="4"/>
  <c r="AH21" i="4"/>
  <c r="AF21" i="4"/>
  <c r="AD21" i="4"/>
  <c r="AB21" i="4"/>
  <c r="Z21" i="4"/>
  <c r="X21" i="4"/>
  <c r="V21" i="4"/>
  <c r="T21" i="4"/>
  <c r="R21" i="4"/>
  <c r="P21" i="4"/>
  <c r="N21" i="4"/>
  <c r="BF20" i="4"/>
  <c r="BA20" i="4"/>
  <c r="AS20" i="4"/>
  <c r="AQ20" i="4"/>
  <c r="AO20" i="4"/>
  <c r="AN20" i="4"/>
  <c r="AL20" i="4"/>
  <c r="AJ20" i="4"/>
  <c r="AH20" i="4"/>
  <c r="AF20" i="4"/>
  <c r="AD20" i="4"/>
  <c r="AB20" i="4"/>
  <c r="Z20" i="4"/>
  <c r="X20" i="4"/>
  <c r="V20" i="4"/>
  <c r="T20" i="4"/>
  <c r="R20" i="4"/>
  <c r="P20" i="4"/>
  <c r="N20" i="4"/>
  <c r="BF19" i="4"/>
  <c r="BA19" i="4"/>
  <c r="AS19" i="4"/>
  <c r="AQ19" i="4"/>
  <c r="AO19" i="4"/>
  <c r="AN19" i="4"/>
  <c r="AL19" i="4"/>
  <c r="AJ19" i="4"/>
  <c r="AH19" i="4"/>
  <c r="AF19" i="4"/>
  <c r="AD19" i="4"/>
  <c r="AB19" i="4"/>
  <c r="Z19" i="4"/>
  <c r="X19" i="4"/>
  <c r="V19" i="4"/>
  <c r="T19" i="4"/>
  <c r="R19" i="4"/>
  <c r="P19" i="4"/>
  <c r="N19" i="4"/>
  <c r="BF18" i="4"/>
  <c r="BA18" i="4"/>
  <c r="AS18" i="4"/>
  <c r="AQ18" i="4"/>
  <c r="AO18" i="4"/>
  <c r="AN18" i="4"/>
  <c r="AL18" i="4"/>
  <c r="AJ18" i="4"/>
  <c r="AH18" i="4"/>
  <c r="AF18" i="4"/>
  <c r="AD18" i="4"/>
  <c r="AB18" i="4"/>
  <c r="Z18" i="4"/>
  <c r="X18" i="4"/>
  <c r="V18" i="4"/>
  <c r="T18" i="4"/>
  <c r="R18" i="4"/>
  <c r="P18" i="4"/>
  <c r="N18" i="4"/>
  <c r="BF17" i="4"/>
  <c r="BA17" i="4"/>
  <c r="AS17" i="4"/>
  <c r="AQ17" i="4"/>
  <c r="AO17" i="4"/>
  <c r="AN17" i="4"/>
  <c r="AL17" i="4"/>
  <c r="AJ17" i="4"/>
  <c r="AH17" i="4"/>
  <c r="AF17" i="4"/>
  <c r="AD17" i="4"/>
  <c r="AB17" i="4"/>
  <c r="Z17" i="4"/>
  <c r="X17" i="4"/>
  <c r="V17" i="4"/>
  <c r="T17" i="4"/>
  <c r="R17" i="4"/>
  <c r="P17" i="4"/>
  <c r="N17" i="4"/>
  <c r="BF16" i="4"/>
  <c r="BA16" i="4"/>
  <c r="AS16" i="4"/>
  <c r="AQ16" i="4"/>
  <c r="AO16" i="4"/>
  <c r="AN16" i="4"/>
  <c r="AL16" i="4"/>
  <c r="AJ16" i="4"/>
  <c r="AH16" i="4"/>
  <c r="AF16" i="4"/>
  <c r="AD16" i="4"/>
  <c r="AB16" i="4"/>
  <c r="Z16" i="4"/>
  <c r="X16" i="4"/>
  <c r="V16" i="4"/>
  <c r="T16" i="4"/>
  <c r="R16" i="4"/>
  <c r="P16" i="4"/>
  <c r="N16" i="4"/>
  <c r="BF15" i="4"/>
  <c r="BA15" i="4"/>
  <c r="AS15" i="4"/>
  <c r="AQ15" i="4"/>
  <c r="AO15" i="4"/>
  <c r="AN15" i="4"/>
  <c r="AL15" i="4"/>
  <c r="AJ15" i="4"/>
  <c r="AH15" i="4"/>
  <c r="AF15" i="4"/>
  <c r="AD15" i="4"/>
  <c r="AB15" i="4"/>
  <c r="Z15" i="4"/>
  <c r="X15" i="4"/>
  <c r="V15" i="4"/>
  <c r="T15" i="4"/>
  <c r="R15" i="4"/>
  <c r="P15" i="4"/>
  <c r="N15" i="4"/>
  <c r="BF14" i="4"/>
  <c r="BA14" i="4"/>
  <c r="AS14" i="4"/>
  <c r="AQ14" i="4"/>
  <c r="AO14" i="4"/>
  <c r="AN14" i="4"/>
  <c r="AL14" i="4"/>
  <c r="AJ14" i="4"/>
  <c r="AH14" i="4"/>
  <c r="AF14" i="4"/>
  <c r="AD14" i="4"/>
  <c r="AB14" i="4"/>
  <c r="Z14" i="4"/>
  <c r="X14" i="4"/>
  <c r="V14" i="4"/>
  <c r="T14" i="4"/>
  <c r="R14" i="4"/>
  <c r="P14" i="4"/>
  <c r="N14" i="4"/>
  <c r="BF13" i="4"/>
  <c r="BA13" i="4"/>
  <c r="AS13" i="4"/>
  <c r="AQ13" i="4"/>
  <c r="AO13" i="4"/>
  <c r="AN13" i="4"/>
  <c r="AL13" i="4"/>
  <c r="AJ13" i="4"/>
  <c r="AH13" i="4"/>
  <c r="AF13" i="4"/>
  <c r="AD13" i="4"/>
  <c r="AB13" i="4"/>
  <c r="Z13" i="4"/>
  <c r="X13" i="4"/>
  <c r="V13" i="4"/>
  <c r="T13" i="4"/>
  <c r="R13" i="4"/>
  <c r="P13" i="4"/>
  <c r="N13" i="4"/>
  <c r="BF12" i="4"/>
  <c r="BA12" i="4"/>
  <c r="AS12" i="4"/>
  <c r="AQ12" i="4"/>
  <c r="AO12" i="4"/>
  <c r="AN12" i="4"/>
  <c r="AL12" i="4"/>
  <c r="AJ12" i="4"/>
  <c r="AH12" i="4"/>
  <c r="AF12" i="4"/>
  <c r="AD12" i="4"/>
  <c r="AB12" i="4"/>
  <c r="Z12" i="4"/>
  <c r="X12" i="4"/>
  <c r="V12" i="4"/>
  <c r="T12" i="4"/>
  <c r="R12" i="4"/>
  <c r="P12" i="4"/>
  <c r="N12" i="4"/>
  <c r="BF11" i="4"/>
  <c r="BA11" i="4"/>
  <c r="AS11" i="4"/>
  <c r="AQ11" i="4"/>
  <c r="AO11" i="4"/>
  <c r="AN11" i="4"/>
  <c r="AL11" i="4"/>
  <c r="AJ11" i="4"/>
  <c r="AH11" i="4"/>
  <c r="AF11" i="4"/>
  <c r="AD11" i="4"/>
  <c r="AB11" i="4"/>
  <c r="Z11" i="4"/>
  <c r="X11" i="4"/>
  <c r="V11" i="4"/>
  <c r="T11" i="4"/>
  <c r="R11" i="4"/>
  <c r="P11" i="4"/>
  <c r="N11" i="4"/>
  <c r="BF10" i="4"/>
  <c r="BA10" i="4"/>
  <c r="AS10" i="4"/>
  <c r="AQ10" i="4"/>
  <c r="AO10" i="4"/>
  <c r="AN10" i="4"/>
  <c r="AL10" i="4"/>
  <c r="AJ10" i="4"/>
  <c r="AH10" i="4"/>
  <c r="AF10" i="4"/>
  <c r="AD10" i="4"/>
  <c r="AB10" i="4"/>
  <c r="Z10" i="4"/>
  <c r="X10" i="4"/>
  <c r="V10" i="4"/>
  <c r="T10" i="4"/>
  <c r="R10" i="4"/>
  <c r="P10" i="4"/>
  <c r="N10" i="4"/>
  <c r="BF9" i="4"/>
  <c r="BA9" i="4"/>
  <c r="AS9" i="4"/>
  <c r="AQ9" i="4"/>
  <c r="AO9" i="4"/>
  <c r="AN9" i="4"/>
  <c r="AL9" i="4"/>
  <c r="AJ9" i="4"/>
  <c r="AH9" i="4"/>
  <c r="AF9" i="4"/>
  <c r="AD9" i="4"/>
  <c r="AB9" i="4"/>
  <c r="Z9" i="4"/>
  <c r="X9" i="4"/>
  <c r="V9" i="4"/>
  <c r="T9" i="4"/>
  <c r="R9" i="4"/>
  <c r="P9" i="4"/>
  <c r="N9" i="4"/>
  <c r="BF8" i="4"/>
  <c r="BA8" i="4"/>
  <c r="AS8" i="4"/>
  <c r="AQ8" i="4"/>
  <c r="AO8" i="4"/>
  <c r="AN8" i="4"/>
  <c r="AL8" i="4"/>
  <c r="AJ8" i="4"/>
  <c r="AH8" i="4"/>
  <c r="AF8" i="4"/>
  <c r="AD8" i="4"/>
  <c r="AB8" i="4"/>
  <c r="Z8" i="4"/>
  <c r="X8" i="4"/>
  <c r="V8" i="4"/>
  <c r="T8" i="4"/>
  <c r="R8" i="4"/>
  <c r="P8" i="4"/>
  <c r="N8" i="4"/>
  <c r="BF7" i="4"/>
  <c r="BA7" i="4"/>
  <c r="AS7" i="4"/>
  <c r="AQ7" i="4"/>
  <c r="AO7" i="4"/>
  <c r="AN7" i="4"/>
  <c r="AL7" i="4"/>
  <c r="AJ7" i="4"/>
  <c r="AH7" i="4"/>
  <c r="AF7" i="4"/>
  <c r="AD7" i="4"/>
  <c r="AB7" i="4"/>
  <c r="Z7" i="4"/>
  <c r="X7" i="4"/>
  <c r="V7" i="4"/>
  <c r="T7" i="4"/>
  <c r="R7" i="4"/>
  <c r="P7" i="4"/>
  <c r="N7" i="4"/>
  <c r="BK6" i="4"/>
  <c r="BF6" i="4"/>
  <c r="BA6" i="4"/>
  <c r="AS6" i="4"/>
  <c r="AQ6" i="4"/>
  <c r="AO6" i="4"/>
  <c r="AN6" i="4"/>
  <c r="AL6" i="4"/>
  <c r="AJ6" i="4"/>
  <c r="AH6" i="4"/>
  <c r="AF6" i="4"/>
  <c r="AD6" i="4"/>
  <c r="AB6" i="4"/>
  <c r="Z6" i="4"/>
  <c r="X6" i="4"/>
  <c r="V6" i="4"/>
  <c r="T6" i="4"/>
  <c r="R6" i="4"/>
  <c r="P6" i="4"/>
  <c r="N6" i="4"/>
  <c r="BF5" i="4"/>
  <c r="BA5" i="4"/>
  <c r="AS5" i="4"/>
  <c r="AQ5" i="4"/>
  <c r="AO5" i="4"/>
  <c r="AN5" i="4"/>
  <c r="AL5" i="4"/>
  <c r="AJ5" i="4"/>
  <c r="AH5" i="4"/>
  <c r="AF5" i="4"/>
  <c r="AD5" i="4"/>
  <c r="AB5" i="4"/>
  <c r="Z5" i="4"/>
  <c r="X5" i="4"/>
  <c r="V5" i="4"/>
  <c r="T5" i="4"/>
  <c r="R5" i="4"/>
  <c r="P5" i="4"/>
  <c r="N5" i="4"/>
  <c r="BF4" i="4"/>
  <c r="BA4" i="4"/>
  <c r="AS4" i="4"/>
  <c r="AQ4" i="4"/>
  <c r="AO4" i="4"/>
  <c r="AN4" i="4"/>
  <c r="AL4" i="4"/>
  <c r="AJ4" i="4"/>
  <c r="AH4" i="4"/>
  <c r="AF4" i="4"/>
  <c r="AD4" i="4"/>
  <c r="AB4" i="4"/>
  <c r="Z4" i="4"/>
  <c r="X4" i="4"/>
  <c r="V4" i="4"/>
  <c r="T4" i="4"/>
  <c r="R4" i="4"/>
  <c r="P4" i="4"/>
  <c r="N4" i="4"/>
  <c r="BF3" i="4"/>
  <c r="BA3" i="4"/>
  <c r="AS3" i="4"/>
  <c r="AQ3" i="4"/>
  <c r="AO3" i="4"/>
  <c r="AN3" i="4"/>
  <c r="AL3" i="4"/>
  <c r="AJ3" i="4"/>
  <c r="AH3" i="4"/>
  <c r="AF3" i="4"/>
  <c r="AD3" i="4"/>
  <c r="AB3" i="4"/>
  <c r="Z3" i="4"/>
  <c r="X3" i="4"/>
  <c r="V3" i="4"/>
  <c r="T3" i="4"/>
  <c r="R3" i="4"/>
  <c r="P3" i="4"/>
  <c r="N3" i="4"/>
  <c r="BF2" i="4"/>
  <c r="BA2" i="4"/>
  <c r="AS2" i="4"/>
  <c r="AQ2" i="4"/>
  <c r="AO2" i="4"/>
  <c r="AN2" i="4"/>
  <c r="AL2" i="4"/>
  <c r="AJ2" i="4"/>
  <c r="AH2" i="4"/>
  <c r="AF2" i="4"/>
  <c r="AD2" i="4"/>
  <c r="AB2" i="4"/>
  <c r="Z2" i="4"/>
  <c r="X2" i="4"/>
  <c r="V2" i="4"/>
  <c r="T2" i="4"/>
  <c r="R2" i="4"/>
  <c r="P2" i="4"/>
  <c r="N2" i="4"/>
  <c r="BW94" i="4" l="1"/>
  <c r="BT33" i="4"/>
  <c r="BT41" i="4"/>
  <c r="BT49" i="4"/>
  <c r="BT57" i="4"/>
  <c r="BT65" i="4"/>
  <c r="BT71" i="4"/>
  <c r="BT79" i="4"/>
  <c r="BT87" i="4"/>
  <c r="BT100" i="4"/>
  <c r="BT13" i="4"/>
  <c r="BT25" i="4"/>
  <c r="BT15" i="4"/>
  <c r="BT16" i="4"/>
  <c r="BT11" i="4"/>
  <c r="BT19" i="4"/>
  <c r="BT9" i="4"/>
  <c r="BT17" i="4"/>
  <c r="BT14" i="4"/>
  <c r="BT74" i="4"/>
  <c r="BT95" i="4"/>
  <c r="BT4" i="4"/>
  <c r="BT18" i="4"/>
  <c r="BT28" i="4"/>
  <c r="BT36" i="4"/>
  <c r="BT44" i="4"/>
  <c r="BT52" i="4"/>
  <c r="BT60" i="4"/>
  <c r="BT68" i="4"/>
  <c r="BT76" i="4"/>
  <c r="BT84" i="4"/>
  <c r="BT94" i="4"/>
  <c r="BT97" i="4"/>
  <c r="BT107" i="4"/>
  <c r="BT5" i="4"/>
  <c r="BT12" i="4"/>
  <c r="BT23" i="4"/>
  <c r="BT31" i="4"/>
  <c r="BT39" i="4"/>
  <c r="BT47" i="4"/>
  <c r="BT55" i="4"/>
  <c r="BT63" i="4"/>
  <c r="BT69" i="4"/>
  <c r="BT77" i="4"/>
  <c r="BT85" i="4"/>
  <c r="BT98" i="4"/>
  <c r="BT34" i="4"/>
  <c r="BT10" i="4"/>
  <c r="BT24" i="4"/>
  <c r="BT32" i="4"/>
  <c r="BT40" i="4"/>
  <c r="BT48" i="4"/>
  <c r="BT56" i="4"/>
  <c r="BT64" i="4"/>
  <c r="BT72" i="4"/>
  <c r="BT80" i="4"/>
  <c r="BT88" i="4"/>
  <c r="BT101" i="4"/>
  <c r="BT2" i="4"/>
  <c r="BT90" i="4"/>
  <c r="BT103" i="4"/>
  <c r="BT3" i="4"/>
  <c r="BT7" i="4"/>
  <c r="BT8" i="4"/>
  <c r="BT21" i="4"/>
  <c r="BT29" i="4"/>
  <c r="BT37" i="4"/>
  <c r="BT45" i="4"/>
  <c r="BT53" i="4"/>
  <c r="BT61" i="4"/>
  <c r="BT75" i="4"/>
  <c r="BT83" i="4"/>
  <c r="BT93" i="4"/>
  <c r="BT96" i="4"/>
  <c r="BT106" i="4"/>
  <c r="BT26" i="4"/>
  <c r="BT50" i="4"/>
  <c r="BT82" i="4"/>
  <c r="BT22" i="4"/>
  <c r="BT30" i="4"/>
  <c r="BT38" i="4"/>
  <c r="BT46" i="4"/>
  <c r="BT54" i="4"/>
  <c r="BT62" i="4"/>
  <c r="BT70" i="4"/>
  <c r="BT78" i="4"/>
  <c r="BT86" i="4"/>
  <c r="BT99" i="4"/>
  <c r="BT42" i="4"/>
  <c r="BT58" i="4"/>
  <c r="BT66" i="4"/>
  <c r="BT92" i="4"/>
  <c r="BT6" i="4"/>
  <c r="BT20" i="4"/>
  <c r="BT27" i="4"/>
  <c r="BT35" i="4"/>
  <c r="BT43" i="4"/>
  <c r="BT51" i="4"/>
  <c r="BT59" i="4"/>
  <c r="BT67" i="4"/>
  <c r="BT73" i="4"/>
  <c r="BT81" i="4"/>
  <c r="BT89" i="4"/>
  <c r="BT91" i="4"/>
  <c r="BT102" i="4"/>
  <c r="BJ108" i="3"/>
  <c r="BE108" i="3"/>
  <c r="AW108" i="3"/>
  <c r="AU108" i="3"/>
  <c r="AS108" i="3"/>
  <c r="AR108" i="3"/>
  <c r="AP108" i="3"/>
  <c r="AN108" i="3"/>
  <c r="AL108" i="3"/>
  <c r="AJ108" i="3"/>
  <c r="AH108" i="3"/>
  <c r="AF108" i="3"/>
  <c r="AD108" i="3"/>
  <c r="AB108" i="3"/>
  <c r="Z108" i="3"/>
  <c r="X108" i="3"/>
  <c r="V108" i="3"/>
  <c r="T108" i="3"/>
  <c r="R108" i="3"/>
  <c r="P108" i="3"/>
  <c r="N108" i="3"/>
  <c r="BJ107" i="3"/>
  <c r="BE107" i="3"/>
  <c r="AW107" i="3"/>
  <c r="AU107" i="3"/>
  <c r="AS107" i="3"/>
  <c r="AR107" i="3"/>
  <c r="AP107" i="3"/>
  <c r="AN107" i="3"/>
  <c r="AL107" i="3"/>
  <c r="AJ107" i="3"/>
  <c r="AH107" i="3"/>
  <c r="AF107" i="3"/>
  <c r="AD107" i="3"/>
  <c r="AB107" i="3"/>
  <c r="Z107" i="3"/>
  <c r="X107" i="3"/>
  <c r="V107" i="3"/>
  <c r="T107" i="3"/>
  <c r="R107" i="3"/>
  <c r="P107" i="3"/>
  <c r="N107" i="3"/>
  <c r="BO106" i="3"/>
  <c r="BJ106" i="3"/>
  <c r="BE106" i="3"/>
  <c r="AW106" i="3"/>
  <c r="AU106" i="3"/>
  <c r="AS106" i="3"/>
  <c r="AR106" i="3"/>
  <c r="AP106" i="3"/>
  <c r="AN106" i="3"/>
  <c r="AL106" i="3"/>
  <c r="AJ106" i="3"/>
  <c r="AH106" i="3"/>
  <c r="AF106" i="3"/>
  <c r="AD106" i="3"/>
  <c r="AB106" i="3"/>
  <c r="Z106" i="3"/>
  <c r="X106" i="3"/>
  <c r="V106" i="3"/>
  <c r="T106" i="3"/>
  <c r="R106" i="3"/>
  <c r="P106" i="3"/>
  <c r="N106" i="3"/>
  <c r="BJ105" i="3"/>
  <c r="BE105" i="3"/>
  <c r="AW105" i="3"/>
  <c r="AU105" i="3"/>
  <c r="AS105" i="3"/>
  <c r="AR105" i="3"/>
  <c r="AP105" i="3"/>
  <c r="AN105" i="3"/>
  <c r="AL105" i="3"/>
  <c r="AJ105" i="3"/>
  <c r="AH105" i="3"/>
  <c r="AF105" i="3"/>
  <c r="AD105" i="3"/>
  <c r="AB105" i="3"/>
  <c r="Z105" i="3"/>
  <c r="X105" i="3"/>
  <c r="V105" i="3"/>
  <c r="T105" i="3"/>
  <c r="R105" i="3"/>
  <c r="P105" i="3"/>
  <c r="N105" i="3"/>
  <c r="BJ104" i="3"/>
  <c r="BE104" i="3"/>
  <c r="AW104" i="3"/>
  <c r="AU104" i="3"/>
  <c r="AS104" i="3"/>
  <c r="AR104" i="3"/>
  <c r="AP104" i="3"/>
  <c r="AN104" i="3"/>
  <c r="AL104" i="3"/>
  <c r="AJ104" i="3"/>
  <c r="AH104" i="3"/>
  <c r="AF104" i="3"/>
  <c r="AD104" i="3"/>
  <c r="AB104" i="3"/>
  <c r="Z104" i="3"/>
  <c r="X104" i="3"/>
  <c r="V104" i="3"/>
  <c r="T104" i="3"/>
  <c r="R104" i="3"/>
  <c r="P104" i="3"/>
  <c r="N104" i="3"/>
  <c r="BJ103" i="3"/>
  <c r="BE103" i="3"/>
  <c r="AW103" i="3"/>
  <c r="AU103" i="3"/>
  <c r="AS103" i="3"/>
  <c r="AR103" i="3"/>
  <c r="AP103" i="3"/>
  <c r="AN103" i="3"/>
  <c r="AL103" i="3"/>
  <c r="AJ103" i="3"/>
  <c r="AH103" i="3"/>
  <c r="AF103" i="3"/>
  <c r="AD103" i="3"/>
  <c r="AB103" i="3"/>
  <c r="Z103" i="3"/>
  <c r="X103" i="3"/>
  <c r="V103" i="3"/>
  <c r="T103" i="3"/>
  <c r="R103" i="3"/>
  <c r="P103" i="3"/>
  <c r="N103" i="3"/>
  <c r="BJ102" i="3"/>
  <c r="BE102" i="3"/>
  <c r="AW102" i="3"/>
  <c r="AU102" i="3"/>
  <c r="AS102" i="3"/>
  <c r="AR102" i="3"/>
  <c r="AP102" i="3"/>
  <c r="AN102" i="3"/>
  <c r="AL102" i="3"/>
  <c r="AJ102" i="3"/>
  <c r="AH102" i="3"/>
  <c r="AF102" i="3"/>
  <c r="AD102" i="3"/>
  <c r="AB102" i="3"/>
  <c r="Z102" i="3"/>
  <c r="X102" i="3"/>
  <c r="V102" i="3"/>
  <c r="T102" i="3"/>
  <c r="R102" i="3"/>
  <c r="P102" i="3"/>
  <c r="N102" i="3"/>
  <c r="BJ101" i="3"/>
  <c r="BE101" i="3"/>
  <c r="AW101" i="3"/>
  <c r="AU101" i="3"/>
  <c r="AS101" i="3"/>
  <c r="AR101" i="3"/>
  <c r="AP101" i="3"/>
  <c r="AN101" i="3"/>
  <c r="AL101" i="3"/>
  <c r="AJ101" i="3"/>
  <c r="AH101" i="3"/>
  <c r="AF101" i="3"/>
  <c r="AD101" i="3"/>
  <c r="AB101" i="3"/>
  <c r="Z101" i="3"/>
  <c r="X101" i="3"/>
  <c r="V101" i="3"/>
  <c r="T101" i="3"/>
  <c r="R101" i="3"/>
  <c r="P101" i="3"/>
  <c r="N101" i="3"/>
  <c r="BJ100" i="3"/>
  <c r="BE100" i="3"/>
  <c r="AW100" i="3"/>
  <c r="AU100" i="3"/>
  <c r="AS100" i="3"/>
  <c r="AR100" i="3"/>
  <c r="AP100" i="3"/>
  <c r="AN100" i="3"/>
  <c r="AL100" i="3"/>
  <c r="AJ100" i="3"/>
  <c r="AH100" i="3"/>
  <c r="AF100" i="3"/>
  <c r="AD100" i="3"/>
  <c r="AB100" i="3"/>
  <c r="Z100" i="3"/>
  <c r="X100" i="3"/>
  <c r="V100" i="3"/>
  <c r="T100" i="3"/>
  <c r="R100" i="3"/>
  <c r="P100" i="3"/>
  <c r="N100" i="3"/>
  <c r="BJ99" i="3"/>
  <c r="BE99" i="3"/>
  <c r="AW99" i="3"/>
  <c r="AU99" i="3"/>
  <c r="AS99" i="3"/>
  <c r="AR99" i="3"/>
  <c r="AP99" i="3"/>
  <c r="AN99" i="3"/>
  <c r="AL99" i="3"/>
  <c r="AJ99" i="3"/>
  <c r="AH99" i="3"/>
  <c r="AF99" i="3"/>
  <c r="AD99" i="3"/>
  <c r="AB99" i="3"/>
  <c r="Z99" i="3"/>
  <c r="X99" i="3"/>
  <c r="V99" i="3"/>
  <c r="T99" i="3"/>
  <c r="R99" i="3"/>
  <c r="P99" i="3"/>
  <c r="N99" i="3"/>
  <c r="BJ98" i="3"/>
  <c r="BE98" i="3"/>
  <c r="AW98" i="3"/>
  <c r="AU98" i="3"/>
  <c r="AS98" i="3"/>
  <c r="AR98" i="3"/>
  <c r="AP98" i="3"/>
  <c r="AN98" i="3"/>
  <c r="AL98" i="3"/>
  <c r="AJ98" i="3"/>
  <c r="AH98" i="3"/>
  <c r="AF98" i="3"/>
  <c r="AD98" i="3"/>
  <c r="AB98" i="3"/>
  <c r="Z98" i="3"/>
  <c r="X98" i="3"/>
  <c r="V98" i="3"/>
  <c r="T98" i="3"/>
  <c r="R98" i="3"/>
  <c r="P98" i="3"/>
  <c r="N98" i="3"/>
  <c r="BJ97" i="3"/>
  <c r="BE97" i="3"/>
  <c r="AW97" i="3"/>
  <c r="AU97" i="3"/>
  <c r="AS97" i="3"/>
  <c r="AR97" i="3"/>
  <c r="AP97" i="3"/>
  <c r="AN97" i="3"/>
  <c r="AL97" i="3"/>
  <c r="AJ97" i="3"/>
  <c r="AH97" i="3"/>
  <c r="AF97" i="3"/>
  <c r="AD97" i="3"/>
  <c r="AB97" i="3"/>
  <c r="Z97" i="3"/>
  <c r="X97" i="3"/>
  <c r="V97" i="3"/>
  <c r="T97" i="3"/>
  <c r="R97" i="3"/>
  <c r="P97" i="3"/>
  <c r="N97" i="3"/>
  <c r="BJ96" i="3"/>
  <c r="BE96" i="3"/>
  <c r="AW96" i="3"/>
  <c r="AU96" i="3"/>
  <c r="AS96" i="3"/>
  <c r="AR96" i="3"/>
  <c r="AP96" i="3"/>
  <c r="AN96" i="3"/>
  <c r="AL96" i="3"/>
  <c r="AJ96" i="3"/>
  <c r="AH96" i="3"/>
  <c r="AF96" i="3"/>
  <c r="AD96" i="3"/>
  <c r="AB96" i="3"/>
  <c r="Z96" i="3"/>
  <c r="X96" i="3"/>
  <c r="V96" i="3"/>
  <c r="T96" i="3"/>
  <c r="R96" i="3"/>
  <c r="P96" i="3"/>
  <c r="N96" i="3"/>
  <c r="BJ95" i="3"/>
  <c r="BE95" i="3"/>
  <c r="AW95" i="3"/>
  <c r="AU95" i="3"/>
  <c r="AS95" i="3"/>
  <c r="AR95" i="3"/>
  <c r="AP95" i="3"/>
  <c r="AN95" i="3"/>
  <c r="AL95" i="3"/>
  <c r="AJ95" i="3"/>
  <c r="AH95" i="3"/>
  <c r="AF95" i="3"/>
  <c r="AD95" i="3"/>
  <c r="AB95" i="3"/>
  <c r="Z95" i="3"/>
  <c r="X95" i="3"/>
  <c r="V95" i="3"/>
  <c r="T95" i="3"/>
  <c r="R95" i="3"/>
  <c r="P95" i="3"/>
  <c r="N95" i="3"/>
  <c r="BJ94" i="3"/>
  <c r="BE94" i="3"/>
  <c r="AW94" i="3"/>
  <c r="AU94" i="3"/>
  <c r="AS94" i="3"/>
  <c r="AR94" i="3"/>
  <c r="AP94" i="3"/>
  <c r="AN94" i="3"/>
  <c r="AL94" i="3"/>
  <c r="AJ94" i="3"/>
  <c r="AH94" i="3"/>
  <c r="AF94" i="3"/>
  <c r="AD94" i="3"/>
  <c r="AB94" i="3"/>
  <c r="Z94" i="3"/>
  <c r="X94" i="3"/>
  <c r="V94" i="3"/>
  <c r="T94" i="3"/>
  <c r="R94" i="3"/>
  <c r="P94" i="3"/>
  <c r="N94" i="3"/>
  <c r="BJ93" i="3"/>
  <c r="BE93" i="3"/>
  <c r="AW93" i="3"/>
  <c r="AU93" i="3"/>
  <c r="AS93" i="3"/>
  <c r="AR93" i="3"/>
  <c r="AP93" i="3"/>
  <c r="AN93" i="3"/>
  <c r="AL93" i="3"/>
  <c r="AJ93" i="3"/>
  <c r="AH93" i="3"/>
  <c r="AF93" i="3"/>
  <c r="AD93" i="3"/>
  <c r="AB93" i="3"/>
  <c r="Z93" i="3"/>
  <c r="X93" i="3"/>
  <c r="V93" i="3"/>
  <c r="T93" i="3"/>
  <c r="R93" i="3"/>
  <c r="P93" i="3"/>
  <c r="N93" i="3"/>
  <c r="BJ92" i="3"/>
  <c r="BE92" i="3"/>
  <c r="AW92" i="3"/>
  <c r="AU92" i="3"/>
  <c r="AS92" i="3"/>
  <c r="AR92" i="3"/>
  <c r="AP92" i="3"/>
  <c r="AN92" i="3"/>
  <c r="AL92" i="3"/>
  <c r="AJ92" i="3"/>
  <c r="AH92" i="3"/>
  <c r="AF92" i="3"/>
  <c r="AD92" i="3"/>
  <c r="AB92" i="3"/>
  <c r="Z92" i="3"/>
  <c r="X92" i="3"/>
  <c r="V92" i="3"/>
  <c r="T92" i="3"/>
  <c r="R92" i="3"/>
  <c r="P92" i="3"/>
  <c r="N92" i="3"/>
  <c r="BJ91" i="3"/>
  <c r="BE91" i="3"/>
  <c r="AW91" i="3"/>
  <c r="AU91" i="3"/>
  <c r="AS91" i="3"/>
  <c r="AR91" i="3"/>
  <c r="AP91" i="3"/>
  <c r="AN91" i="3"/>
  <c r="AL91" i="3"/>
  <c r="AJ91" i="3"/>
  <c r="AH91" i="3"/>
  <c r="AF91" i="3"/>
  <c r="AD91" i="3"/>
  <c r="AB91" i="3"/>
  <c r="Z91" i="3"/>
  <c r="X91" i="3"/>
  <c r="V91" i="3"/>
  <c r="T91" i="3"/>
  <c r="R91" i="3"/>
  <c r="P91" i="3"/>
  <c r="N91" i="3"/>
  <c r="BJ90" i="3"/>
  <c r="BE90" i="3"/>
  <c r="AW90" i="3"/>
  <c r="AU90" i="3"/>
  <c r="AS90" i="3"/>
  <c r="AR90" i="3"/>
  <c r="AP90" i="3"/>
  <c r="AN90" i="3"/>
  <c r="AL90" i="3"/>
  <c r="AJ90" i="3"/>
  <c r="AH90" i="3"/>
  <c r="AF90" i="3"/>
  <c r="AD90" i="3"/>
  <c r="AB90" i="3"/>
  <c r="Z90" i="3"/>
  <c r="X90" i="3"/>
  <c r="V90" i="3"/>
  <c r="T90" i="3"/>
  <c r="R90" i="3"/>
  <c r="P90" i="3"/>
  <c r="N90" i="3"/>
  <c r="BO89" i="3"/>
  <c r="BJ89" i="3"/>
  <c r="BE89" i="3"/>
  <c r="AW89" i="3"/>
  <c r="AU89" i="3"/>
  <c r="AS89" i="3"/>
  <c r="AR89" i="3"/>
  <c r="AP89" i="3"/>
  <c r="AN89" i="3"/>
  <c r="AL89" i="3"/>
  <c r="AJ89" i="3"/>
  <c r="AH89" i="3"/>
  <c r="AF89" i="3"/>
  <c r="AD89" i="3"/>
  <c r="AB89" i="3"/>
  <c r="Z89" i="3"/>
  <c r="X89" i="3"/>
  <c r="V89" i="3"/>
  <c r="T89" i="3"/>
  <c r="R89" i="3"/>
  <c r="P89" i="3"/>
  <c r="N89" i="3"/>
  <c r="BJ88" i="3"/>
  <c r="BE88" i="3"/>
  <c r="AW88" i="3"/>
  <c r="AU88" i="3"/>
  <c r="AS88" i="3"/>
  <c r="AR88" i="3"/>
  <c r="AP88" i="3"/>
  <c r="AN88" i="3"/>
  <c r="AL88" i="3"/>
  <c r="AJ88" i="3"/>
  <c r="AH88" i="3"/>
  <c r="AF88" i="3"/>
  <c r="AD88" i="3"/>
  <c r="AB88" i="3"/>
  <c r="Z88" i="3"/>
  <c r="X88" i="3"/>
  <c r="V88" i="3"/>
  <c r="T88" i="3"/>
  <c r="R88" i="3"/>
  <c r="P88" i="3"/>
  <c r="N88" i="3"/>
  <c r="BJ87" i="3"/>
  <c r="BE87" i="3"/>
  <c r="AW87" i="3"/>
  <c r="AU87" i="3"/>
  <c r="AS87" i="3"/>
  <c r="AR87" i="3"/>
  <c r="AP87" i="3"/>
  <c r="AN87" i="3"/>
  <c r="AL87" i="3"/>
  <c r="AJ87" i="3"/>
  <c r="AH87" i="3"/>
  <c r="AF87" i="3"/>
  <c r="AD87" i="3"/>
  <c r="AB87" i="3"/>
  <c r="Z87" i="3"/>
  <c r="X87" i="3"/>
  <c r="V87" i="3"/>
  <c r="T87" i="3"/>
  <c r="R87" i="3"/>
  <c r="P87" i="3"/>
  <c r="N87" i="3"/>
  <c r="BJ86" i="3"/>
  <c r="BE86" i="3"/>
  <c r="AW86" i="3"/>
  <c r="AU86" i="3"/>
  <c r="AS86" i="3"/>
  <c r="AR86" i="3"/>
  <c r="AP86" i="3"/>
  <c r="AN86" i="3"/>
  <c r="AL86" i="3"/>
  <c r="AJ86" i="3"/>
  <c r="AH86" i="3"/>
  <c r="AF86" i="3"/>
  <c r="AD86" i="3"/>
  <c r="AB86" i="3"/>
  <c r="Z86" i="3"/>
  <c r="X86" i="3"/>
  <c r="V86" i="3"/>
  <c r="T86" i="3"/>
  <c r="R86" i="3"/>
  <c r="P86" i="3"/>
  <c r="N86" i="3"/>
  <c r="BJ85" i="3"/>
  <c r="BE85" i="3"/>
  <c r="AW85" i="3"/>
  <c r="AU85" i="3"/>
  <c r="AS85" i="3"/>
  <c r="AR85" i="3"/>
  <c r="AP85" i="3"/>
  <c r="AN85" i="3"/>
  <c r="AL85" i="3"/>
  <c r="AJ85" i="3"/>
  <c r="AH85" i="3"/>
  <c r="AF85" i="3"/>
  <c r="AD85" i="3"/>
  <c r="AB85" i="3"/>
  <c r="Z85" i="3"/>
  <c r="X85" i="3"/>
  <c r="V85" i="3"/>
  <c r="T85" i="3"/>
  <c r="R85" i="3"/>
  <c r="P85" i="3"/>
  <c r="N85" i="3"/>
  <c r="BJ84" i="3"/>
  <c r="BE84" i="3"/>
  <c r="AW84" i="3"/>
  <c r="AU84" i="3"/>
  <c r="AS84" i="3"/>
  <c r="AR84" i="3"/>
  <c r="AP84" i="3"/>
  <c r="AN84" i="3"/>
  <c r="AL84" i="3"/>
  <c r="AJ84" i="3"/>
  <c r="AH84" i="3"/>
  <c r="AF84" i="3"/>
  <c r="AD84" i="3"/>
  <c r="AB84" i="3"/>
  <c r="Z84" i="3"/>
  <c r="X84" i="3"/>
  <c r="V84" i="3"/>
  <c r="T84" i="3"/>
  <c r="R84" i="3"/>
  <c r="P84" i="3"/>
  <c r="N84" i="3"/>
  <c r="BJ83" i="3"/>
  <c r="BE83" i="3"/>
  <c r="AW83" i="3"/>
  <c r="AU83" i="3"/>
  <c r="AS83" i="3"/>
  <c r="AR83" i="3"/>
  <c r="AP83" i="3"/>
  <c r="AN83" i="3"/>
  <c r="AL83" i="3"/>
  <c r="AJ83" i="3"/>
  <c r="AH83" i="3"/>
  <c r="AF83" i="3"/>
  <c r="AD83" i="3"/>
  <c r="AB83" i="3"/>
  <c r="Z83" i="3"/>
  <c r="X83" i="3"/>
  <c r="V83" i="3"/>
  <c r="T83" i="3"/>
  <c r="R83" i="3"/>
  <c r="P83" i="3"/>
  <c r="N83" i="3"/>
  <c r="BJ82" i="3"/>
  <c r="BE82" i="3"/>
  <c r="AW82" i="3"/>
  <c r="AU82" i="3"/>
  <c r="AS82" i="3"/>
  <c r="AR82" i="3"/>
  <c r="AP82" i="3"/>
  <c r="AN82" i="3"/>
  <c r="AL82" i="3"/>
  <c r="AJ82" i="3"/>
  <c r="AH82" i="3"/>
  <c r="AF82" i="3"/>
  <c r="AD82" i="3"/>
  <c r="AB82" i="3"/>
  <c r="Z82" i="3"/>
  <c r="X82" i="3"/>
  <c r="V82" i="3"/>
  <c r="T82" i="3"/>
  <c r="R82" i="3"/>
  <c r="P82" i="3"/>
  <c r="N82" i="3"/>
  <c r="BJ81" i="3"/>
  <c r="BE81" i="3"/>
  <c r="AW81" i="3"/>
  <c r="AU81" i="3"/>
  <c r="AS81" i="3"/>
  <c r="AR81" i="3"/>
  <c r="AP81" i="3"/>
  <c r="AN81" i="3"/>
  <c r="AL81" i="3"/>
  <c r="AJ81" i="3"/>
  <c r="AH81" i="3"/>
  <c r="AF81" i="3"/>
  <c r="AD81" i="3"/>
  <c r="AB81" i="3"/>
  <c r="Z81" i="3"/>
  <c r="X81" i="3"/>
  <c r="V81" i="3"/>
  <c r="T81" i="3"/>
  <c r="R81" i="3"/>
  <c r="P81" i="3"/>
  <c r="N81" i="3"/>
  <c r="BJ80" i="3"/>
  <c r="BE80" i="3"/>
  <c r="AW80" i="3"/>
  <c r="AU80" i="3"/>
  <c r="AS80" i="3"/>
  <c r="AR80" i="3"/>
  <c r="AP80" i="3"/>
  <c r="AN80" i="3"/>
  <c r="AL80" i="3"/>
  <c r="AJ80" i="3"/>
  <c r="AH80" i="3"/>
  <c r="AF80" i="3"/>
  <c r="AD80" i="3"/>
  <c r="AB80" i="3"/>
  <c r="Z80" i="3"/>
  <c r="X80" i="3"/>
  <c r="V80" i="3"/>
  <c r="T80" i="3"/>
  <c r="R80" i="3"/>
  <c r="P80" i="3"/>
  <c r="N80" i="3"/>
  <c r="BJ79" i="3"/>
  <c r="BE79" i="3"/>
  <c r="AW79" i="3"/>
  <c r="AU79" i="3"/>
  <c r="AS79" i="3"/>
  <c r="AR79" i="3"/>
  <c r="AP79" i="3"/>
  <c r="AN79" i="3"/>
  <c r="AL79" i="3"/>
  <c r="AJ79" i="3"/>
  <c r="AH79" i="3"/>
  <c r="AF79" i="3"/>
  <c r="AD79" i="3"/>
  <c r="AB79" i="3"/>
  <c r="Z79" i="3"/>
  <c r="X79" i="3"/>
  <c r="V79" i="3"/>
  <c r="T79" i="3"/>
  <c r="R79" i="3"/>
  <c r="P79" i="3"/>
  <c r="N79" i="3"/>
  <c r="BJ78" i="3"/>
  <c r="BE78" i="3"/>
  <c r="AW78" i="3"/>
  <c r="AU78" i="3"/>
  <c r="AS78" i="3"/>
  <c r="AR78" i="3"/>
  <c r="AP78" i="3"/>
  <c r="AN78" i="3"/>
  <c r="AL78" i="3"/>
  <c r="AJ78" i="3"/>
  <c r="AH78" i="3"/>
  <c r="AF78" i="3"/>
  <c r="AD78" i="3"/>
  <c r="AB78" i="3"/>
  <c r="Z78" i="3"/>
  <c r="X78" i="3"/>
  <c r="V78" i="3"/>
  <c r="T78" i="3"/>
  <c r="R78" i="3"/>
  <c r="P78" i="3"/>
  <c r="N78" i="3"/>
  <c r="BJ77" i="3"/>
  <c r="BE77" i="3"/>
  <c r="AW77" i="3"/>
  <c r="AU77" i="3"/>
  <c r="AS77" i="3"/>
  <c r="AR77" i="3"/>
  <c r="AP77" i="3"/>
  <c r="AN77" i="3"/>
  <c r="AL77" i="3"/>
  <c r="AJ77" i="3"/>
  <c r="AH77" i="3"/>
  <c r="AF77" i="3"/>
  <c r="AD77" i="3"/>
  <c r="AB77" i="3"/>
  <c r="Z77" i="3"/>
  <c r="X77" i="3"/>
  <c r="V77" i="3"/>
  <c r="T77" i="3"/>
  <c r="R77" i="3"/>
  <c r="P77" i="3"/>
  <c r="N77" i="3"/>
  <c r="BJ76" i="3"/>
  <c r="BE76" i="3"/>
  <c r="AW76" i="3"/>
  <c r="AU76" i="3"/>
  <c r="AS76" i="3"/>
  <c r="AR76" i="3"/>
  <c r="AP76" i="3"/>
  <c r="AN76" i="3"/>
  <c r="AL76" i="3"/>
  <c r="AJ76" i="3"/>
  <c r="AH76" i="3"/>
  <c r="AF76" i="3"/>
  <c r="AD76" i="3"/>
  <c r="AB76" i="3"/>
  <c r="Z76" i="3"/>
  <c r="X76" i="3"/>
  <c r="V76" i="3"/>
  <c r="T76" i="3"/>
  <c r="R76" i="3"/>
  <c r="P76" i="3"/>
  <c r="N76" i="3"/>
  <c r="BJ75" i="3"/>
  <c r="BE75" i="3"/>
  <c r="AW75" i="3"/>
  <c r="AU75" i="3"/>
  <c r="AS75" i="3"/>
  <c r="AR75" i="3"/>
  <c r="AP75" i="3"/>
  <c r="AN75" i="3"/>
  <c r="AL75" i="3"/>
  <c r="AJ75" i="3"/>
  <c r="AH75" i="3"/>
  <c r="AF75" i="3"/>
  <c r="AD75" i="3"/>
  <c r="AB75" i="3"/>
  <c r="Z75" i="3"/>
  <c r="X75" i="3"/>
  <c r="V75" i="3"/>
  <c r="T75" i="3"/>
  <c r="R75" i="3"/>
  <c r="P75" i="3"/>
  <c r="N75" i="3"/>
  <c r="BJ74" i="3"/>
  <c r="BE74" i="3"/>
  <c r="AW74" i="3"/>
  <c r="AU74" i="3"/>
  <c r="AS74" i="3"/>
  <c r="AR74" i="3"/>
  <c r="AP74" i="3"/>
  <c r="AN74" i="3"/>
  <c r="AL74" i="3"/>
  <c r="AJ74" i="3"/>
  <c r="AH74" i="3"/>
  <c r="AF74" i="3"/>
  <c r="AD74" i="3"/>
  <c r="AB74" i="3"/>
  <c r="Z74" i="3"/>
  <c r="X74" i="3"/>
  <c r="V74" i="3"/>
  <c r="T74" i="3"/>
  <c r="R74" i="3"/>
  <c r="P74" i="3"/>
  <c r="N74" i="3"/>
  <c r="BJ73" i="3"/>
  <c r="BE73" i="3"/>
  <c r="AW73" i="3"/>
  <c r="AU73" i="3"/>
  <c r="AS73" i="3"/>
  <c r="AR73" i="3"/>
  <c r="AP73" i="3"/>
  <c r="AN73" i="3"/>
  <c r="AL73" i="3"/>
  <c r="AJ73" i="3"/>
  <c r="AH73" i="3"/>
  <c r="AF73" i="3"/>
  <c r="AD73" i="3"/>
  <c r="AB73" i="3"/>
  <c r="Z73" i="3"/>
  <c r="X73" i="3"/>
  <c r="V73" i="3"/>
  <c r="T73" i="3"/>
  <c r="R73" i="3"/>
  <c r="P73" i="3"/>
  <c r="N73" i="3"/>
  <c r="BJ72" i="3"/>
  <c r="BE72" i="3"/>
  <c r="AW72" i="3"/>
  <c r="AU72" i="3"/>
  <c r="AS72" i="3"/>
  <c r="AR72" i="3"/>
  <c r="AP72" i="3"/>
  <c r="AN72" i="3"/>
  <c r="AL72" i="3"/>
  <c r="AJ72" i="3"/>
  <c r="AH72" i="3"/>
  <c r="AF72" i="3"/>
  <c r="AD72" i="3"/>
  <c r="AB72" i="3"/>
  <c r="Z72" i="3"/>
  <c r="X72" i="3"/>
  <c r="V72" i="3"/>
  <c r="T72" i="3"/>
  <c r="R72" i="3"/>
  <c r="P72" i="3"/>
  <c r="N72" i="3"/>
  <c r="BJ71" i="3"/>
  <c r="BE71" i="3"/>
  <c r="AW71" i="3"/>
  <c r="AU71" i="3"/>
  <c r="AS71" i="3"/>
  <c r="AR71" i="3"/>
  <c r="AP71" i="3"/>
  <c r="AN71" i="3"/>
  <c r="AL71" i="3"/>
  <c r="AJ71" i="3"/>
  <c r="AH71" i="3"/>
  <c r="AF71" i="3"/>
  <c r="AD71" i="3"/>
  <c r="AB71" i="3"/>
  <c r="Z71" i="3"/>
  <c r="X71" i="3"/>
  <c r="V71" i="3"/>
  <c r="T71" i="3"/>
  <c r="R71" i="3"/>
  <c r="P71" i="3"/>
  <c r="N71" i="3"/>
  <c r="BJ70" i="3"/>
  <c r="BE70" i="3"/>
  <c r="AW70" i="3"/>
  <c r="AU70" i="3"/>
  <c r="AS70" i="3"/>
  <c r="AR70" i="3"/>
  <c r="AP70" i="3"/>
  <c r="AN70" i="3"/>
  <c r="AL70" i="3"/>
  <c r="AJ70" i="3"/>
  <c r="AH70" i="3"/>
  <c r="AF70" i="3"/>
  <c r="AD70" i="3"/>
  <c r="AB70" i="3"/>
  <c r="Z70" i="3"/>
  <c r="X70" i="3"/>
  <c r="V70" i="3"/>
  <c r="T70" i="3"/>
  <c r="R70" i="3"/>
  <c r="P70" i="3"/>
  <c r="N70" i="3"/>
  <c r="BJ69" i="3"/>
  <c r="BE69" i="3"/>
  <c r="AW69" i="3"/>
  <c r="AU69" i="3"/>
  <c r="AS69" i="3"/>
  <c r="AR69" i="3"/>
  <c r="AP69" i="3"/>
  <c r="AN69" i="3"/>
  <c r="AL69" i="3"/>
  <c r="AJ69" i="3"/>
  <c r="AH69" i="3"/>
  <c r="AF69" i="3"/>
  <c r="AD69" i="3"/>
  <c r="AB69" i="3"/>
  <c r="Z69" i="3"/>
  <c r="X69" i="3"/>
  <c r="V69" i="3"/>
  <c r="T69" i="3"/>
  <c r="R69" i="3"/>
  <c r="P69" i="3"/>
  <c r="N69" i="3"/>
  <c r="BJ68" i="3"/>
  <c r="BE68" i="3"/>
  <c r="AW68" i="3"/>
  <c r="AU68" i="3"/>
  <c r="AS68" i="3"/>
  <c r="AR68" i="3"/>
  <c r="AP68" i="3"/>
  <c r="AN68" i="3"/>
  <c r="AL68" i="3"/>
  <c r="AJ68" i="3"/>
  <c r="AH68" i="3"/>
  <c r="AF68" i="3"/>
  <c r="AD68" i="3"/>
  <c r="AB68" i="3"/>
  <c r="Z68" i="3"/>
  <c r="X68" i="3"/>
  <c r="V68" i="3"/>
  <c r="T68" i="3"/>
  <c r="R68" i="3"/>
  <c r="P68" i="3"/>
  <c r="N68" i="3"/>
  <c r="BJ67" i="3"/>
  <c r="BE67" i="3"/>
  <c r="AW67" i="3"/>
  <c r="AU67" i="3"/>
  <c r="AS67" i="3"/>
  <c r="AR67" i="3"/>
  <c r="AP67" i="3"/>
  <c r="AN67" i="3"/>
  <c r="AL67" i="3"/>
  <c r="AJ67" i="3"/>
  <c r="AH67" i="3"/>
  <c r="AF67" i="3"/>
  <c r="AD67" i="3"/>
  <c r="AB67" i="3"/>
  <c r="Z67" i="3"/>
  <c r="X67" i="3"/>
  <c r="V67" i="3"/>
  <c r="T67" i="3"/>
  <c r="R67" i="3"/>
  <c r="P67" i="3"/>
  <c r="N67" i="3"/>
  <c r="BJ66" i="3"/>
  <c r="BE66" i="3"/>
  <c r="AW66" i="3"/>
  <c r="AU66" i="3"/>
  <c r="AS66" i="3"/>
  <c r="AR66" i="3"/>
  <c r="AP66" i="3"/>
  <c r="AN66" i="3"/>
  <c r="AL66" i="3"/>
  <c r="AJ66" i="3"/>
  <c r="AH66" i="3"/>
  <c r="AF66" i="3"/>
  <c r="AD66" i="3"/>
  <c r="AB66" i="3"/>
  <c r="Z66" i="3"/>
  <c r="X66" i="3"/>
  <c r="V66" i="3"/>
  <c r="T66" i="3"/>
  <c r="R66" i="3"/>
  <c r="P66" i="3"/>
  <c r="N66" i="3"/>
  <c r="BJ65" i="3"/>
  <c r="BE65" i="3"/>
  <c r="AW65" i="3"/>
  <c r="AU65" i="3"/>
  <c r="AS65" i="3"/>
  <c r="AR65" i="3"/>
  <c r="AP65" i="3"/>
  <c r="AN65" i="3"/>
  <c r="AL65" i="3"/>
  <c r="AJ65" i="3"/>
  <c r="AH65" i="3"/>
  <c r="AF65" i="3"/>
  <c r="AD65" i="3"/>
  <c r="AB65" i="3"/>
  <c r="Z65" i="3"/>
  <c r="X65" i="3"/>
  <c r="V65" i="3"/>
  <c r="T65" i="3"/>
  <c r="R65" i="3"/>
  <c r="P65" i="3"/>
  <c r="N65" i="3"/>
  <c r="BJ64" i="3"/>
  <c r="BE64" i="3"/>
  <c r="AW64" i="3"/>
  <c r="AU64" i="3"/>
  <c r="AS64" i="3"/>
  <c r="AR64" i="3"/>
  <c r="AP64" i="3"/>
  <c r="AN64" i="3"/>
  <c r="AL64" i="3"/>
  <c r="AJ64" i="3"/>
  <c r="AH64" i="3"/>
  <c r="AF64" i="3"/>
  <c r="AD64" i="3"/>
  <c r="AB64" i="3"/>
  <c r="Z64" i="3"/>
  <c r="X64" i="3"/>
  <c r="V64" i="3"/>
  <c r="T64" i="3"/>
  <c r="R64" i="3"/>
  <c r="P64" i="3"/>
  <c r="N64" i="3"/>
  <c r="BJ63" i="3"/>
  <c r="BE63" i="3"/>
  <c r="AW63" i="3"/>
  <c r="AU63" i="3"/>
  <c r="AS63" i="3"/>
  <c r="AR63" i="3"/>
  <c r="AP63" i="3"/>
  <c r="AN63" i="3"/>
  <c r="AL63" i="3"/>
  <c r="AJ63" i="3"/>
  <c r="AH63" i="3"/>
  <c r="AF63" i="3"/>
  <c r="AD63" i="3"/>
  <c r="AB63" i="3"/>
  <c r="Z63" i="3"/>
  <c r="X63" i="3"/>
  <c r="V63" i="3"/>
  <c r="T63" i="3"/>
  <c r="R63" i="3"/>
  <c r="P63" i="3"/>
  <c r="N63" i="3"/>
  <c r="BJ62" i="3"/>
  <c r="BE62" i="3"/>
  <c r="AW62" i="3"/>
  <c r="AU62" i="3"/>
  <c r="AS62" i="3"/>
  <c r="AR62" i="3"/>
  <c r="AP62" i="3"/>
  <c r="AN62" i="3"/>
  <c r="AL62" i="3"/>
  <c r="AJ62" i="3"/>
  <c r="AH62" i="3"/>
  <c r="AF62" i="3"/>
  <c r="AD62" i="3"/>
  <c r="AB62" i="3"/>
  <c r="Z62" i="3"/>
  <c r="X62" i="3"/>
  <c r="V62" i="3"/>
  <c r="T62" i="3"/>
  <c r="R62" i="3"/>
  <c r="P62" i="3"/>
  <c r="N62" i="3"/>
  <c r="BJ61" i="3"/>
  <c r="BE61" i="3"/>
  <c r="AW61" i="3"/>
  <c r="AU61" i="3"/>
  <c r="AS61" i="3"/>
  <c r="AR61" i="3"/>
  <c r="AP61" i="3"/>
  <c r="AN61" i="3"/>
  <c r="AL61" i="3"/>
  <c r="AJ61" i="3"/>
  <c r="AH61" i="3"/>
  <c r="AF61" i="3"/>
  <c r="AD61" i="3"/>
  <c r="AB61" i="3"/>
  <c r="Z61" i="3"/>
  <c r="X61" i="3"/>
  <c r="V61" i="3"/>
  <c r="T61" i="3"/>
  <c r="R61" i="3"/>
  <c r="P61" i="3"/>
  <c r="N61" i="3"/>
  <c r="BJ60" i="3"/>
  <c r="BE60" i="3"/>
  <c r="AW60" i="3"/>
  <c r="AU60" i="3"/>
  <c r="AS60" i="3"/>
  <c r="AR60" i="3"/>
  <c r="AP60" i="3"/>
  <c r="AN60" i="3"/>
  <c r="AL60" i="3"/>
  <c r="AJ60" i="3"/>
  <c r="AH60" i="3"/>
  <c r="AF60" i="3"/>
  <c r="AD60" i="3"/>
  <c r="AB60" i="3"/>
  <c r="Z60" i="3"/>
  <c r="X60" i="3"/>
  <c r="V60" i="3"/>
  <c r="T60" i="3"/>
  <c r="R60" i="3"/>
  <c r="P60" i="3"/>
  <c r="N60" i="3"/>
  <c r="BJ59" i="3"/>
  <c r="BE59" i="3"/>
  <c r="AW59" i="3"/>
  <c r="AU59" i="3"/>
  <c r="AS59" i="3"/>
  <c r="AR59" i="3"/>
  <c r="AP59" i="3"/>
  <c r="AN59" i="3"/>
  <c r="AL59" i="3"/>
  <c r="AJ59" i="3"/>
  <c r="AH59" i="3"/>
  <c r="AF59" i="3"/>
  <c r="AD59" i="3"/>
  <c r="AB59" i="3"/>
  <c r="Z59" i="3"/>
  <c r="X59" i="3"/>
  <c r="V59" i="3"/>
  <c r="T59" i="3"/>
  <c r="R59" i="3"/>
  <c r="P59" i="3"/>
  <c r="N59" i="3"/>
  <c r="BJ58" i="3"/>
  <c r="BE58" i="3"/>
  <c r="AW58" i="3"/>
  <c r="AU58" i="3"/>
  <c r="AS58" i="3"/>
  <c r="AR58" i="3"/>
  <c r="AP58" i="3"/>
  <c r="AN58" i="3"/>
  <c r="AL58" i="3"/>
  <c r="AJ58" i="3"/>
  <c r="AH58" i="3"/>
  <c r="AF58" i="3"/>
  <c r="AD58" i="3"/>
  <c r="AB58" i="3"/>
  <c r="Z58" i="3"/>
  <c r="X58" i="3"/>
  <c r="V58" i="3"/>
  <c r="T58" i="3"/>
  <c r="R58" i="3"/>
  <c r="P58" i="3"/>
  <c r="N58" i="3"/>
  <c r="BJ57" i="3"/>
  <c r="BE57" i="3"/>
  <c r="AW57" i="3"/>
  <c r="AU57" i="3"/>
  <c r="AS57" i="3"/>
  <c r="AR57" i="3"/>
  <c r="AP57" i="3"/>
  <c r="AN57" i="3"/>
  <c r="AL57" i="3"/>
  <c r="AJ57" i="3"/>
  <c r="AH57" i="3"/>
  <c r="AF57" i="3"/>
  <c r="AD57" i="3"/>
  <c r="AB57" i="3"/>
  <c r="Z57" i="3"/>
  <c r="X57" i="3"/>
  <c r="V57" i="3"/>
  <c r="T57" i="3"/>
  <c r="R57" i="3"/>
  <c r="P57" i="3"/>
  <c r="N57" i="3"/>
  <c r="BJ56" i="3"/>
  <c r="BE56" i="3"/>
  <c r="AW56" i="3"/>
  <c r="AU56" i="3"/>
  <c r="AS56" i="3"/>
  <c r="AR56" i="3"/>
  <c r="AP56" i="3"/>
  <c r="AN56" i="3"/>
  <c r="AL56" i="3"/>
  <c r="AJ56" i="3"/>
  <c r="AH56" i="3"/>
  <c r="AF56" i="3"/>
  <c r="AD56" i="3"/>
  <c r="AB56" i="3"/>
  <c r="Z56" i="3"/>
  <c r="X56" i="3"/>
  <c r="V56" i="3"/>
  <c r="T56" i="3"/>
  <c r="R56" i="3"/>
  <c r="P56" i="3"/>
  <c r="N56" i="3"/>
  <c r="BJ55" i="3"/>
  <c r="BE55" i="3"/>
  <c r="AW55" i="3"/>
  <c r="AU55" i="3"/>
  <c r="AS55" i="3"/>
  <c r="AR55" i="3"/>
  <c r="AP55" i="3"/>
  <c r="AN55" i="3"/>
  <c r="AL55" i="3"/>
  <c r="AJ55" i="3"/>
  <c r="AH55" i="3"/>
  <c r="AF55" i="3"/>
  <c r="AD55" i="3"/>
  <c r="AB55" i="3"/>
  <c r="Z55" i="3"/>
  <c r="X55" i="3"/>
  <c r="V55" i="3"/>
  <c r="T55" i="3"/>
  <c r="R55" i="3"/>
  <c r="P55" i="3"/>
  <c r="N55" i="3"/>
  <c r="BJ54" i="3"/>
  <c r="BE54" i="3"/>
  <c r="AW54" i="3"/>
  <c r="AU54" i="3"/>
  <c r="AS54" i="3"/>
  <c r="AR54" i="3"/>
  <c r="AP54" i="3"/>
  <c r="AN54" i="3"/>
  <c r="AL54" i="3"/>
  <c r="AJ54" i="3"/>
  <c r="AH54" i="3"/>
  <c r="AF54" i="3"/>
  <c r="AD54" i="3"/>
  <c r="AB54" i="3"/>
  <c r="Z54" i="3"/>
  <c r="X54" i="3"/>
  <c r="V54" i="3"/>
  <c r="T54" i="3"/>
  <c r="R54" i="3"/>
  <c r="P54" i="3"/>
  <c r="N54" i="3"/>
  <c r="BO53" i="3"/>
  <c r="BJ53" i="3"/>
  <c r="BE53" i="3"/>
  <c r="AW53" i="3"/>
  <c r="AU53" i="3"/>
  <c r="AS53" i="3"/>
  <c r="AR53" i="3"/>
  <c r="AP53" i="3"/>
  <c r="AN53" i="3"/>
  <c r="AL53" i="3"/>
  <c r="AJ53" i="3"/>
  <c r="AH53" i="3"/>
  <c r="AF53" i="3"/>
  <c r="AD53" i="3"/>
  <c r="AB53" i="3"/>
  <c r="Z53" i="3"/>
  <c r="X53" i="3"/>
  <c r="V53" i="3"/>
  <c r="T53" i="3"/>
  <c r="R53" i="3"/>
  <c r="P53" i="3"/>
  <c r="N53" i="3"/>
  <c r="BJ52" i="3"/>
  <c r="BE52" i="3"/>
  <c r="AW52" i="3"/>
  <c r="AU52" i="3"/>
  <c r="AS52" i="3"/>
  <c r="AR52" i="3"/>
  <c r="AP52" i="3"/>
  <c r="AN52" i="3"/>
  <c r="AL52" i="3"/>
  <c r="AJ52" i="3"/>
  <c r="AH52" i="3"/>
  <c r="AF52" i="3"/>
  <c r="AD52" i="3"/>
  <c r="AB52" i="3"/>
  <c r="Z52" i="3"/>
  <c r="X52" i="3"/>
  <c r="V52" i="3"/>
  <c r="T52" i="3"/>
  <c r="R52" i="3"/>
  <c r="P52" i="3"/>
  <c r="N52" i="3"/>
  <c r="BJ51" i="3"/>
  <c r="BE51" i="3"/>
  <c r="AW51" i="3"/>
  <c r="AU51" i="3"/>
  <c r="AS51" i="3"/>
  <c r="AR51" i="3"/>
  <c r="AP51" i="3"/>
  <c r="AN51" i="3"/>
  <c r="AL51" i="3"/>
  <c r="AJ51" i="3"/>
  <c r="AH51" i="3"/>
  <c r="AF51" i="3"/>
  <c r="AD51" i="3"/>
  <c r="AB51" i="3"/>
  <c r="Z51" i="3"/>
  <c r="X51" i="3"/>
  <c r="V51" i="3"/>
  <c r="T51" i="3"/>
  <c r="R51" i="3"/>
  <c r="P51" i="3"/>
  <c r="N51" i="3"/>
  <c r="BJ50" i="3"/>
  <c r="BE50" i="3"/>
  <c r="AW50" i="3"/>
  <c r="AU50" i="3"/>
  <c r="AS50" i="3"/>
  <c r="AR50" i="3"/>
  <c r="AP50" i="3"/>
  <c r="AN50" i="3"/>
  <c r="AL50" i="3"/>
  <c r="AJ50" i="3"/>
  <c r="AH50" i="3"/>
  <c r="AF50" i="3"/>
  <c r="AD50" i="3"/>
  <c r="AB50" i="3"/>
  <c r="Z50" i="3"/>
  <c r="X50" i="3"/>
  <c r="V50" i="3"/>
  <c r="T50" i="3"/>
  <c r="R50" i="3"/>
  <c r="P50" i="3"/>
  <c r="N50" i="3"/>
  <c r="BJ49" i="3"/>
  <c r="BE49" i="3"/>
  <c r="AW49" i="3"/>
  <c r="AU49" i="3"/>
  <c r="AS49" i="3"/>
  <c r="AR49" i="3"/>
  <c r="AP49" i="3"/>
  <c r="AN49" i="3"/>
  <c r="AL49" i="3"/>
  <c r="AJ49" i="3"/>
  <c r="AH49" i="3"/>
  <c r="AF49" i="3"/>
  <c r="AD49" i="3"/>
  <c r="AB49" i="3"/>
  <c r="Z49" i="3"/>
  <c r="X49" i="3"/>
  <c r="V49" i="3"/>
  <c r="T49" i="3"/>
  <c r="R49" i="3"/>
  <c r="P49" i="3"/>
  <c r="N49" i="3"/>
  <c r="BJ48" i="3"/>
  <c r="BE48" i="3"/>
  <c r="AW48" i="3"/>
  <c r="AU48" i="3"/>
  <c r="AS48" i="3"/>
  <c r="AR48" i="3"/>
  <c r="AP48" i="3"/>
  <c r="AN48" i="3"/>
  <c r="AL48" i="3"/>
  <c r="AJ48" i="3"/>
  <c r="AH48" i="3"/>
  <c r="AF48" i="3"/>
  <c r="AD48" i="3"/>
  <c r="AB48" i="3"/>
  <c r="Z48" i="3"/>
  <c r="X48" i="3"/>
  <c r="V48" i="3"/>
  <c r="T48" i="3"/>
  <c r="R48" i="3"/>
  <c r="P48" i="3"/>
  <c r="N48" i="3"/>
  <c r="BJ47" i="3"/>
  <c r="BE47" i="3"/>
  <c r="AW47" i="3"/>
  <c r="AU47" i="3"/>
  <c r="AS47" i="3"/>
  <c r="AR47" i="3"/>
  <c r="AP47" i="3"/>
  <c r="AN47" i="3"/>
  <c r="AL47" i="3"/>
  <c r="AJ47" i="3"/>
  <c r="AH47" i="3"/>
  <c r="AF47" i="3"/>
  <c r="AD47" i="3"/>
  <c r="AB47" i="3"/>
  <c r="Z47" i="3"/>
  <c r="X47" i="3"/>
  <c r="V47" i="3"/>
  <c r="T47" i="3"/>
  <c r="R47" i="3"/>
  <c r="P47" i="3"/>
  <c r="N47" i="3"/>
  <c r="BJ46" i="3"/>
  <c r="BE46" i="3"/>
  <c r="AW46" i="3"/>
  <c r="AU46" i="3"/>
  <c r="AS46" i="3"/>
  <c r="AR46" i="3"/>
  <c r="AP46" i="3"/>
  <c r="AN46" i="3"/>
  <c r="AL46" i="3"/>
  <c r="AJ46" i="3"/>
  <c r="AH46" i="3"/>
  <c r="AF46" i="3"/>
  <c r="AD46" i="3"/>
  <c r="AB46" i="3"/>
  <c r="Z46" i="3"/>
  <c r="X46" i="3"/>
  <c r="V46" i="3"/>
  <c r="T46" i="3"/>
  <c r="R46" i="3"/>
  <c r="P46" i="3"/>
  <c r="N46" i="3"/>
  <c r="BJ45" i="3"/>
  <c r="BE45" i="3"/>
  <c r="AW45" i="3"/>
  <c r="AU45" i="3"/>
  <c r="AS45" i="3"/>
  <c r="AR45" i="3"/>
  <c r="AP45" i="3"/>
  <c r="AN45" i="3"/>
  <c r="AL45" i="3"/>
  <c r="AJ45" i="3"/>
  <c r="AH45" i="3"/>
  <c r="AF45" i="3"/>
  <c r="AD45" i="3"/>
  <c r="AB45" i="3"/>
  <c r="Z45" i="3"/>
  <c r="X45" i="3"/>
  <c r="V45" i="3"/>
  <c r="T45" i="3"/>
  <c r="R45" i="3"/>
  <c r="P45" i="3"/>
  <c r="N45" i="3"/>
  <c r="BO44" i="3"/>
  <c r="BJ44" i="3"/>
  <c r="BE44" i="3"/>
  <c r="AW44" i="3"/>
  <c r="AU44" i="3"/>
  <c r="AS44" i="3"/>
  <c r="AR44" i="3"/>
  <c r="AP44" i="3"/>
  <c r="AN44" i="3"/>
  <c r="AL44" i="3"/>
  <c r="AJ44" i="3"/>
  <c r="AH44" i="3"/>
  <c r="AF44" i="3"/>
  <c r="AD44" i="3"/>
  <c r="AB44" i="3"/>
  <c r="Z44" i="3"/>
  <c r="X44" i="3"/>
  <c r="V44" i="3"/>
  <c r="T44" i="3"/>
  <c r="R44" i="3"/>
  <c r="P44" i="3"/>
  <c r="N44" i="3"/>
  <c r="BJ43" i="3"/>
  <c r="BE43" i="3"/>
  <c r="AW43" i="3"/>
  <c r="AU43" i="3"/>
  <c r="AS43" i="3"/>
  <c r="AR43" i="3"/>
  <c r="AP43" i="3"/>
  <c r="AN43" i="3"/>
  <c r="AL43" i="3"/>
  <c r="AJ43" i="3"/>
  <c r="AH43" i="3"/>
  <c r="AF43" i="3"/>
  <c r="AD43" i="3"/>
  <c r="AB43" i="3"/>
  <c r="Z43" i="3"/>
  <c r="X43" i="3"/>
  <c r="V43" i="3"/>
  <c r="T43" i="3"/>
  <c r="R43" i="3"/>
  <c r="P43" i="3"/>
  <c r="N43" i="3"/>
  <c r="BJ42" i="3"/>
  <c r="BE42" i="3"/>
  <c r="AW42" i="3"/>
  <c r="AU42" i="3"/>
  <c r="AS42" i="3"/>
  <c r="AR42" i="3"/>
  <c r="AP42" i="3"/>
  <c r="AN42" i="3"/>
  <c r="AL42" i="3"/>
  <c r="AJ42" i="3"/>
  <c r="AH42" i="3"/>
  <c r="AF42" i="3"/>
  <c r="AD42" i="3"/>
  <c r="AB42" i="3"/>
  <c r="Z42" i="3"/>
  <c r="X42" i="3"/>
  <c r="V42" i="3"/>
  <c r="T42" i="3"/>
  <c r="R42" i="3"/>
  <c r="P42" i="3"/>
  <c r="N42" i="3"/>
  <c r="BJ41" i="3"/>
  <c r="BE41" i="3"/>
  <c r="AW41" i="3"/>
  <c r="AU41" i="3"/>
  <c r="AS41" i="3"/>
  <c r="AR41" i="3"/>
  <c r="AP41" i="3"/>
  <c r="AN41" i="3"/>
  <c r="AL41" i="3"/>
  <c r="AJ41" i="3"/>
  <c r="AH41" i="3"/>
  <c r="AF41" i="3"/>
  <c r="AD41" i="3"/>
  <c r="AB41" i="3"/>
  <c r="Z41" i="3"/>
  <c r="X41" i="3"/>
  <c r="V41" i="3"/>
  <c r="T41" i="3"/>
  <c r="R41" i="3"/>
  <c r="P41" i="3"/>
  <c r="N41" i="3"/>
  <c r="BO40" i="3"/>
  <c r="BJ40" i="3"/>
  <c r="BE40" i="3"/>
  <c r="AW40" i="3"/>
  <c r="AU40" i="3"/>
  <c r="AS40" i="3"/>
  <c r="AR40" i="3"/>
  <c r="AP40" i="3"/>
  <c r="AN40" i="3"/>
  <c r="AL40" i="3"/>
  <c r="AJ40" i="3"/>
  <c r="AH40" i="3"/>
  <c r="AF40" i="3"/>
  <c r="AD40" i="3"/>
  <c r="AB40" i="3"/>
  <c r="Z40" i="3"/>
  <c r="X40" i="3"/>
  <c r="V40" i="3"/>
  <c r="T40" i="3"/>
  <c r="R40" i="3"/>
  <c r="P40" i="3"/>
  <c r="N40" i="3"/>
  <c r="BJ39" i="3"/>
  <c r="BE39" i="3"/>
  <c r="AW39" i="3"/>
  <c r="AU39" i="3"/>
  <c r="AS39" i="3"/>
  <c r="AR39" i="3"/>
  <c r="AP39" i="3"/>
  <c r="AN39" i="3"/>
  <c r="AL39" i="3"/>
  <c r="AJ39" i="3"/>
  <c r="AH39" i="3"/>
  <c r="AF39" i="3"/>
  <c r="AD39" i="3"/>
  <c r="AB39" i="3"/>
  <c r="Z39" i="3"/>
  <c r="X39" i="3"/>
  <c r="V39" i="3"/>
  <c r="T39" i="3"/>
  <c r="R39" i="3"/>
  <c r="P39" i="3"/>
  <c r="N39" i="3"/>
  <c r="BJ38" i="3"/>
  <c r="BE38" i="3"/>
  <c r="AW38" i="3"/>
  <c r="AU38" i="3"/>
  <c r="AS38" i="3"/>
  <c r="AR38" i="3"/>
  <c r="AP38" i="3"/>
  <c r="AN38" i="3"/>
  <c r="AL38" i="3"/>
  <c r="AJ38" i="3"/>
  <c r="AH38" i="3"/>
  <c r="AF38" i="3"/>
  <c r="AD38" i="3"/>
  <c r="AB38" i="3"/>
  <c r="Z38" i="3"/>
  <c r="X38" i="3"/>
  <c r="V38" i="3"/>
  <c r="T38" i="3"/>
  <c r="R38" i="3"/>
  <c r="P38" i="3"/>
  <c r="N38" i="3"/>
  <c r="BJ37" i="3"/>
  <c r="BE37" i="3"/>
  <c r="AW37" i="3"/>
  <c r="AU37" i="3"/>
  <c r="AS37" i="3"/>
  <c r="AR37" i="3"/>
  <c r="AP37" i="3"/>
  <c r="AN37" i="3"/>
  <c r="AL37" i="3"/>
  <c r="AJ37" i="3"/>
  <c r="AH37" i="3"/>
  <c r="AF37" i="3"/>
  <c r="AD37" i="3"/>
  <c r="AB37" i="3"/>
  <c r="Z37" i="3"/>
  <c r="X37" i="3"/>
  <c r="V37" i="3"/>
  <c r="T37" i="3"/>
  <c r="R37" i="3"/>
  <c r="P37" i="3"/>
  <c r="N37" i="3"/>
  <c r="BJ36" i="3"/>
  <c r="BE36" i="3"/>
  <c r="AW36" i="3"/>
  <c r="AU36" i="3"/>
  <c r="AS36" i="3"/>
  <c r="AR36" i="3"/>
  <c r="AP36" i="3"/>
  <c r="AN36" i="3"/>
  <c r="AL36" i="3"/>
  <c r="AJ36" i="3"/>
  <c r="AH36" i="3"/>
  <c r="AF36" i="3"/>
  <c r="AD36" i="3"/>
  <c r="AB36" i="3"/>
  <c r="Z36" i="3"/>
  <c r="X36" i="3"/>
  <c r="V36" i="3"/>
  <c r="T36" i="3"/>
  <c r="R36" i="3"/>
  <c r="P36" i="3"/>
  <c r="N36" i="3"/>
  <c r="BJ35" i="3"/>
  <c r="BE35" i="3"/>
  <c r="AW35" i="3"/>
  <c r="AU35" i="3"/>
  <c r="AS35" i="3"/>
  <c r="AR35" i="3"/>
  <c r="AP35" i="3"/>
  <c r="AN35" i="3"/>
  <c r="AL35" i="3"/>
  <c r="AJ35" i="3"/>
  <c r="AH35" i="3"/>
  <c r="AF35" i="3"/>
  <c r="AD35" i="3"/>
  <c r="AB35" i="3"/>
  <c r="Z35" i="3"/>
  <c r="X35" i="3"/>
  <c r="V35" i="3"/>
  <c r="T35" i="3"/>
  <c r="R35" i="3"/>
  <c r="P35" i="3"/>
  <c r="N35" i="3"/>
  <c r="BJ34" i="3"/>
  <c r="BE34" i="3"/>
  <c r="AW34" i="3"/>
  <c r="AU34" i="3"/>
  <c r="AS34" i="3"/>
  <c r="AR34" i="3"/>
  <c r="AP34" i="3"/>
  <c r="AN34" i="3"/>
  <c r="AL34" i="3"/>
  <c r="AJ34" i="3"/>
  <c r="AH34" i="3"/>
  <c r="AF34" i="3"/>
  <c r="AD34" i="3"/>
  <c r="AB34" i="3"/>
  <c r="Z34" i="3"/>
  <c r="X34" i="3"/>
  <c r="V34" i="3"/>
  <c r="T34" i="3"/>
  <c r="R34" i="3"/>
  <c r="P34" i="3"/>
  <c r="N34" i="3"/>
  <c r="BJ33" i="3"/>
  <c r="BE33" i="3"/>
  <c r="AW33" i="3"/>
  <c r="AU33" i="3"/>
  <c r="AS33" i="3"/>
  <c r="AR33" i="3"/>
  <c r="AP33" i="3"/>
  <c r="AN33" i="3"/>
  <c r="AL33" i="3"/>
  <c r="AJ33" i="3"/>
  <c r="AH33" i="3"/>
  <c r="AF33" i="3"/>
  <c r="AD33" i="3"/>
  <c r="AB33" i="3"/>
  <c r="Z33" i="3"/>
  <c r="X33" i="3"/>
  <c r="V33" i="3"/>
  <c r="T33" i="3"/>
  <c r="R33" i="3"/>
  <c r="P33" i="3"/>
  <c r="N33" i="3"/>
  <c r="BJ32" i="3"/>
  <c r="BE32" i="3"/>
  <c r="AW32" i="3"/>
  <c r="AU32" i="3"/>
  <c r="AS32" i="3"/>
  <c r="AR32" i="3"/>
  <c r="AP32" i="3"/>
  <c r="AN32" i="3"/>
  <c r="AL32" i="3"/>
  <c r="AJ32" i="3"/>
  <c r="AH32" i="3"/>
  <c r="AF32" i="3"/>
  <c r="AD32" i="3"/>
  <c r="AB32" i="3"/>
  <c r="Z32" i="3"/>
  <c r="X32" i="3"/>
  <c r="V32" i="3"/>
  <c r="T32" i="3"/>
  <c r="R32" i="3"/>
  <c r="P32" i="3"/>
  <c r="N32" i="3"/>
  <c r="BJ31" i="3"/>
  <c r="BE31" i="3"/>
  <c r="AW31" i="3"/>
  <c r="AU31" i="3"/>
  <c r="AS31" i="3"/>
  <c r="AR31" i="3"/>
  <c r="AP31" i="3"/>
  <c r="AN31" i="3"/>
  <c r="AL31" i="3"/>
  <c r="AJ31" i="3"/>
  <c r="AH31" i="3"/>
  <c r="AF31" i="3"/>
  <c r="AD31" i="3"/>
  <c r="AB31" i="3"/>
  <c r="Z31" i="3"/>
  <c r="X31" i="3"/>
  <c r="V31" i="3"/>
  <c r="T31" i="3"/>
  <c r="R31" i="3"/>
  <c r="P31" i="3"/>
  <c r="N31" i="3"/>
  <c r="BJ30" i="3"/>
  <c r="BE30" i="3"/>
  <c r="AW30" i="3"/>
  <c r="AU30" i="3"/>
  <c r="AS30" i="3"/>
  <c r="AR30" i="3"/>
  <c r="AP30" i="3"/>
  <c r="AN30" i="3"/>
  <c r="AL30" i="3"/>
  <c r="AJ30" i="3"/>
  <c r="AH30" i="3"/>
  <c r="AF30" i="3"/>
  <c r="AD30" i="3"/>
  <c r="AB30" i="3"/>
  <c r="Z30" i="3"/>
  <c r="X30" i="3"/>
  <c r="V30" i="3"/>
  <c r="T30" i="3"/>
  <c r="R30" i="3"/>
  <c r="P30" i="3"/>
  <c r="N30" i="3"/>
  <c r="BJ29" i="3"/>
  <c r="BE29" i="3"/>
  <c r="AW29" i="3"/>
  <c r="AU29" i="3"/>
  <c r="AS29" i="3"/>
  <c r="AR29" i="3"/>
  <c r="AP29" i="3"/>
  <c r="AN29" i="3"/>
  <c r="AL29" i="3"/>
  <c r="AJ29" i="3"/>
  <c r="AH29" i="3"/>
  <c r="AF29" i="3"/>
  <c r="AD29" i="3"/>
  <c r="AB29" i="3"/>
  <c r="Z29" i="3"/>
  <c r="X29" i="3"/>
  <c r="V29" i="3"/>
  <c r="T29" i="3"/>
  <c r="R29" i="3"/>
  <c r="P29" i="3"/>
  <c r="N29" i="3"/>
  <c r="BJ28" i="3"/>
  <c r="BE28" i="3"/>
  <c r="AW28" i="3"/>
  <c r="AU28" i="3"/>
  <c r="AS28" i="3"/>
  <c r="AR28" i="3"/>
  <c r="AP28" i="3"/>
  <c r="AN28" i="3"/>
  <c r="AL28" i="3"/>
  <c r="AJ28" i="3"/>
  <c r="AH28" i="3"/>
  <c r="AF28" i="3"/>
  <c r="AD28" i="3"/>
  <c r="AB28" i="3"/>
  <c r="Z28" i="3"/>
  <c r="X28" i="3"/>
  <c r="V28" i="3"/>
  <c r="T28" i="3"/>
  <c r="R28" i="3"/>
  <c r="P28" i="3"/>
  <c r="N28" i="3"/>
  <c r="BO27" i="3"/>
  <c r="BJ27" i="3"/>
  <c r="BE27" i="3"/>
  <c r="AW27" i="3"/>
  <c r="AU27" i="3"/>
  <c r="AS27" i="3"/>
  <c r="AR27" i="3"/>
  <c r="AP27" i="3"/>
  <c r="AN27" i="3"/>
  <c r="AL27" i="3"/>
  <c r="AJ27" i="3"/>
  <c r="AH27" i="3"/>
  <c r="AF27" i="3"/>
  <c r="AD27" i="3"/>
  <c r="AB27" i="3"/>
  <c r="Z27" i="3"/>
  <c r="X27" i="3"/>
  <c r="V27" i="3"/>
  <c r="T27" i="3"/>
  <c r="R27" i="3"/>
  <c r="P27" i="3"/>
  <c r="N27" i="3"/>
  <c r="BJ26" i="3"/>
  <c r="BE26" i="3"/>
  <c r="AW26" i="3"/>
  <c r="AU26" i="3"/>
  <c r="AS26" i="3"/>
  <c r="AR26" i="3"/>
  <c r="AP26" i="3"/>
  <c r="AN26" i="3"/>
  <c r="AL26" i="3"/>
  <c r="AJ26" i="3"/>
  <c r="AH26" i="3"/>
  <c r="AF26" i="3"/>
  <c r="AD26" i="3"/>
  <c r="AB26" i="3"/>
  <c r="Z26" i="3"/>
  <c r="X26" i="3"/>
  <c r="V26" i="3"/>
  <c r="T26" i="3"/>
  <c r="R26" i="3"/>
  <c r="P26" i="3"/>
  <c r="N26" i="3"/>
  <c r="BJ25" i="3"/>
  <c r="BE25" i="3"/>
  <c r="AW25" i="3"/>
  <c r="AU25" i="3"/>
  <c r="AS25" i="3"/>
  <c r="AR25" i="3"/>
  <c r="AP25" i="3"/>
  <c r="AN25" i="3"/>
  <c r="AL25" i="3"/>
  <c r="AJ25" i="3"/>
  <c r="AH25" i="3"/>
  <c r="AF25" i="3"/>
  <c r="AD25" i="3"/>
  <c r="AB25" i="3"/>
  <c r="Z25" i="3"/>
  <c r="X25" i="3"/>
  <c r="V25" i="3"/>
  <c r="T25" i="3"/>
  <c r="R25" i="3"/>
  <c r="P25" i="3"/>
  <c r="N25" i="3"/>
  <c r="BJ24" i="3"/>
  <c r="BE24" i="3"/>
  <c r="AW24" i="3"/>
  <c r="AU24" i="3"/>
  <c r="AS24" i="3"/>
  <c r="AR24" i="3"/>
  <c r="AP24" i="3"/>
  <c r="AN24" i="3"/>
  <c r="AL24" i="3"/>
  <c r="AJ24" i="3"/>
  <c r="AH24" i="3"/>
  <c r="AF24" i="3"/>
  <c r="AD24" i="3"/>
  <c r="AB24" i="3"/>
  <c r="Z24" i="3"/>
  <c r="X24" i="3"/>
  <c r="V24" i="3"/>
  <c r="T24" i="3"/>
  <c r="R24" i="3"/>
  <c r="P24" i="3"/>
  <c r="N24" i="3"/>
  <c r="BJ23" i="3"/>
  <c r="BE23" i="3"/>
  <c r="AW23" i="3"/>
  <c r="AU23" i="3"/>
  <c r="AS23" i="3"/>
  <c r="AR23" i="3"/>
  <c r="AP23" i="3"/>
  <c r="AN23" i="3"/>
  <c r="AL23" i="3"/>
  <c r="AJ23" i="3"/>
  <c r="AH23" i="3"/>
  <c r="AF23" i="3"/>
  <c r="AD23" i="3"/>
  <c r="AB23" i="3"/>
  <c r="Z23" i="3"/>
  <c r="X23" i="3"/>
  <c r="V23" i="3"/>
  <c r="T23" i="3"/>
  <c r="R23" i="3"/>
  <c r="P23" i="3"/>
  <c r="N23" i="3"/>
  <c r="BJ22" i="3"/>
  <c r="BE22" i="3"/>
  <c r="AW22" i="3"/>
  <c r="AU22" i="3"/>
  <c r="AS22" i="3"/>
  <c r="AR22" i="3"/>
  <c r="AP22" i="3"/>
  <c r="AN22" i="3"/>
  <c r="AL22" i="3"/>
  <c r="AJ22" i="3"/>
  <c r="AH22" i="3"/>
  <c r="AF22" i="3"/>
  <c r="AD22" i="3"/>
  <c r="AB22" i="3"/>
  <c r="Z22" i="3"/>
  <c r="X22" i="3"/>
  <c r="V22" i="3"/>
  <c r="T22" i="3"/>
  <c r="R22" i="3"/>
  <c r="P22" i="3"/>
  <c r="N22" i="3"/>
  <c r="BJ21" i="3"/>
  <c r="BE21" i="3"/>
  <c r="AW21" i="3"/>
  <c r="AU21" i="3"/>
  <c r="AS21" i="3"/>
  <c r="AR21" i="3"/>
  <c r="AP21" i="3"/>
  <c r="AN21" i="3"/>
  <c r="AL21" i="3"/>
  <c r="AJ21" i="3"/>
  <c r="AH21" i="3"/>
  <c r="AF21" i="3"/>
  <c r="AD21" i="3"/>
  <c r="AB21" i="3"/>
  <c r="Z21" i="3"/>
  <c r="X21" i="3"/>
  <c r="V21" i="3"/>
  <c r="T21" i="3"/>
  <c r="R21" i="3"/>
  <c r="P21" i="3"/>
  <c r="N21" i="3"/>
  <c r="BJ20" i="3"/>
  <c r="BE20" i="3"/>
  <c r="AW20" i="3"/>
  <c r="AU20" i="3"/>
  <c r="AS20" i="3"/>
  <c r="AR20" i="3"/>
  <c r="AP20" i="3"/>
  <c r="AN20" i="3"/>
  <c r="AL20" i="3"/>
  <c r="AJ20" i="3"/>
  <c r="AH20" i="3"/>
  <c r="AF20" i="3"/>
  <c r="AD20" i="3"/>
  <c r="AB20" i="3"/>
  <c r="Z20" i="3"/>
  <c r="X20" i="3"/>
  <c r="V20" i="3"/>
  <c r="T20" i="3"/>
  <c r="R20" i="3"/>
  <c r="P20" i="3"/>
  <c r="N20" i="3"/>
  <c r="BJ19" i="3"/>
  <c r="BE19" i="3"/>
  <c r="AW19" i="3"/>
  <c r="AU19" i="3"/>
  <c r="AS19" i="3"/>
  <c r="AR19" i="3"/>
  <c r="AP19" i="3"/>
  <c r="AN19" i="3"/>
  <c r="AL19" i="3"/>
  <c r="AJ19" i="3"/>
  <c r="AH19" i="3"/>
  <c r="AF19" i="3"/>
  <c r="AD19" i="3"/>
  <c r="AB19" i="3"/>
  <c r="Z19" i="3"/>
  <c r="X19" i="3"/>
  <c r="V19" i="3"/>
  <c r="T19" i="3"/>
  <c r="R19" i="3"/>
  <c r="P19" i="3"/>
  <c r="N19" i="3"/>
  <c r="BJ18" i="3"/>
  <c r="BE18" i="3"/>
  <c r="AW18" i="3"/>
  <c r="AU18" i="3"/>
  <c r="AS18" i="3"/>
  <c r="AR18" i="3"/>
  <c r="AP18" i="3"/>
  <c r="AN18" i="3"/>
  <c r="AL18" i="3"/>
  <c r="AJ18" i="3"/>
  <c r="AH18" i="3"/>
  <c r="AF18" i="3"/>
  <c r="AD18" i="3"/>
  <c r="AB18" i="3"/>
  <c r="Z18" i="3"/>
  <c r="X18" i="3"/>
  <c r="V18" i="3"/>
  <c r="T18" i="3"/>
  <c r="R18" i="3"/>
  <c r="P18" i="3"/>
  <c r="N18" i="3"/>
  <c r="BJ17" i="3"/>
  <c r="BE17" i="3"/>
  <c r="AW17" i="3"/>
  <c r="AU17" i="3"/>
  <c r="AS17" i="3"/>
  <c r="AR17" i="3"/>
  <c r="AP17" i="3"/>
  <c r="AN17" i="3"/>
  <c r="AL17" i="3"/>
  <c r="AJ17" i="3"/>
  <c r="AH17" i="3"/>
  <c r="AF17" i="3"/>
  <c r="AD17" i="3"/>
  <c r="AB17" i="3"/>
  <c r="Z17" i="3"/>
  <c r="X17" i="3"/>
  <c r="V17" i="3"/>
  <c r="T17" i="3"/>
  <c r="R17" i="3"/>
  <c r="P17" i="3"/>
  <c r="N17" i="3"/>
  <c r="BJ16" i="3"/>
  <c r="BE16" i="3"/>
  <c r="AW16" i="3"/>
  <c r="AU16" i="3"/>
  <c r="AS16" i="3"/>
  <c r="AR16" i="3"/>
  <c r="AP16" i="3"/>
  <c r="AN16" i="3"/>
  <c r="AL16" i="3"/>
  <c r="AJ16" i="3"/>
  <c r="AH16" i="3"/>
  <c r="AF16" i="3"/>
  <c r="AD16" i="3"/>
  <c r="AB16" i="3"/>
  <c r="Z16" i="3"/>
  <c r="X16" i="3"/>
  <c r="V16" i="3"/>
  <c r="T16" i="3"/>
  <c r="R16" i="3"/>
  <c r="P16" i="3"/>
  <c r="N16" i="3"/>
  <c r="BJ15" i="3"/>
  <c r="BE15" i="3"/>
  <c r="AW15" i="3"/>
  <c r="AU15" i="3"/>
  <c r="AS15" i="3"/>
  <c r="AR15" i="3"/>
  <c r="AP15" i="3"/>
  <c r="AN15" i="3"/>
  <c r="AL15" i="3"/>
  <c r="AJ15" i="3"/>
  <c r="AH15" i="3"/>
  <c r="AF15" i="3"/>
  <c r="AD15" i="3"/>
  <c r="AB15" i="3"/>
  <c r="Z15" i="3"/>
  <c r="X15" i="3"/>
  <c r="V15" i="3"/>
  <c r="T15" i="3"/>
  <c r="R15" i="3"/>
  <c r="P15" i="3"/>
  <c r="N15" i="3"/>
  <c r="BJ14" i="3"/>
  <c r="BE14" i="3"/>
  <c r="AW14" i="3"/>
  <c r="AU14" i="3"/>
  <c r="AS14" i="3"/>
  <c r="AR14" i="3"/>
  <c r="AP14" i="3"/>
  <c r="AN14" i="3"/>
  <c r="AL14" i="3"/>
  <c r="AJ14" i="3"/>
  <c r="AH14" i="3"/>
  <c r="AF14" i="3"/>
  <c r="AD14" i="3"/>
  <c r="AB14" i="3"/>
  <c r="Z14" i="3"/>
  <c r="X14" i="3"/>
  <c r="V14" i="3"/>
  <c r="T14" i="3"/>
  <c r="R14" i="3"/>
  <c r="P14" i="3"/>
  <c r="N14" i="3"/>
  <c r="BJ13" i="3"/>
  <c r="BE13" i="3"/>
  <c r="AW13" i="3"/>
  <c r="AU13" i="3"/>
  <c r="AS13" i="3"/>
  <c r="AR13" i="3"/>
  <c r="AP13" i="3"/>
  <c r="AN13" i="3"/>
  <c r="AL13" i="3"/>
  <c r="AJ13" i="3"/>
  <c r="AH13" i="3"/>
  <c r="AF13" i="3"/>
  <c r="AD13" i="3"/>
  <c r="AB13" i="3"/>
  <c r="Z13" i="3"/>
  <c r="X13" i="3"/>
  <c r="V13" i="3"/>
  <c r="T13" i="3"/>
  <c r="R13" i="3"/>
  <c r="P13" i="3"/>
  <c r="N13" i="3"/>
  <c r="BJ12" i="3"/>
  <c r="BE12" i="3"/>
  <c r="AW12" i="3"/>
  <c r="AU12" i="3"/>
  <c r="AS12" i="3"/>
  <c r="AR12" i="3"/>
  <c r="AP12" i="3"/>
  <c r="AN12" i="3"/>
  <c r="AL12" i="3"/>
  <c r="AJ12" i="3"/>
  <c r="AH12" i="3"/>
  <c r="AF12" i="3"/>
  <c r="AD12" i="3"/>
  <c r="AB12" i="3"/>
  <c r="Z12" i="3"/>
  <c r="X12" i="3"/>
  <c r="V12" i="3"/>
  <c r="T12" i="3"/>
  <c r="R12" i="3"/>
  <c r="P12" i="3"/>
  <c r="N12" i="3"/>
  <c r="BJ11" i="3"/>
  <c r="BE11" i="3"/>
  <c r="AW11" i="3"/>
  <c r="AU11" i="3"/>
  <c r="AS11" i="3"/>
  <c r="AR11" i="3"/>
  <c r="AP11" i="3"/>
  <c r="AN11" i="3"/>
  <c r="AL11" i="3"/>
  <c r="AJ11" i="3"/>
  <c r="AH11" i="3"/>
  <c r="AF11" i="3"/>
  <c r="AD11" i="3"/>
  <c r="AB11" i="3"/>
  <c r="Z11" i="3"/>
  <c r="X11" i="3"/>
  <c r="V11" i="3"/>
  <c r="T11" i="3"/>
  <c r="R11" i="3"/>
  <c r="P11" i="3"/>
  <c r="N11" i="3"/>
  <c r="BJ10" i="3"/>
  <c r="BE10" i="3"/>
  <c r="AW10" i="3"/>
  <c r="AU10" i="3"/>
  <c r="AS10" i="3"/>
  <c r="AR10" i="3"/>
  <c r="AP10" i="3"/>
  <c r="AN10" i="3"/>
  <c r="AL10" i="3"/>
  <c r="AJ10" i="3"/>
  <c r="AH10" i="3"/>
  <c r="AF10" i="3"/>
  <c r="AD10" i="3"/>
  <c r="AB10" i="3"/>
  <c r="Z10" i="3"/>
  <c r="X10" i="3"/>
  <c r="V10" i="3"/>
  <c r="T10" i="3"/>
  <c r="R10" i="3"/>
  <c r="P10" i="3"/>
  <c r="N10" i="3"/>
  <c r="BJ9" i="3"/>
  <c r="BE9" i="3"/>
  <c r="AW9" i="3"/>
  <c r="AU9" i="3"/>
  <c r="AS9" i="3"/>
  <c r="AR9" i="3"/>
  <c r="AP9" i="3"/>
  <c r="AN9" i="3"/>
  <c r="AL9" i="3"/>
  <c r="AJ9" i="3"/>
  <c r="AH9" i="3"/>
  <c r="AF9" i="3"/>
  <c r="AD9" i="3"/>
  <c r="AB9" i="3"/>
  <c r="Z9" i="3"/>
  <c r="X9" i="3"/>
  <c r="V9" i="3"/>
  <c r="T9" i="3"/>
  <c r="R9" i="3"/>
  <c r="P9" i="3"/>
  <c r="N9" i="3"/>
  <c r="BJ8" i="3"/>
  <c r="BE8" i="3"/>
  <c r="AW8" i="3"/>
  <c r="AU8" i="3"/>
  <c r="AS8" i="3"/>
  <c r="AR8" i="3"/>
  <c r="AP8" i="3"/>
  <c r="AN8" i="3"/>
  <c r="AL8" i="3"/>
  <c r="AJ8" i="3"/>
  <c r="AH8" i="3"/>
  <c r="AF8" i="3"/>
  <c r="AD8" i="3"/>
  <c r="AB8" i="3"/>
  <c r="Z8" i="3"/>
  <c r="X8" i="3"/>
  <c r="V8" i="3"/>
  <c r="T8" i="3"/>
  <c r="R8" i="3"/>
  <c r="P8" i="3"/>
  <c r="N8" i="3"/>
  <c r="BO7" i="3"/>
  <c r="BJ7" i="3"/>
  <c r="BE7" i="3"/>
  <c r="AW7" i="3"/>
  <c r="AU7" i="3"/>
  <c r="AS7" i="3"/>
  <c r="AR7" i="3"/>
  <c r="AP7" i="3"/>
  <c r="AN7" i="3"/>
  <c r="AL7" i="3"/>
  <c r="AJ7" i="3"/>
  <c r="AH7" i="3"/>
  <c r="AF7" i="3"/>
  <c r="AD7" i="3"/>
  <c r="AB7" i="3"/>
  <c r="Z7" i="3"/>
  <c r="X7" i="3"/>
  <c r="V7" i="3"/>
  <c r="T7" i="3"/>
  <c r="R7" i="3"/>
  <c r="P7" i="3"/>
  <c r="N7" i="3"/>
  <c r="BJ6" i="3"/>
  <c r="BE6" i="3"/>
  <c r="AW6" i="3"/>
  <c r="AU6" i="3"/>
  <c r="AS6" i="3"/>
  <c r="AR6" i="3"/>
  <c r="AP6" i="3"/>
  <c r="AN6" i="3"/>
  <c r="AL6" i="3"/>
  <c r="AJ6" i="3"/>
  <c r="AH6" i="3"/>
  <c r="AF6" i="3"/>
  <c r="AD6" i="3"/>
  <c r="AB6" i="3"/>
  <c r="Z6" i="3"/>
  <c r="X6" i="3"/>
  <c r="V6" i="3"/>
  <c r="T6" i="3"/>
  <c r="R6" i="3"/>
  <c r="P6" i="3"/>
  <c r="N6" i="3"/>
  <c r="BJ5" i="3"/>
  <c r="BE5" i="3"/>
  <c r="AW5" i="3"/>
  <c r="AU5" i="3"/>
  <c r="AS5" i="3"/>
  <c r="AR5" i="3"/>
  <c r="AP5" i="3"/>
  <c r="AN5" i="3"/>
  <c r="AL5" i="3"/>
  <c r="AJ5" i="3"/>
  <c r="AH5" i="3"/>
  <c r="AF5" i="3"/>
  <c r="AD5" i="3"/>
  <c r="AB5" i="3"/>
  <c r="Z5" i="3"/>
  <c r="X5" i="3"/>
  <c r="V5" i="3"/>
  <c r="T5" i="3"/>
  <c r="R5" i="3"/>
  <c r="P5" i="3"/>
  <c r="N5" i="3"/>
  <c r="BJ4" i="3"/>
  <c r="BE4" i="3"/>
  <c r="AW4" i="3"/>
  <c r="AU4" i="3"/>
  <c r="AS4" i="3"/>
  <c r="AR4" i="3"/>
  <c r="AP4" i="3"/>
  <c r="AN4" i="3"/>
  <c r="AL4" i="3"/>
  <c r="AJ4" i="3"/>
  <c r="AH4" i="3"/>
  <c r="AF4" i="3"/>
  <c r="AD4" i="3"/>
  <c r="AB4" i="3"/>
  <c r="Z4" i="3"/>
  <c r="X4" i="3"/>
  <c r="V4" i="3"/>
  <c r="T4" i="3"/>
  <c r="R4" i="3"/>
  <c r="P4" i="3"/>
  <c r="N4" i="3"/>
  <c r="BJ3" i="3"/>
  <c r="BE3" i="3"/>
  <c r="AW3" i="3"/>
  <c r="AU3" i="3"/>
  <c r="AS3" i="3"/>
  <c r="AR3" i="3"/>
  <c r="AP3" i="3"/>
  <c r="AN3" i="3"/>
  <c r="AL3" i="3"/>
  <c r="AJ3" i="3"/>
  <c r="AH3" i="3"/>
  <c r="AF3" i="3"/>
  <c r="AD3" i="3"/>
  <c r="AB3" i="3"/>
  <c r="Z3" i="3"/>
  <c r="X3" i="3"/>
  <c r="V3" i="3"/>
  <c r="T3" i="3"/>
  <c r="R3" i="3"/>
  <c r="P3" i="3"/>
  <c r="N3" i="3"/>
  <c r="BJ2" i="3"/>
  <c r="BE2" i="3"/>
  <c r="AW2" i="3"/>
  <c r="AU2" i="3"/>
  <c r="AS2" i="3"/>
  <c r="AR2" i="3"/>
  <c r="AP2" i="3"/>
  <c r="AN2" i="3"/>
  <c r="AL2" i="3"/>
  <c r="AJ2" i="3"/>
  <c r="AH2" i="3"/>
  <c r="AF2" i="3"/>
  <c r="AD2" i="3"/>
  <c r="AB2" i="3"/>
  <c r="Z2" i="3"/>
  <c r="X2" i="3"/>
  <c r="V2" i="3"/>
  <c r="T2" i="3"/>
  <c r="R2" i="3"/>
  <c r="P2" i="3"/>
  <c r="N2" i="3"/>
  <c r="BK37" i="2" l="1"/>
  <c r="BF37" i="2"/>
  <c r="BA37" i="2"/>
  <c r="AS37" i="2"/>
  <c r="AQ37" i="2"/>
  <c r="AO37" i="2"/>
  <c r="AN37" i="2"/>
  <c r="AL37" i="2"/>
  <c r="AJ37" i="2"/>
  <c r="AH37" i="2"/>
  <c r="AF37" i="2"/>
  <c r="AD37" i="2"/>
  <c r="AB37" i="2"/>
  <c r="Z37" i="2"/>
  <c r="X37" i="2"/>
  <c r="V37" i="2"/>
  <c r="T37" i="2"/>
  <c r="R37" i="2"/>
  <c r="P37" i="2"/>
  <c r="N37" i="2"/>
  <c r="L37" i="2"/>
  <c r="BF36" i="2"/>
  <c r="BA36" i="2"/>
  <c r="AS36" i="2"/>
  <c r="AQ36" i="2"/>
  <c r="AO36" i="2"/>
  <c r="AN36" i="2"/>
  <c r="AL36" i="2"/>
  <c r="AJ36" i="2"/>
  <c r="AH36" i="2"/>
  <c r="AF36" i="2"/>
  <c r="AD36" i="2"/>
  <c r="AB36" i="2"/>
  <c r="Z36" i="2"/>
  <c r="X36" i="2"/>
  <c r="V36" i="2"/>
  <c r="T36" i="2"/>
  <c r="R36" i="2"/>
  <c r="P36" i="2"/>
  <c r="N36" i="2"/>
  <c r="L36" i="2"/>
  <c r="BF35" i="2"/>
  <c r="BA35" i="2"/>
  <c r="AS35" i="2"/>
  <c r="AQ35" i="2"/>
  <c r="AO35" i="2"/>
  <c r="AN35" i="2"/>
  <c r="AL35" i="2"/>
  <c r="AJ35" i="2"/>
  <c r="AH35" i="2"/>
  <c r="AF35" i="2"/>
  <c r="AD35" i="2"/>
  <c r="AB35" i="2"/>
  <c r="Z35" i="2"/>
  <c r="X35" i="2"/>
  <c r="V35" i="2"/>
  <c r="T35" i="2"/>
  <c r="R35" i="2"/>
  <c r="P35" i="2"/>
  <c r="N35" i="2"/>
  <c r="L35" i="2"/>
  <c r="BF34" i="2"/>
  <c r="BA34" i="2"/>
  <c r="AS34" i="2"/>
  <c r="AQ34" i="2"/>
  <c r="AO34" i="2"/>
  <c r="AN34" i="2"/>
  <c r="AL34" i="2"/>
  <c r="AJ34" i="2"/>
  <c r="AH34" i="2"/>
  <c r="AF34" i="2"/>
  <c r="AD34" i="2"/>
  <c r="AB34" i="2"/>
  <c r="Z34" i="2"/>
  <c r="X34" i="2"/>
  <c r="V34" i="2"/>
  <c r="T34" i="2"/>
  <c r="R34" i="2"/>
  <c r="P34" i="2"/>
  <c r="N34" i="2"/>
  <c r="L34" i="2"/>
  <c r="BF33" i="2"/>
  <c r="BA33" i="2"/>
  <c r="AS33" i="2"/>
  <c r="AQ33" i="2"/>
  <c r="AO33" i="2"/>
  <c r="AN33" i="2"/>
  <c r="AL33" i="2"/>
  <c r="AJ33" i="2"/>
  <c r="AH33" i="2"/>
  <c r="AF33" i="2"/>
  <c r="AD33" i="2"/>
  <c r="AB33" i="2"/>
  <c r="Z33" i="2"/>
  <c r="X33" i="2"/>
  <c r="V33" i="2"/>
  <c r="T33" i="2"/>
  <c r="R33" i="2"/>
  <c r="P33" i="2"/>
  <c r="N33" i="2"/>
  <c r="L33" i="2"/>
  <c r="BF32" i="2"/>
  <c r="BA32" i="2"/>
  <c r="AS32" i="2"/>
  <c r="AQ32" i="2"/>
  <c r="AO32" i="2"/>
  <c r="AN32" i="2"/>
  <c r="AL32" i="2"/>
  <c r="AJ32" i="2"/>
  <c r="AH32" i="2"/>
  <c r="AF32" i="2"/>
  <c r="AD32" i="2"/>
  <c r="AB32" i="2"/>
  <c r="Z32" i="2"/>
  <c r="X32" i="2"/>
  <c r="V32" i="2"/>
  <c r="T32" i="2"/>
  <c r="R32" i="2"/>
  <c r="P32" i="2"/>
  <c r="N32" i="2"/>
  <c r="L32" i="2"/>
  <c r="BF31" i="2"/>
  <c r="BA31" i="2"/>
  <c r="AS31" i="2"/>
  <c r="AQ31" i="2"/>
  <c r="AO31" i="2"/>
  <c r="AN31" i="2"/>
  <c r="AL31" i="2"/>
  <c r="AJ31" i="2"/>
  <c r="AH31" i="2"/>
  <c r="AF31" i="2"/>
  <c r="AD31" i="2"/>
  <c r="AB31" i="2"/>
  <c r="Z31" i="2"/>
  <c r="X31" i="2"/>
  <c r="V31" i="2"/>
  <c r="T31" i="2"/>
  <c r="R31" i="2"/>
  <c r="P31" i="2"/>
  <c r="N31" i="2"/>
  <c r="L31" i="2"/>
  <c r="BF30" i="2"/>
  <c r="BA30" i="2"/>
  <c r="AS30" i="2"/>
  <c r="AQ30" i="2"/>
  <c r="AO30" i="2"/>
  <c r="AN30" i="2"/>
  <c r="AL30" i="2"/>
  <c r="AJ30" i="2"/>
  <c r="AH30" i="2"/>
  <c r="AF30" i="2"/>
  <c r="AD30" i="2"/>
  <c r="AB30" i="2"/>
  <c r="Z30" i="2"/>
  <c r="X30" i="2"/>
  <c r="V30" i="2"/>
  <c r="T30" i="2"/>
  <c r="R30" i="2"/>
  <c r="P30" i="2"/>
  <c r="N30" i="2"/>
  <c r="L30" i="2"/>
  <c r="BF29" i="2"/>
  <c r="BA29" i="2"/>
  <c r="AS29" i="2"/>
  <c r="AQ29" i="2"/>
  <c r="AO29" i="2"/>
  <c r="AN29" i="2"/>
  <c r="AL29" i="2"/>
  <c r="AJ29" i="2"/>
  <c r="AH29" i="2"/>
  <c r="AF29" i="2"/>
  <c r="AD29" i="2"/>
  <c r="AB29" i="2"/>
  <c r="Z29" i="2"/>
  <c r="X29" i="2"/>
  <c r="V29" i="2"/>
  <c r="T29" i="2"/>
  <c r="R29" i="2"/>
  <c r="P29" i="2"/>
  <c r="N29" i="2"/>
  <c r="L29" i="2"/>
  <c r="BK28" i="2"/>
  <c r="BF28" i="2"/>
  <c r="BA28" i="2"/>
  <c r="AS28" i="2"/>
  <c r="AQ28" i="2"/>
  <c r="AO28" i="2"/>
  <c r="AN28" i="2"/>
  <c r="AL28" i="2"/>
  <c r="AJ28" i="2"/>
  <c r="AH28" i="2"/>
  <c r="AF28" i="2"/>
  <c r="AD28" i="2"/>
  <c r="AB28" i="2"/>
  <c r="Z28" i="2"/>
  <c r="X28" i="2"/>
  <c r="V28" i="2"/>
  <c r="T28" i="2"/>
  <c r="R28" i="2"/>
  <c r="P28" i="2"/>
  <c r="N28" i="2"/>
  <c r="L28" i="2"/>
  <c r="BF27" i="2"/>
  <c r="BA27" i="2"/>
  <c r="AS27" i="2"/>
  <c r="AQ27" i="2"/>
  <c r="AO27" i="2"/>
  <c r="AN27" i="2"/>
  <c r="AL27" i="2"/>
  <c r="AJ27" i="2"/>
  <c r="AH27" i="2"/>
  <c r="AF27" i="2"/>
  <c r="AD27" i="2"/>
  <c r="AB27" i="2"/>
  <c r="Z27" i="2"/>
  <c r="X27" i="2"/>
  <c r="V27" i="2"/>
  <c r="T27" i="2"/>
  <c r="R27" i="2"/>
  <c r="P27" i="2"/>
  <c r="N27" i="2"/>
  <c r="L27" i="2"/>
  <c r="BF26" i="2"/>
  <c r="BA26" i="2"/>
  <c r="AS26" i="2"/>
  <c r="AQ26" i="2"/>
  <c r="AO26" i="2"/>
  <c r="AN26" i="2"/>
  <c r="AL26" i="2"/>
  <c r="AJ26" i="2"/>
  <c r="AH26" i="2"/>
  <c r="AF26" i="2"/>
  <c r="AD26" i="2"/>
  <c r="AB26" i="2"/>
  <c r="Z26" i="2"/>
  <c r="X26" i="2"/>
  <c r="V26" i="2"/>
  <c r="T26" i="2"/>
  <c r="R26" i="2"/>
  <c r="P26" i="2"/>
  <c r="N26" i="2"/>
  <c r="L26" i="2"/>
  <c r="BF25" i="2"/>
  <c r="BA25" i="2"/>
  <c r="AS25" i="2"/>
  <c r="AQ25" i="2"/>
  <c r="AO25" i="2"/>
  <c r="AN25" i="2"/>
  <c r="AL25" i="2"/>
  <c r="AJ25" i="2"/>
  <c r="AH25" i="2"/>
  <c r="AF25" i="2"/>
  <c r="AD25" i="2"/>
  <c r="AB25" i="2"/>
  <c r="Z25" i="2"/>
  <c r="X25" i="2"/>
  <c r="V25" i="2"/>
  <c r="T25" i="2"/>
  <c r="R25" i="2"/>
  <c r="P25" i="2"/>
  <c r="N25" i="2"/>
  <c r="L25" i="2"/>
  <c r="BF24" i="2"/>
  <c r="BA24" i="2"/>
  <c r="AS24" i="2"/>
  <c r="AQ24" i="2"/>
  <c r="AO24" i="2"/>
  <c r="AN24" i="2"/>
  <c r="AL24" i="2"/>
  <c r="AJ24" i="2"/>
  <c r="AH24" i="2"/>
  <c r="AF24" i="2"/>
  <c r="AD24" i="2"/>
  <c r="AB24" i="2"/>
  <c r="Z24" i="2"/>
  <c r="X24" i="2"/>
  <c r="V24" i="2"/>
  <c r="T24" i="2"/>
  <c r="R24" i="2"/>
  <c r="P24" i="2"/>
  <c r="N24" i="2"/>
  <c r="L24" i="2"/>
  <c r="BF23" i="2"/>
  <c r="BA23" i="2"/>
  <c r="AS23" i="2"/>
  <c r="AQ23" i="2"/>
  <c r="AO23" i="2"/>
  <c r="AN23" i="2"/>
  <c r="AL23" i="2"/>
  <c r="AJ23" i="2"/>
  <c r="AH23" i="2"/>
  <c r="AF23" i="2"/>
  <c r="AD23" i="2"/>
  <c r="AB23" i="2"/>
  <c r="Z23" i="2"/>
  <c r="X23" i="2"/>
  <c r="V23" i="2"/>
  <c r="T23" i="2"/>
  <c r="R23" i="2"/>
  <c r="P23" i="2"/>
  <c r="N23" i="2"/>
  <c r="L23" i="2"/>
  <c r="BF22" i="2"/>
  <c r="BA22" i="2"/>
  <c r="AS22" i="2"/>
  <c r="AQ22" i="2"/>
  <c r="AO22" i="2"/>
  <c r="AN22" i="2"/>
  <c r="AL22" i="2"/>
  <c r="AJ22" i="2"/>
  <c r="AH22" i="2"/>
  <c r="AF22" i="2"/>
  <c r="AD22" i="2"/>
  <c r="AB22" i="2"/>
  <c r="Z22" i="2"/>
  <c r="X22" i="2"/>
  <c r="V22" i="2"/>
  <c r="T22" i="2"/>
  <c r="R22" i="2"/>
  <c r="P22" i="2"/>
  <c r="N22" i="2"/>
  <c r="L22" i="2"/>
  <c r="BF21" i="2"/>
  <c r="BA21" i="2"/>
  <c r="AS21" i="2"/>
  <c r="AQ21" i="2"/>
  <c r="AO21" i="2"/>
  <c r="AN21" i="2"/>
  <c r="AL21" i="2"/>
  <c r="AJ21" i="2"/>
  <c r="AH21" i="2"/>
  <c r="AF21" i="2"/>
  <c r="AD21" i="2"/>
  <c r="AB21" i="2"/>
  <c r="Z21" i="2"/>
  <c r="X21" i="2"/>
  <c r="V21" i="2"/>
  <c r="T21" i="2"/>
  <c r="R21" i="2"/>
  <c r="P21" i="2"/>
  <c r="N21" i="2"/>
  <c r="L21" i="2"/>
  <c r="BF20" i="2"/>
  <c r="BA20" i="2"/>
  <c r="AS20" i="2"/>
  <c r="AQ20" i="2"/>
  <c r="AO20" i="2"/>
  <c r="AN20" i="2"/>
  <c r="AL20" i="2"/>
  <c r="AJ20" i="2"/>
  <c r="AH20" i="2"/>
  <c r="AF20" i="2"/>
  <c r="AD20" i="2"/>
  <c r="AB20" i="2"/>
  <c r="Z20" i="2"/>
  <c r="X20" i="2"/>
  <c r="V20" i="2"/>
  <c r="T20" i="2"/>
  <c r="R20" i="2"/>
  <c r="P20" i="2"/>
  <c r="N20" i="2"/>
  <c r="L20" i="2"/>
  <c r="BF19" i="2"/>
  <c r="BA19" i="2"/>
  <c r="AS19" i="2"/>
  <c r="AQ19" i="2"/>
  <c r="AO19" i="2"/>
  <c r="AN19" i="2"/>
  <c r="AL19" i="2"/>
  <c r="AJ19" i="2"/>
  <c r="AH19" i="2"/>
  <c r="AF19" i="2"/>
  <c r="AD19" i="2"/>
  <c r="AB19" i="2"/>
  <c r="Z19" i="2"/>
  <c r="X19" i="2"/>
  <c r="V19" i="2"/>
  <c r="T19" i="2"/>
  <c r="R19" i="2"/>
  <c r="P19" i="2"/>
  <c r="N19" i="2"/>
  <c r="L19" i="2"/>
  <c r="BF18" i="2"/>
  <c r="BA18" i="2"/>
  <c r="AS18" i="2"/>
  <c r="AQ18" i="2"/>
  <c r="AO18" i="2"/>
  <c r="AN18" i="2"/>
  <c r="AL18" i="2"/>
  <c r="AJ18" i="2"/>
  <c r="AH18" i="2"/>
  <c r="AF18" i="2"/>
  <c r="AD18" i="2"/>
  <c r="AB18" i="2"/>
  <c r="Z18" i="2"/>
  <c r="X18" i="2"/>
  <c r="V18" i="2"/>
  <c r="T18" i="2"/>
  <c r="R18" i="2"/>
  <c r="P18" i="2"/>
  <c r="N18" i="2"/>
  <c r="L18" i="2"/>
  <c r="BF17" i="2"/>
  <c r="BA17" i="2"/>
  <c r="AS17" i="2"/>
  <c r="AQ17" i="2"/>
  <c r="AO17" i="2"/>
  <c r="AN17" i="2"/>
  <c r="AL17" i="2"/>
  <c r="AJ17" i="2"/>
  <c r="AH17" i="2"/>
  <c r="AF17" i="2"/>
  <c r="AD17" i="2"/>
  <c r="AB17" i="2"/>
  <c r="Z17" i="2"/>
  <c r="X17" i="2"/>
  <c r="V17" i="2"/>
  <c r="T17" i="2"/>
  <c r="R17" i="2"/>
  <c r="P17" i="2"/>
  <c r="N17" i="2"/>
  <c r="L17" i="2"/>
  <c r="BF16" i="2"/>
  <c r="BA16" i="2"/>
  <c r="AS16" i="2"/>
  <c r="AQ16" i="2"/>
  <c r="AO16" i="2"/>
  <c r="AN16" i="2"/>
  <c r="AL16" i="2"/>
  <c r="AJ16" i="2"/>
  <c r="AH16" i="2"/>
  <c r="AF16" i="2"/>
  <c r="AD16" i="2"/>
  <c r="AB16" i="2"/>
  <c r="Z16" i="2"/>
  <c r="X16" i="2"/>
  <c r="V16" i="2"/>
  <c r="T16" i="2"/>
  <c r="R16" i="2"/>
  <c r="P16" i="2"/>
  <c r="N16" i="2"/>
  <c r="L16" i="2"/>
  <c r="BF15" i="2"/>
  <c r="BA15" i="2"/>
  <c r="AS15" i="2"/>
  <c r="AQ15" i="2"/>
  <c r="AO15" i="2"/>
  <c r="AN15" i="2"/>
  <c r="AL15" i="2"/>
  <c r="AJ15" i="2"/>
  <c r="AH15" i="2"/>
  <c r="AF15" i="2"/>
  <c r="AD15" i="2"/>
  <c r="AB15" i="2"/>
  <c r="Z15" i="2"/>
  <c r="X15" i="2"/>
  <c r="V15" i="2"/>
  <c r="T15" i="2"/>
  <c r="R15" i="2"/>
  <c r="P15" i="2"/>
  <c r="N15" i="2"/>
  <c r="L15" i="2"/>
  <c r="BF14" i="2"/>
  <c r="BA14" i="2"/>
  <c r="AS14" i="2"/>
  <c r="AQ14" i="2"/>
  <c r="AO14" i="2"/>
  <c r="AN14" i="2"/>
  <c r="AL14" i="2"/>
  <c r="AJ14" i="2"/>
  <c r="AH14" i="2"/>
  <c r="AF14" i="2"/>
  <c r="AD14" i="2"/>
  <c r="AB14" i="2"/>
  <c r="Z14" i="2"/>
  <c r="X14" i="2"/>
  <c r="V14" i="2"/>
  <c r="T14" i="2"/>
  <c r="R14" i="2"/>
  <c r="P14" i="2"/>
  <c r="N14" i="2"/>
  <c r="L14" i="2"/>
  <c r="BF13" i="2"/>
  <c r="BA13" i="2"/>
  <c r="AS13" i="2"/>
  <c r="AQ13" i="2"/>
  <c r="AO13" i="2"/>
  <c r="AN13" i="2"/>
  <c r="AL13" i="2"/>
  <c r="AJ13" i="2"/>
  <c r="AH13" i="2"/>
  <c r="AF13" i="2"/>
  <c r="AD13" i="2"/>
  <c r="AB13" i="2"/>
  <c r="Z13" i="2"/>
  <c r="X13" i="2"/>
  <c r="V13" i="2"/>
  <c r="T13" i="2"/>
  <c r="R13" i="2"/>
  <c r="P13" i="2"/>
  <c r="N13" i="2"/>
  <c r="L13" i="2"/>
  <c r="BF12" i="2"/>
  <c r="BA12" i="2"/>
  <c r="AS12" i="2"/>
  <c r="AQ12" i="2"/>
  <c r="AO12" i="2"/>
  <c r="AN12" i="2"/>
  <c r="AL12" i="2"/>
  <c r="AJ12" i="2"/>
  <c r="AH12" i="2"/>
  <c r="AF12" i="2"/>
  <c r="AD12" i="2"/>
  <c r="AB12" i="2"/>
  <c r="Z12" i="2"/>
  <c r="X12" i="2"/>
  <c r="V12" i="2"/>
  <c r="T12" i="2"/>
  <c r="R12" i="2"/>
  <c r="P12" i="2"/>
  <c r="N12" i="2"/>
  <c r="L12" i="2"/>
  <c r="BF11" i="2"/>
  <c r="BA11" i="2"/>
  <c r="AS11" i="2"/>
  <c r="AQ11" i="2"/>
  <c r="AO11" i="2"/>
  <c r="AN11" i="2"/>
  <c r="AL11" i="2"/>
  <c r="AJ11" i="2"/>
  <c r="AH11" i="2"/>
  <c r="AF11" i="2"/>
  <c r="AD11" i="2"/>
  <c r="AB11" i="2"/>
  <c r="Z11" i="2"/>
  <c r="X11" i="2"/>
  <c r="V11" i="2"/>
  <c r="T11" i="2"/>
  <c r="R11" i="2"/>
  <c r="P11" i="2"/>
  <c r="N11" i="2"/>
  <c r="L11" i="2"/>
  <c r="BF10" i="2"/>
  <c r="BA10" i="2"/>
  <c r="AS10" i="2"/>
  <c r="AQ10" i="2"/>
  <c r="AO10" i="2"/>
  <c r="AN10" i="2"/>
  <c r="AL10" i="2"/>
  <c r="AJ10" i="2"/>
  <c r="AH10" i="2"/>
  <c r="AF10" i="2"/>
  <c r="AD10" i="2"/>
  <c r="AB10" i="2"/>
  <c r="Z10" i="2"/>
  <c r="X10" i="2"/>
  <c r="V10" i="2"/>
  <c r="T10" i="2"/>
  <c r="R10" i="2"/>
  <c r="P10" i="2"/>
  <c r="N10" i="2"/>
  <c r="L10" i="2"/>
  <c r="BF9" i="2"/>
  <c r="BA9" i="2"/>
  <c r="AS9" i="2"/>
  <c r="AQ9" i="2"/>
  <c r="AO9" i="2"/>
  <c r="AN9" i="2"/>
  <c r="AL9" i="2"/>
  <c r="AJ9" i="2"/>
  <c r="AH9" i="2"/>
  <c r="AF9" i="2"/>
  <c r="AD9" i="2"/>
  <c r="AB9" i="2"/>
  <c r="Z9" i="2"/>
  <c r="X9" i="2"/>
  <c r="V9" i="2"/>
  <c r="T9" i="2"/>
  <c r="R9" i="2"/>
  <c r="P9" i="2"/>
  <c r="N9" i="2"/>
  <c r="L9" i="2"/>
  <c r="BF8" i="2"/>
  <c r="BA8" i="2"/>
  <c r="AS8" i="2"/>
  <c r="AQ8" i="2"/>
  <c r="AO8" i="2"/>
  <c r="AN8" i="2"/>
  <c r="AL8" i="2"/>
  <c r="AJ8" i="2"/>
  <c r="AH8" i="2"/>
  <c r="AF8" i="2"/>
  <c r="AD8" i="2"/>
  <c r="AB8" i="2"/>
  <c r="Z8" i="2"/>
  <c r="X8" i="2"/>
  <c r="V8" i="2"/>
  <c r="T8" i="2"/>
  <c r="R8" i="2"/>
  <c r="P8" i="2"/>
  <c r="N8" i="2"/>
  <c r="L8" i="2"/>
  <c r="BF7" i="2"/>
  <c r="BA7" i="2"/>
  <c r="AS7" i="2"/>
  <c r="AQ7" i="2"/>
  <c r="AO7" i="2"/>
  <c r="AN7" i="2"/>
  <c r="AL7" i="2"/>
  <c r="AJ7" i="2"/>
  <c r="AH7" i="2"/>
  <c r="AF7" i="2"/>
  <c r="AD7" i="2"/>
  <c r="AB7" i="2"/>
  <c r="Z7" i="2"/>
  <c r="X7" i="2"/>
  <c r="V7" i="2"/>
  <c r="T7" i="2"/>
  <c r="R7" i="2"/>
  <c r="P7" i="2"/>
  <c r="N7" i="2"/>
  <c r="L7" i="2"/>
  <c r="BF6" i="2"/>
  <c r="BA6" i="2"/>
  <c r="AS6" i="2"/>
  <c r="AQ6" i="2"/>
  <c r="AO6" i="2"/>
  <c r="AN6" i="2"/>
  <c r="AL6" i="2"/>
  <c r="AJ6" i="2"/>
  <c r="AH6" i="2"/>
  <c r="AF6" i="2"/>
  <c r="AD6" i="2"/>
  <c r="AB6" i="2"/>
  <c r="Z6" i="2"/>
  <c r="X6" i="2"/>
  <c r="V6" i="2"/>
  <c r="T6" i="2"/>
  <c r="R6" i="2"/>
  <c r="P6" i="2"/>
  <c r="N6" i="2"/>
  <c r="L6" i="2"/>
  <c r="BF5" i="2"/>
  <c r="BA5" i="2"/>
  <c r="AS5" i="2"/>
  <c r="AQ5" i="2"/>
  <c r="AO5" i="2"/>
  <c r="AN5" i="2"/>
  <c r="AL5" i="2"/>
  <c r="AJ5" i="2"/>
  <c r="AH5" i="2"/>
  <c r="AF5" i="2"/>
  <c r="AD5" i="2"/>
  <c r="AB5" i="2"/>
  <c r="Z5" i="2"/>
  <c r="X5" i="2"/>
  <c r="V5" i="2"/>
  <c r="T5" i="2"/>
  <c r="R5" i="2"/>
  <c r="P5" i="2"/>
  <c r="N5" i="2"/>
  <c r="L5" i="2"/>
  <c r="BF4" i="2"/>
  <c r="BA4" i="2"/>
  <c r="AS4" i="2"/>
  <c r="AQ4" i="2"/>
  <c r="AO4" i="2"/>
  <c r="AN4" i="2"/>
  <c r="AL4" i="2"/>
  <c r="AJ4" i="2"/>
  <c r="AH4" i="2"/>
  <c r="AF4" i="2"/>
  <c r="AD4" i="2"/>
  <c r="AB4" i="2"/>
  <c r="Z4" i="2"/>
  <c r="X4" i="2"/>
  <c r="V4" i="2"/>
  <c r="T4" i="2"/>
  <c r="R4" i="2"/>
  <c r="P4" i="2"/>
  <c r="N4" i="2"/>
  <c r="L4" i="2"/>
  <c r="BF3" i="2"/>
  <c r="BA3" i="2"/>
  <c r="AS3" i="2"/>
  <c r="AQ3" i="2"/>
  <c r="AO3" i="2"/>
  <c r="AN3" i="2"/>
  <c r="AL3" i="2"/>
  <c r="AJ3" i="2"/>
  <c r="AH3" i="2"/>
  <c r="AF3" i="2"/>
  <c r="AD3" i="2"/>
  <c r="AB3" i="2"/>
  <c r="Z3" i="2"/>
  <c r="X3" i="2"/>
  <c r="V3" i="2"/>
  <c r="T3" i="2"/>
  <c r="R3" i="2"/>
  <c r="P3" i="2"/>
  <c r="N3" i="2"/>
  <c r="L3" i="2"/>
  <c r="BK2" i="2"/>
  <c r="BF2" i="2"/>
  <c r="BA2" i="2"/>
  <c r="AS2" i="2"/>
  <c r="AQ2" i="2"/>
  <c r="AO2" i="2"/>
  <c r="AN2" i="2"/>
  <c r="AL2" i="2"/>
  <c r="AJ2" i="2"/>
  <c r="AH2" i="2"/>
  <c r="AF2" i="2"/>
  <c r="AD2" i="2"/>
  <c r="AB2" i="2"/>
  <c r="Z2" i="2"/>
  <c r="X2" i="2"/>
  <c r="V2" i="2"/>
  <c r="T2" i="2"/>
  <c r="R2" i="2"/>
  <c r="P2" i="2"/>
  <c r="N2" i="2"/>
  <c r="L2" i="2"/>
  <c r="BK35" i="1" l="1"/>
  <c r="BF35" i="1"/>
  <c r="AU35" i="1"/>
  <c r="AS35" i="1"/>
  <c r="AQ35" i="1"/>
  <c r="AP35" i="1"/>
  <c r="AN35" i="1"/>
  <c r="AL35" i="1"/>
  <c r="AJ35" i="1"/>
  <c r="AH35" i="1"/>
  <c r="AF35" i="1"/>
  <c r="AD35" i="1"/>
  <c r="AB35" i="1"/>
  <c r="Z35" i="1"/>
  <c r="X35" i="1"/>
  <c r="V35" i="1"/>
  <c r="T35" i="1"/>
  <c r="R35" i="1"/>
  <c r="P35" i="1"/>
  <c r="N35" i="1"/>
  <c r="BK34" i="1"/>
  <c r="BF34" i="1"/>
  <c r="AU34" i="1"/>
  <c r="AS34" i="1"/>
  <c r="AQ34" i="1"/>
  <c r="AP34" i="1"/>
  <c r="AN34" i="1"/>
  <c r="AL34" i="1"/>
  <c r="AJ34" i="1"/>
  <c r="AH34" i="1"/>
  <c r="AF34" i="1"/>
  <c r="AD34" i="1"/>
  <c r="AB34" i="1"/>
  <c r="Z34" i="1"/>
  <c r="X34" i="1"/>
  <c r="V34" i="1"/>
  <c r="T34" i="1"/>
  <c r="R34" i="1"/>
  <c r="P34" i="1"/>
  <c r="N34" i="1"/>
  <c r="BK33" i="1"/>
  <c r="BF33" i="1"/>
  <c r="AU33" i="1"/>
  <c r="AS33" i="1"/>
  <c r="AQ33" i="1"/>
  <c r="AP33" i="1"/>
  <c r="AN33" i="1"/>
  <c r="AL33" i="1"/>
  <c r="AJ33" i="1"/>
  <c r="AH33" i="1"/>
  <c r="AF33" i="1"/>
  <c r="AD33" i="1"/>
  <c r="AB33" i="1"/>
  <c r="Z33" i="1"/>
  <c r="X33" i="1"/>
  <c r="V33" i="1"/>
  <c r="T33" i="1"/>
  <c r="R33" i="1"/>
  <c r="P33" i="1"/>
  <c r="N33" i="1"/>
  <c r="BP32" i="1"/>
  <c r="BK32" i="1"/>
  <c r="BF32" i="1"/>
  <c r="AU32" i="1"/>
  <c r="AS32" i="1"/>
  <c r="AQ32" i="1"/>
  <c r="AP32" i="1"/>
  <c r="AN32" i="1"/>
  <c r="AL32" i="1"/>
  <c r="AJ32" i="1"/>
  <c r="AH32" i="1"/>
  <c r="AF32" i="1"/>
  <c r="AD32" i="1"/>
  <c r="AB32" i="1"/>
  <c r="Z32" i="1"/>
  <c r="X32" i="1"/>
  <c r="V32" i="1"/>
  <c r="T32" i="1"/>
  <c r="R32" i="1"/>
  <c r="P32" i="1"/>
  <c r="N32" i="1"/>
  <c r="BK31" i="1"/>
  <c r="BF31" i="1"/>
  <c r="AU31" i="1"/>
  <c r="AS31" i="1"/>
  <c r="AQ31" i="1"/>
  <c r="AP31" i="1"/>
  <c r="AN31" i="1"/>
  <c r="AL31" i="1"/>
  <c r="AJ31" i="1"/>
  <c r="AH31" i="1"/>
  <c r="AF31" i="1"/>
  <c r="AD31" i="1"/>
  <c r="AB31" i="1"/>
  <c r="Z31" i="1"/>
  <c r="X31" i="1"/>
  <c r="V31" i="1"/>
  <c r="T31" i="1"/>
  <c r="R31" i="1"/>
  <c r="P31" i="1"/>
  <c r="N31" i="1"/>
  <c r="BK30" i="1"/>
  <c r="BF30" i="1"/>
  <c r="AU30" i="1"/>
  <c r="AS30" i="1"/>
  <c r="AQ30" i="1"/>
  <c r="AP30" i="1"/>
  <c r="AN30" i="1"/>
  <c r="AL30" i="1"/>
  <c r="AJ30" i="1"/>
  <c r="AH30" i="1"/>
  <c r="AF30" i="1"/>
  <c r="AD30" i="1"/>
  <c r="AB30" i="1"/>
  <c r="Z30" i="1"/>
  <c r="X30" i="1"/>
  <c r="V30" i="1"/>
  <c r="T30" i="1"/>
  <c r="R30" i="1"/>
  <c r="P30" i="1"/>
  <c r="N30" i="1"/>
  <c r="BK29" i="1"/>
  <c r="BF29" i="1"/>
  <c r="AU29" i="1"/>
  <c r="AS29" i="1"/>
  <c r="AQ29" i="1"/>
  <c r="AP29" i="1"/>
  <c r="AN29" i="1"/>
  <c r="AL29" i="1"/>
  <c r="AJ29" i="1"/>
  <c r="AH29" i="1"/>
  <c r="AF29" i="1"/>
  <c r="AD29" i="1"/>
  <c r="AB29" i="1"/>
  <c r="Z29" i="1"/>
  <c r="X29" i="1"/>
  <c r="V29" i="1"/>
  <c r="T29" i="1"/>
  <c r="R29" i="1"/>
  <c r="P29" i="1"/>
  <c r="N29" i="1"/>
  <c r="BP28" i="1"/>
  <c r="BK28" i="1"/>
  <c r="BF28" i="1"/>
  <c r="AU28" i="1"/>
  <c r="AS28" i="1"/>
  <c r="AQ28" i="1"/>
  <c r="AP28" i="1"/>
  <c r="AN28" i="1"/>
  <c r="AL28" i="1"/>
  <c r="AJ28" i="1"/>
  <c r="AH28" i="1"/>
  <c r="AF28" i="1"/>
  <c r="AD28" i="1"/>
  <c r="AB28" i="1"/>
  <c r="Z28" i="1"/>
  <c r="X28" i="1"/>
  <c r="V28" i="1"/>
  <c r="T28" i="1"/>
  <c r="R28" i="1"/>
  <c r="P28" i="1"/>
  <c r="N28" i="1"/>
  <c r="BK27" i="1"/>
  <c r="BF27" i="1"/>
  <c r="AU27" i="1"/>
  <c r="AS27" i="1"/>
  <c r="AQ27" i="1"/>
  <c r="AP27" i="1"/>
  <c r="AN27" i="1"/>
  <c r="AL27" i="1"/>
  <c r="AJ27" i="1"/>
  <c r="AH27" i="1"/>
  <c r="AF27" i="1"/>
  <c r="AD27" i="1"/>
  <c r="AB27" i="1"/>
  <c r="Z27" i="1"/>
  <c r="X27" i="1"/>
  <c r="V27" i="1"/>
  <c r="T27" i="1"/>
  <c r="R27" i="1"/>
  <c r="P27" i="1"/>
  <c r="N27" i="1"/>
  <c r="BK26" i="1"/>
  <c r="BF26" i="1"/>
  <c r="AU26" i="1"/>
  <c r="AS26" i="1"/>
  <c r="AQ26" i="1"/>
  <c r="AP26" i="1"/>
  <c r="AN26" i="1"/>
  <c r="AL26" i="1"/>
  <c r="AJ26" i="1"/>
  <c r="AH26" i="1"/>
  <c r="AF26" i="1"/>
  <c r="AD26" i="1"/>
  <c r="AB26" i="1"/>
  <c r="Z26" i="1"/>
  <c r="X26" i="1"/>
  <c r="V26" i="1"/>
  <c r="T26" i="1"/>
  <c r="R26" i="1"/>
  <c r="P26" i="1"/>
  <c r="N26" i="1"/>
  <c r="BK25" i="1"/>
  <c r="BF25" i="1"/>
  <c r="AU25" i="1"/>
  <c r="AS25" i="1"/>
  <c r="AQ25" i="1"/>
  <c r="AP25" i="1"/>
  <c r="AN25" i="1"/>
  <c r="AL25" i="1"/>
  <c r="AJ25" i="1"/>
  <c r="AH25" i="1"/>
  <c r="AF25" i="1"/>
  <c r="AD25" i="1"/>
  <c r="AB25" i="1"/>
  <c r="Z25" i="1"/>
  <c r="X25" i="1"/>
  <c r="V25" i="1"/>
  <c r="T25" i="1"/>
  <c r="R25" i="1"/>
  <c r="P25" i="1"/>
  <c r="N25" i="1"/>
  <c r="BK24" i="1"/>
  <c r="BF24" i="1"/>
  <c r="AU24" i="1"/>
  <c r="AS24" i="1"/>
  <c r="AQ24" i="1"/>
  <c r="AP24" i="1"/>
  <c r="AN24" i="1"/>
  <c r="AL24" i="1"/>
  <c r="AJ24" i="1"/>
  <c r="AH24" i="1"/>
  <c r="AF24" i="1"/>
  <c r="AD24" i="1"/>
  <c r="AB24" i="1"/>
  <c r="Z24" i="1"/>
  <c r="X24" i="1"/>
  <c r="V24" i="1"/>
  <c r="T24" i="1"/>
  <c r="R24" i="1"/>
  <c r="P24" i="1"/>
  <c r="N24" i="1"/>
  <c r="BK23" i="1"/>
  <c r="BF23" i="1"/>
  <c r="AU23" i="1"/>
  <c r="AS23" i="1"/>
  <c r="AQ23" i="1"/>
  <c r="AP23" i="1"/>
  <c r="AN23" i="1"/>
  <c r="AL23" i="1"/>
  <c r="AJ23" i="1"/>
  <c r="AH23" i="1"/>
  <c r="AF23" i="1"/>
  <c r="AD23" i="1"/>
  <c r="AB23" i="1"/>
  <c r="Z23" i="1"/>
  <c r="X23" i="1"/>
  <c r="V23" i="1"/>
  <c r="T23" i="1"/>
  <c r="R23" i="1"/>
  <c r="P23" i="1"/>
  <c r="N23" i="1"/>
  <c r="BK22" i="1"/>
  <c r="BF22" i="1"/>
  <c r="AU22" i="1"/>
  <c r="AS22" i="1"/>
  <c r="AQ22" i="1"/>
  <c r="AP22" i="1"/>
  <c r="AN22" i="1"/>
  <c r="AL22" i="1"/>
  <c r="AJ22" i="1"/>
  <c r="AH22" i="1"/>
  <c r="AF22" i="1"/>
  <c r="AD22" i="1"/>
  <c r="AB22" i="1"/>
  <c r="Z22" i="1"/>
  <c r="X22" i="1"/>
  <c r="V22" i="1"/>
  <c r="T22" i="1"/>
  <c r="R22" i="1"/>
  <c r="P22" i="1"/>
  <c r="N22" i="1"/>
  <c r="BK21" i="1"/>
  <c r="BF21" i="1"/>
  <c r="AU21" i="1"/>
  <c r="AS21" i="1"/>
  <c r="AQ21" i="1"/>
  <c r="AP21" i="1"/>
  <c r="AN21" i="1"/>
  <c r="AL21" i="1"/>
  <c r="AJ21" i="1"/>
  <c r="AH21" i="1"/>
  <c r="AF21" i="1"/>
  <c r="AD21" i="1"/>
  <c r="AB21" i="1"/>
  <c r="Z21" i="1"/>
  <c r="X21" i="1"/>
  <c r="V21" i="1"/>
  <c r="T21" i="1"/>
  <c r="R21" i="1"/>
  <c r="P21" i="1"/>
  <c r="N21" i="1"/>
  <c r="BK20" i="1"/>
  <c r="BF20" i="1"/>
  <c r="AU20" i="1"/>
  <c r="AS20" i="1"/>
  <c r="AQ20" i="1"/>
  <c r="AP20" i="1"/>
  <c r="AN20" i="1"/>
  <c r="AL20" i="1"/>
  <c r="AJ20" i="1"/>
  <c r="AH20" i="1"/>
  <c r="AF20" i="1"/>
  <c r="AD20" i="1"/>
  <c r="AB20" i="1"/>
  <c r="Z20" i="1"/>
  <c r="X20" i="1"/>
  <c r="V20" i="1"/>
  <c r="T20" i="1"/>
  <c r="R20" i="1"/>
  <c r="P20" i="1"/>
  <c r="N20" i="1"/>
  <c r="BK19" i="1"/>
  <c r="BF19" i="1"/>
  <c r="AU19" i="1"/>
  <c r="AS19" i="1"/>
  <c r="AQ19" i="1"/>
  <c r="AP19" i="1"/>
  <c r="AN19" i="1"/>
  <c r="AL19" i="1"/>
  <c r="AJ19" i="1"/>
  <c r="AH19" i="1"/>
  <c r="AF19" i="1"/>
  <c r="AD19" i="1"/>
  <c r="AB19" i="1"/>
  <c r="Z19" i="1"/>
  <c r="X19" i="1"/>
  <c r="V19" i="1"/>
  <c r="T19" i="1"/>
  <c r="R19" i="1"/>
  <c r="P19" i="1"/>
  <c r="N19" i="1"/>
  <c r="BK18" i="1"/>
  <c r="BF18" i="1"/>
  <c r="AU18" i="1"/>
  <c r="AS18" i="1"/>
  <c r="AQ18" i="1"/>
  <c r="AP18" i="1"/>
  <c r="AN18" i="1"/>
  <c r="AL18" i="1"/>
  <c r="AJ18" i="1"/>
  <c r="AH18" i="1"/>
  <c r="AF18" i="1"/>
  <c r="AD18" i="1"/>
  <c r="AB18" i="1"/>
  <c r="Z18" i="1"/>
  <c r="X18" i="1"/>
  <c r="V18" i="1"/>
  <c r="T18" i="1"/>
  <c r="R18" i="1"/>
  <c r="P18" i="1"/>
  <c r="N18" i="1"/>
  <c r="BK17" i="1"/>
  <c r="BF17" i="1"/>
  <c r="AU17" i="1"/>
  <c r="AS17" i="1"/>
  <c r="AQ17" i="1"/>
  <c r="AP17" i="1"/>
  <c r="AN17" i="1"/>
  <c r="AL17" i="1"/>
  <c r="AJ17" i="1"/>
  <c r="AH17" i="1"/>
  <c r="AF17" i="1"/>
  <c r="AD17" i="1"/>
  <c r="AB17" i="1"/>
  <c r="Z17" i="1"/>
  <c r="X17" i="1"/>
  <c r="V17" i="1"/>
  <c r="T17" i="1"/>
  <c r="R17" i="1"/>
  <c r="P17" i="1"/>
  <c r="N17" i="1"/>
  <c r="BK16" i="1"/>
  <c r="BF16" i="1"/>
  <c r="AU16" i="1"/>
  <c r="AS16" i="1"/>
  <c r="AQ16" i="1"/>
  <c r="AP16" i="1"/>
  <c r="AN16" i="1"/>
  <c r="AL16" i="1"/>
  <c r="AJ16" i="1"/>
  <c r="AH16" i="1"/>
  <c r="AF16" i="1"/>
  <c r="AD16" i="1"/>
  <c r="AB16" i="1"/>
  <c r="Z16" i="1"/>
  <c r="X16" i="1"/>
  <c r="V16" i="1"/>
  <c r="T16" i="1"/>
  <c r="R16" i="1"/>
  <c r="P16" i="1"/>
  <c r="N16" i="1"/>
  <c r="BK15" i="1"/>
  <c r="BF15" i="1"/>
  <c r="AU15" i="1"/>
  <c r="AS15" i="1"/>
  <c r="AQ15" i="1"/>
  <c r="AP15" i="1"/>
  <c r="AN15" i="1"/>
  <c r="AL15" i="1"/>
  <c r="AJ15" i="1"/>
  <c r="AH15" i="1"/>
  <c r="AF15" i="1"/>
  <c r="AD15" i="1"/>
  <c r="AB15" i="1"/>
  <c r="Z15" i="1"/>
  <c r="X15" i="1"/>
  <c r="V15" i="1"/>
  <c r="T15" i="1"/>
  <c r="R15" i="1"/>
  <c r="P15" i="1"/>
  <c r="N15" i="1"/>
  <c r="BK14" i="1"/>
  <c r="BF14" i="1"/>
  <c r="AU14" i="1"/>
  <c r="AS14" i="1"/>
  <c r="AQ14" i="1"/>
  <c r="AP14" i="1"/>
  <c r="AN14" i="1"/>
  <c r="AL14" i="1"/>
  <c r="AJ14" i="1"/>
  <c r="AH14" i="1"/>
  <c r="AF14" i="1"/>
  <c r="AD14" i="1"/>
  <c r="AB14" i="1"/>
  <c r="Z14" i="1"/>
  <c r="X14" i="1"/>
  <c r="V14" i="1"/>
  <c r="T14" i="1"/>
  <c r="R14" i="1"/>
  <c r="P14" i="1"/>
  <c r="N14" i="1"/>
  <c r="BK13" i="1"/>
  <c r="BF13" i="1"/>
  <c r="AU13" i="1"/>
  <c r="AS13" i="1"/>
  <c r="AQ13" i="1"/>
  <c r="AP13" i="1"/>
  <c r="AN13" i="1"/>
  <c r="AL13" i="1"/>
  <c r="AJ13" i="1"/>
  <c r="AH13" i="1"/>
  <c r="AF13" i="1"/>
  <c r="AD13" i="1"/>
  <c r="AB13" i="1"/>
  <c r="Z13" i="1"/>
  <c r="X13" i="1"/>
  <c r="V13" i="1"/>
  <c r="T13" i="1"/>
  <c r="R13" i="1"/>
  <c r="P13" i="1"/>
  <c r="N13" i="1"/>
  <c r="BK12" i="1"/>
  <c r="BF12" i="1"/>
  <c r="AU12" i="1"/>
  <c r="AS12" i="1"/>
  <c r="AQ12" i="1"/>
  <c r="AP12" i="1"/>
  <c r="AN12" i="1"/>
  <c r="AL12" i="1"/>
  <c r="AJ12" i="1"/>
  <c r="AH12" i="1"/>
  <c r="AF12" i="1"/>
  <c r="AD12" i="1"/>
  <c r="AB12" i="1"/>
  <c r="Z12" i="1"/>
  <c r="X12" i="1"/>
  <c r="V12" i="1"/>
  <c r="T12" i="1"/>
  <c r="R12" i="1"/>
  <c r="P12" i="1"/>
  <c r="N12" i="1"/>
  <c r="BP11" i="1"/>
  <c r="BK11" i="1"/>
  <c r="BF11" i="1"/>
  <c r="AU11" i="1"/>
  <c r="AS11" i="1"/>
  <c r="AQ11" i="1"/>
  <c r="AP11" i="1"/>
  <c r="AN11" i="1"/>
  <c r="AL11" i="1"/>
  <c r="AJ11" i="1"/>
  <c r="AH11" i="1"/>
  <c r="AF11" i="1"/>
  <c r="AD11" i="1"/>
  <c r="AB11" i="1"/>
  <c r="Z11" i="1"/>
  <c r="X11" i="1"/>
  <c r="V11" i="1"/>
  <c r="T11" i="1"/>
  <c r="R11" i="1"/>
  <c r="P11" i="1"/>
  <c r="N11" i="1"/>
  <c r="BK10" i="1"/>
  <c r="BF10" i="1"/>
  <c r="AU10" i="1"/>
  <c r="AS10" i="1"/>
  <c r="AQ10" i="1"/>
  <c r="AP10" i="1"/>
  <c r="AN10" i="1"/>
  <c r="AL10" i="1"/>
  <c r="AJ10" i="1"/>
  <c r="AH10" i="1"/>
  <c r="AF10" i="1"/>
  <c r="AD10" i="1"/>
  <c r="AB10" i="1"/>
  <c r="Z10" i="1"/>
  <c r="X10" i="1"/>
  <c r="V10" i="1"/>
  <c r="T10" i="1"/>
  <c r="R10" i="1"/>
  <c r="P10" i="1"/>
  <c r="N10" i="1"/>
  <c r="BK9" i="1"/>
  <c r="BF9" i="1"/>
  <c r="AU9" i="1"/>
  <c r="AS9" i="1"/>
  <c r="AQ9" i="1"/>
  <c r="AP9" i="1"/>
  <c r="AN9" i="1"/>
  <c r="AL9" i="1"/>
  <c r="AJ9" i="1"/>
  <c r="AH9" i="1"/>
  <c r="AF9" i="1"/>
  <c r="AD9" i="1"/>
  <c r="AB9" i="1"/>
  <c r="Z9" i="1"/>
  <c r="X9" i="1"/>
  <c r="V9" i="1"/>
  <c r="T9" i="1"/>
  <c r="R9" i="1"/>
  <c r="P9" i="1"/>
  <c r="N9" i="1"/>
  <c r="BK8" i="1"/>
  <c r="BF8" i="1"/>
  <c r="AU8" i="1"/>
  <c r="AS8" i="1"/>
  <c r="AQ8" i="1"/>
  <c r="AP8" i="1"/>
  <c r="AN8" i="1"/>
  <c r="AL8" i="1"/>
  <c r="AJ8" i="1"/>
  <c r="AH8" i="1"/>
  <c r="AF8" i="1"/>
  <c r="AD8" i="1"/>
  <c r="AB8" i="1"/>
  <c r="Z8" i="1"/>
  <c r="X8" i="1"/>
  <c r="V8" i="1"/>
  <c r="T8" i="1"/>
  <c r="R8" i="1"/>
  <c r="P8" i="1"/>
  <c r="N8" i="1"/>
  <c r="BK7" i="1"/>
  <c r="BF7" i="1"/>
  <c r="AU7" i="1"/>
  <c r="AS7" i="1"/>
  <c r="AQ7" i="1"/>
  <c r="AP7" i="1"/>
  <c r="AN7" i="1"/>
  <c r="AL7" i="1"/>
  <c r="AJ7" i="1"/>
  <c r="AH7" i="1"/>
  <c r="AF7" i="1"/>
  <c r="AD7" i="1"/>
  <c r="AB7" i="1"/>
  <c r="Z7" i="1"/>
  <c r="X7" i="1"/>
  <c r="V7" i="1"/>
  <c r="T7" i="1"/>
  <c r="R7" i="1"/>
  <c r="P7" i="1"/>
  <c r="N7" i="1"/>
  <c r="BP6" i="1"/>
  <c r="BK6" i="1"/>
  <c r="BF6" i="1"/>
  <c r="AU6" i="1"/>
  <c r="AS6" i="1"/>
  <c r="AQ6" i="1"/>
  <c r="AP6" i="1"/>
  <c r="AN6" i="1"/>
  <c r="AL6" i="1"/>
  <c r="AJ6" i="1"/>
  <c r="AH6" i="1"/>
  <c r="AF6" i="1"/>
  <c r="AD6" i="1"/>
  <c r="AB6" i="1"/>
  <c r="Z6" i="1"/>
  <c r="X6" i="1"/>
  <c r="V6" i="1"/>
  <c r="T6" i="1"/>
  <c r="R6" i="1"/>
  <c r="P6" i="1"/>
  <c r="N6" i="1"/>
  <c r="BK5" i="1"/>
  <c r="BF5" i="1"/>
  <c r="AU5" i="1"/>
  <c r="AS5" i="1"/>
  <c r="AQ5" i="1"/>
  <c r="AP5" i="1"/>
  <c r="AN5" i="1"/>
  <c r="AL5" i="1"/>
  <c r="AJ5" i="1"/>
  <c r="AH5" i="1"/>
  <c r="AF5" i="1"/>
  <c r="AD5" i="1"/>
  <c r="AB5" i="1"/>
  <c r="Z5" i="1"/>
  <c r="X5" i="1"/>
  <c r="V5" i="1"/>
  <c r="T5" i="1"/>
  <c r="R5" i="1"/>
  <c r="P5" i="1"/>
  <c r="N5" i="1"/>
  <c r="BK4" i="1"/>
  <c r="BF4" i="1"/>
  <c r="AU4" i="1"/>
  <c r="AS4" i="1"/>
  <c r="AQ4" i="1"/>
  <c r="AP4" i="1"/>
  <c r="AN4" i="1"/>
  <c r="AL4" i="1"/>
  <c r="AJ4" i="1"/>
  <c r="AH4" i="1"/>
  <c r="AF4" i="1"/>
  <c r="AD4" i="1"/>
  <c r="AB4" i="1"/>
  <c r="Z4" i="1"/>
  <c r="X4" i="1"/>
  <c r="V4" i="1"/>
  <c r="T4" i="1"/>
  <c r="R4" i="1"/>
  <c r="P4" i="1"/>
  <c r="N4" i="1"/>
  <c r="BK3" i="1"/>
  <c r="BF3" i="1"/>
  <c r="AU3" i="1"/>
  <c r="AS3" i="1"/>
  <c r="AQ3" i="1"/>
  <c r="AP3" i="1"/>
  <c r="AN3" i="1"/>
  <c r="AL3" i="1"/>
  <c r="AJ3" i="1"/>
  <c r="AH3" i="1"/>
  <c r="AF3" i="1"/>
  <c r="AD3" i="1"/>
  <c r="AB3" i="1"/>
  <c r="Z3" i="1"/>
  <c r="X3" i="1"/>
  <c r="V3" i="1"/>
  <c r="T3" i="1"/>
  <c r="R3" i="1"/>
  <c r="P3" i="1"/>
  <c r="N3" i="1"/>
  <c r="BP2" i="1"/>
  <c r="BK2" i="1"/>
  <c r="BF2" i="1"/>
  <c r="AU2" i="1"/>
  <c r="AS2" i="1"/>
  <c r="AQ2" i="1"/>
  <c r="AP2" i="1"/>
  <c r="AN2" i="1"/>
  <c r="AL2" i="1"/>
  <c r="AJ2" i="1"/>
  <c r="AH2" i="1"/>
  <c r="AF2" i="1"/>
  <c r="AD2" i="1"/>
  <c r="AB2" i="1"/>
  <c r="Z2" i="1"/>
  <c r="X2" i="1"/>
  <c r="V2" i="1"/>
  <c r="T2" i="1"/>
  <c r="R2" i="1"/>
  <c r="P2" i="1"/>
  <c r="N2" i="1"/>
</calcChain>
</file>

<file path=xl/sharedStrings.xml><?xml version="1.0" encoding="utf-8"?>
<sst xmlns="http://schemas.openxmlformats.org/spreadsheetml/2006/main" count="13590" uniqueCount="1685">
  <si>
    <t>No</t>
  </si>
  <si>
    <t>NIS</t>
  </si>
  <si>
    <t>NISN</t>
  </si>
  <si>
    <t>Nama</t>
  </si>
  <si>
    <t>Kelas</t>
  </si>
  <si>
    <t>Prog.</t>
  </si>
  <si>
    <t>Wali Kelas</t>
  </si>
  <si>
    <t>NIP</t>
  </si>
  <si>
    <t>smster</t>
  </si>
  <si>
    <t>tp</t>
  </si>
  <si>
    <t>agama</t>
  </si>
  <si>
    <t>desk agama</t>
  </si>
  <si>
    <t>PABP</t>
  </si>
  <si>
    <t>Cat PABP</t>
  </si>
  <si>
    <t>PKN</t>
  </si>
  <si>
    <t>Cat PKN</t>
  </si>
  <si>
    <t>B.INDO</t>
  </si>
  <si>
    <t>Cat B.Indo</t>
  </si>
  <si>
    <t>PENJASORKES</t>
  </si>
  <si>
    <t>Cat Penjas</t>
  </si>
  <si>
    <t>SEJARAH</t>
  </si>
  <si>
    <t>Cat Sejarah</t>
  </si>
  <si>
    <t>SENI</t>
  </si>
  <si>
    <t>Cat Seni</t>
  </si>
  <si>
    <t>MTK</t>
  </si>
  <si>
    <t>Cat MTK</t>
  </si>
  <si>
    <t>B.INGGRIS</t>
  </si>
  <si>
    <t>Cat ing</t>
  </si>
  <si>
    <t>IT</t>
  </si>
  <si>
    <t>Cat IT</t>
  </si>
  <si>
    <t>IPAS</t>
  </si>
  <si>
    <t>Cat ipas</t>
  </si>
  <si>
    <t>wawasab</t>
  </si>
  <si>
    <t>CAT wawasan</t>
  </si>
  <si>
    <t>kecakapan</t>
  </si>
  <si>
    <t>CAT kecakapan</t>
  </si>
  <si>
    <t>psb</t>
  </si>
  <si>
    <t>CAT Psb</t>
  </si>
  <si>
    <t>ukurt</t>
  </si>
  <si>
    <t>CAT ukurt</t>
  </si>
  <si>
    <t>gt</t>
  </si>
  <si>
    <t>CAT gt</t>
  </si>
  <si>
    <t>DASAR DASAR</t>
  </si>
  <si>
    <t>MAPEL PILIHAN</t>
  </si>
  <si>
    <t>des ai</t>
  </si>
  <si>
    <t>B. Jawa</t>
  </si>
  <si>
    <t>Cat Jawa</t>
  </si>
  <si>
    <t>KOKURIKULER</t>
  </si>
  <si>
    <t>Cat P5Bk</t>
  </si>
  <si>
    <t>Catatan Wali</t>
  </si>
  <si>
    <t>Sakit</t>
  </si>
  <si>
    <t>Ijin</t>
  </si>
  <si>
    <t>Alpa</t>
  </si>
  <si>
    <t>n1</t>
  </si>
  <si>
    <t>eskul1</t>
  </si>
  <si>
    <t>disk eskul 1</t>
  </si>
  <si>
    <t>Nil1</t>
  </si>
  <si>
    <t>KET 1</t>
  </si>
  <si>
    <t>n2</t>
  </si>
  <si>
    <t>eskul2</t>
  </si>
  <si>
    <t>disk eskul 2</t>
  </si>
  <si>
    <t>nil2</t>
  </si>
  <si>
    <t>ket2</t>
  </si>
  <si>
    <t>n3</t>
  </si>
  <si>
    <t>eskul3</t>
  </si>
  <si>
    <t>disk eskul 3</t>
  </si>
  <si>
    <t>nil3</t>
  </si>
  <si>
    <t>ket3</t>
  </si>
  <si>
    <t>ab</t>
  </si>
  <si>
    <t>eskul</t>
  </si>
  <si>
    <t>0094661648</t>
  </si>
  <si>
    <t>ADRIAN DEVA NICO SETIAWAN</t>
  </si>
  <si>
    <t>X TKP</t>
  </si>
  <si>
    <t>Teknik Konstruksi dan Perumahan</t>
  </si>
  <si>
    <t>Nining Pristiwahyuni, S.Ag</t>
  </si>
  <si>
    <t>197502282009032004</t>
  </si>
  <si>
    <t>1</t>
  </si>
  <si>
    <t>2025/2026</t>
  </si>
  <si>
    <t>Islam</t>
  </si>
  <si>
    <t>memahami ayat Al Qur’an dan hadis tentang perintah untuk berkompetisi dalam kebaikan dan etos kerja; Makna syu‘ab alīmān (cabang-cabang iman), pengertian, dalil, macam dan manfaatnya; Manfaat menghindari akhlak mażmūmah; Implementasi fikih mu‘āmalah dan al-kulliyyāt al-khamsah (lima prinsip dasar hukum Islam); Peran tokoh ulama penyebar ajaran Islam di Indonesia.</t>
  </si>
  <si>
    <t>Tingkatkan semangat belajar, jangan selalu main HP dan perbaiki kualitas hidup kalian dengan mulai memperbaiki niat kalian sekolah untuk menuntut ilmu dan meraih masa depan yang lebih baik.</t>
  </si>
  <si>
    <t>-</t>
  </si>
  <si>
    <t>Pramuka</t>
  </si>
  <si>
    <t>dalam mengikuti kegiatan</t>
  </si>
  <si>
    <t>B</t>
  </si>
  <si>
    <t>PATIGENI</t>
  </si>
  <si>
    <t>A</t>
  </si>
  <si>
    <t>Skanisa Choir</t>
  </si>
  <si>
    <t>NILAI</t>
  </si>
  <si>
    <t>GRADE</t>
  </si>
  <si>
    <t>NOM</t>
  </si>
  <si>
    <t>GRADES</t>
  </si>
  <si>
    <t>3097054121</t>
  </si>
  <si>
    <t>ANINDA OKTAVIA AZZAHRA</t>
  </si>
  <si>
    <t>KANDANG BARONG</t>
  </si>
  <si>
    <t>Perlu peningkatan dalam hal</t>
  </si>
  <si>
    <t>Sangat baik</t>
  </si>
  <si>
    <t>0091548135</t>
  </si>
  <si>
    <t>ARDI PUTRA</t>
  </si>
  <si>
    <t>VOLI</t>
  </si>
  <si>
    <t>Baik</t>
  </si>
  <si>
    <t>3095018049</t>
  </si>
  <si>
    <t>ARYA GUMILANG SETIAWAN</t>
  </si>
  <si>
    <t>SEPAK BOLA</t>
  </si>
  <si>
    <t>C</t>
  </si>
  <si>
    <t>Cukup</t>
  </si>
  <si>
    <t>0098885868</t>
  </si>
  <si>
    <t>ATTAYA FIRLY ALIEFA</t>
  </si>
  <si>
    <t xml:space="preserve">KANDANG BARONG </t>
  </si>
  <si>
    <t>Mencapai kompetensi dengan baik dalam hal</t>
  </si>
  <si>
    <t>D</t>
  </si>
  <si>
    <t>Kurang</t>
  </si>
  <si>
    <t>0101746499</t>
  </si>
  <si>
    <t>CEREL ANINDHITA AKSAN</t>
  </si>
  <si>
    <t>0094312884</t>
  </si>
  <si>
    <t>DAMAR HAFID ALHAQ</t>
  </si>
  <si>
    <t>ROHIS</t>
  </si>
  <si>
    <t>0104609687</t>
  </si>
  <si>
    <t>DANDI KURNIAWAN</t>
  </si>
  <si>
    <t>ROBOTIKA</t>
  </si>
  <si>
    <t>Mencapai kompetensi dengan sangat baik dalam hal</t>
  </si>
  <si>
    <t>0095252698</t>
  </si>
  <si>
    <t>DESTIAN ADHAM SYAHFAHAD</t>
  </si>
  <si>
    <t>0101830023</t>
  </si>
  <si>
    <t>DINDA ASYIFA KHOIRUNNISA</t>
  </si>
  <si>
    <t>STUPA</t>
  </si>
  <si>
    <t>0094498290</t>
  </si>
  <si>
    <t>FAJAR AZKA ARYAPUTRA</t>
  </si>
  <si>
    <t>0098860866</t>
  </si>
  <si>
    <t>FINA LAILA IZATI</t>
  </si>
  <si>
    <t>0105961320</t>
  </si>
  <si>
    <t>HAMKA CHANDRA WINATA</t>
  </si>
  <si>
    <t>0096676383</t>
  </si>
  <si>
    <t>HANA SALMA AZIZAH</t>
  </si>
  <si>
    <t>OSIS</t>
  </si>
  <si>
    <t>0094324428</t>
  </si>
  <si>
    <t>HANIFAH AUFA RAFIQI</t>
  </si>
  <si>
    <t>0099523221</t>
  </si>
  <si>
    <t>MUHAMMAD RIFAN ROMADHON</t>
  </si>
  <si>
    <t>0104410816</t>
  </si>
  <si>
    <t>MUHAMMAD RIVAL BAGUS NUGROHO</t>
  </si>
  <si>
    <t xml:space="preserve">VOLI </t>
  </si>
  <si>
    <t>0103534289</t>
  </si>
  <si>
    <t>MUHAMMAD ROFIK HAMDANI</t>
  </si>
  <si>
    <t>0103719991</t>
  </si>
  <si>
    <t>NADIA NUR ABIDAH</t>
  </si>
  <si>
    <t>0096516134</t>
  </si>
  <si>
    <t>NAILA AZZAHRA</t>
  </si>
  <si>
    <t>3097751001</t>
  </si>
  <si>
    <t>NEISYA GIVRI NUR ASIVA</t>
  </si>
  <si>
    <t>0099415372</t>
  </si>
  <si>
    <t>NOVA ZULIA PUTRI</t>
  </si>
  <si>
    <t>0095696292</t>
  </si>
  <si>
    <t>NURAKBAR JAHRO' DWIZHANI</t>
  </si>
  <si>
    <t>0108902716</t>
  </si>
  <si>
    <t>QUEENSHA PUTRI ARSETI</t>
  </si>
  <si>
    <t>0093317728</t>
  </si>
  <si>
    <t>RADITYA FADIN APRILIANSYAH</t>
  </si>
  <si>
    <t>Kristen</t>
  </si>
  <si>
    <t>dalam menganalisis pertumbuhan diri sebagai pribadi dewasa melalui cara berpikir, berkata dan bertindak, memahami bentuk-bentuk pemeliharaan Allah dalam kehidupan, memahami nilai-nilai iman kristen dalam keluarga serta menjabarkan peran keluarga dan orang tua sebagai pendidik utama serta mengakui bahwa Allah membarui hidup orang beriman.</t>
  </si>
  <si>
    <t>0101358188</t>
  </si>
  <si>
    <t>RAFAEL ZAHRAN RACHMADIAN</t>
  </si>
  <si>
    <t>NIHONGO CLUB</t>
  </si>
  <si>
    <t>0095704960</t>
  </si>
  <si>
    <t>RAISSA KHOIROTUNHISAN</t>
  </si>
  <si>
    <t>3097049088</t>
  </si>
  <si>
    <t>RAYHAN NANDA PUTRA HARTONO</t>
  </si>
  <si>
    <t>MPK</t>
  </si>
  <si>
    <t>0092324338</t>
  </si>
  <si>
    <t>SEPTI ISTIANA RAHAYU</t>
  </si>
  <si>
    <t>PMR</t>
  </si>
  <si>
    <t>0097424131</t>
  </si>
  <si>
    <t>SUKMA PUSPITA ADELIA</t>
  </si>
  <si>
    <t>0094058509</t>
  </si>
  <si>
    <t>UMMA AFIFAH</t>
  </si>
  <si>
    <t>0104794880</t>
  </si>
  <si>
    <t>WANGI LARAS PANITIS</t>
  </si>
  <si>
    <t>0103493925</t>
  </si>
  <si>
    <t>YAFIQ YUGNI FIRDAUS LADJAR</t>
  </si>
  <si>
    <t>SYUBBANUL MUSTHOFA</t>
  </si>
  <si>
    <t>0092186742</t>
  </si>
  <si>
    <t>YOGI DWI PRADANA</t>
  </si>
  <si>
    <t>wawasan</t>
  </si>
  <si>
    <t>cat wawasan</t>
  </si>
  <si>
    <t>k3lh</t>
  </si>
  <si>
    <t>cat k3lh</t>
  </si>
  <si>
    <t>cat gt</t>
  </si>
  <si>
    <t>cat psb</t>
  </si>
  <si>
    <t>dkb</t>
  </si>
  <si>
    <t>cat dkb</t>
  </si>
  <si>
    <t>dasar-dasar</t>
  </si>
  <si>
    <t>MAPELPILIHAN</t>
  </si>
  <si>
    <t>cat ai</t>
  </si>
  <si>
    <t>3103994371</t>
  </si>
  <si>
    <t>AFRIZAL BAYU SETIAWAN</t>
  </si>
  <si>
    <t>X DPIB</t>
  </si>
  <si>
    <t>Desain Pemodelan dan Informasi Bangunan</t>
  </si>
  <si>
    <t>Supriyati, S.Kom</t>
  </si>
  <si>
    <t>198706132022212009</t>
  </si>
  <si>
    <t>0093512254</t>
  </si>
  <si>
    <t>ALIEF MUHAMMAD AKBAR</t>
  </si>
  <si>
    <t>0097795970</t>
  </si>
  <si>
    <t>ANGGRAENI FATMA PUTRI PRIYANTO</t>
  </si>
  <si>
    <t>0099816673</t>
  </si>
  <si>
    <t>ARINKA NAYLA NABIL</t>
  </si>
  <si>
    <t>GREEN SCHOOL</t>
  </si>
  <si>
    <t>0104425132</t>
  </si>
  <si>
    <t>ATHA RIZKY AKBAR PRATAMA</t>
  </si>
  <si>
    <t>0092509122</t>
  </si>
  <si>
    <t>CAMELIA IKHA NOVITASARI</t>
  </si>
  <si>
    <t>0097642855</t>
  </si>
  <si>
    <t>CHRISTINA DWI AGUSTIN</t>
  </si>
  <si>
    <t>DEWAN AMBALAN</t>
  </si>
  <si>
    <t>0102838776</t>
  </si>
  <si>
    <t>DAVA HAFIDZ FIRDAUS</t>
  </si>
  <si>
    <t>0108842694</t>
  </si>
  <si>
    <t>DIMAS ADITIYA</t>
  </si>
  <si>
    <t>0099273078</t>
  </si>
  <si>
    <t>FABIANO PUTRA RAMADHAN</t>
  </si>
  <si>
    <t>0093246218</t>
  </si>
  <si>
    <t>FAHYRA ALYA MUBHITA</t>
  </si>
  <si>
    <t>0099606901</t>
  </si>
  <si>
    <t>FARRA SALSABILA</t>
  </si>
  <si>
    <t>0107413096</t>
  </si>
  <si>
    <t>FATIH MAS'UD PUTRA GAMAN</t>
  </si>
  <si>
    <t>0096624016</t>
  </si>
  <si>
    <t>FAUZI NUR IRSYAD</t>
  </si>
  <si>
    <t>ENGLISH CLUB</t>
  </si>
  <si>
    <t>0091343094</t>
  </si>
  <si>
    <t>INAYA NOVITA PUTRI</t>
  </si>
  <si>
    <t>0096130936</t>
  </si>
  <si>
    <t>ISNAYNI NIKEN WIJAYANTI</t>
  </si>
  <si>
    <t>0099452527</t>
  </si>
  <si>
    <t>KALILA AQRIL LIANI</t>
  </si>
  <si>
    <t>0093048982</t>
  </si>
  <si>
    <t>KEYLA LUCHITA IMAN RAMADHANI</t>
  </si>
  <si>
    <t>BASKET</t>
  </si>
  <si>
    <t>0095710031</t>
  </si>
  <si>
    <t>MELLYSHA ZHAHRA YAZHILLA</t>
  </si>
  <si>
    <t>0088035011</t>
  </si>
  <si>
    <t>MUHAMMAD ARIFIN AZZIDAN</t>
  </si>
  <si>
    <t>3090569925</t>
  </si>
  <si>
    <t>MUHAMMAD FAIZ MAFTUH</t>
  </si>
  <si>
    <t>0103624554</t>
  </si>
  <si>
    <t>MUHAMMAD FATHAN IZZAT AL HAKIM</t>
  </si>
  <si>
    <t>3095974881</t>
  </si>
  <si>
    <t>MUHAMMAD HAFIDZ RIDWAN ROUF</t>
  </si>
  <si>
    <t>0095129422</t>
  </si>
  <si>
    <t>MUHAMMAD RASYA FADILLA</t>
  </si>
  <si>
    <t>0107967642</t>
  </si>
  <si>
    <t>NAUFAL MAULANA ALBUKHORI</t>
  </si>
  <si>
    <t>0093787165</t>
  </si>
  <si>
    <t>NIDA BARA MUSTOFA</t>
  </si>
  <si>
    <t>3095670465</t>
  </si>
  <si>
    <t>NIRMALA SARI</t>
  </si>
  <si>
    <t>0084705456</t>
  </si>
  <si>
    <t>NUR RAHAYU SETYANINGSIH</t>
  </si>
  <si>
    <t>0108665069</t>
  </si>
  <si>
    <t>OLITA ZERLINDA</t>
  </si>
  <si>
    <t>0103375460</t>
  </si>
  <si>
    <t>RAHAYU ASDINA</t>
  </si>
  <si>
    <t>0106057597</t>
  </si>
  <si>
    <t>REVINA PUTRI RAMADHANI</t>
  </si>
  <si>
    <t>3097740413</t>
  </si>
  <si>
    <t>RIANG KHANSA ROHADATUL AISY</t>
  </si>
  <si>
    <t xml:space="preserve">STUPA </t>
  </si>
  <si>
    <t>0101084132</t>
  </si>
  <si>
    <t>SITI NUR ANNISA</t>
  </si>
  <si>
    <t>0093398738</t>
  </si>
  <si>
    <t>SYAFA ALMIRA</t>
  </si>
  <si>
    <t xml:space="preserve">PMR </t>
  </si>
  <si>
    <t>3106226371</t>
  </si>
  <si>
    <t>SYAFA RAHMA SALSABILA</t>
  </si>
  <si>
    <t>0093722618</t>
  </si>
  <si>
    <t>ZASKIA SEKAR KIRANA</t>
  </si>
  <si>
    <t>wawa</t>
  </si>
  <si>
    <t>catwawa</t>
  </si>
  <si>
    <t>k3</t>
  </si>
  <si>
    <t>catk3</t>
  </si>
  <si>
    <t>TDP</t>
  </si>
  <si>
    <t>CATTDP</t>
  </si>
  <si>
    <t>BAHAN</t>
  </si>
  <si>
    <t>CATBAHAN</t>
  </si>
  <si>
    <t>DSM</t>
  </si>
  <si>
    <t>CATDSM</t>
  </si>
  <si>
    <t>GT</t>
  </si>
  <si>
    <t>CATGT</t>
  </si>
  <si>
    <t>DASAR-DASAR</t>
  </si>
  <si>
    <t>0091491520</t>
  </si>
  <si>
    <t>ANGGIT HERU WICAKSONO</t>
  </si>
  <si>
    <t>X MA</t>
  </si>
  <si>
    <t>Teknik Mesin</t>
  </si>
  <si>
    <t>Linda Nuriawati, S.Pd</t>
  </si>
  <si>
    <t>199508292024212022</t>
  </si>
  <si>
    <t>0103985873</t>
  </si>
  <si>
    <t>ARFAN BASTIAN ERSANUDIN</t>
  </si>
  <si>
    <t>0099698944</t>
  </si>
  <si>
    <t>AYUB DENARIUS GLORY</t>
  </si>
  <si>
    <t>TAEKWONDO</t>
  </si>
  <si>
    <t>0099772630</t>
  </si>
  <si>
    <t>BUSTANIL FAKIH MUSTOFA</t>
  </si>
  <si>
    <t>0096354252</t>
  </si>
  <si>
    <t>DEVANANDA JULIAN BAGUS PRIMATAMA</t>
  </si>
  <si>
    <t>0092489936</t>
  </si>
  <si>
    <t>DIMAS ANANDA ARI SETIAWAN</t>
  </si>
  <si>
    <t>0104198731</t>
  </si>
  <si>
    <t>DONY RAFID MUDZAKKI</t>
  </si>
  <si>
    <t>0102647713</t>
  </si>
  <si>
    <t>EDUARDUS TRISTAN ADRIELLO</t>
  </si>
  <si>
    <t>Katolik</t>
  </si>
  <si>
    <t>dalam memahami dirinya sebagai pribadi yang unik, setara antara laki-laki dan perempuan, serta memiliki kean sebagai sebagai Citra Allah; memiliki suara hati sehingga mampu bersikap kritis dan bertanggung jawab terhadap pengaruh media massa, ideologi dan gaya hidup yang berkembang saat ini</t>
  </si>
  <si>
    <t>0106070049</t>
  </si>
  <si>
    <t>GABRIEL HERSAKA ARYASATYA</t>
  </si>
  <si>
    <t>0104699573</t>
  </si>
  <si>
    <t>HALDI NASRULLOH</t>
  </si>
  <si>
    <t>0099723950</t>
  </si>
  <si>
    <t>HAVID HERMAWAN</t>
  </si>
  <si>
    <t>0101192379</t>
  </si>
  <si>
    <t>MAULANA ENDZA RAYHAN</t>
  </si>
  <si>
    <t>0102794178</t>
  </si>
  <si>
    <t>MOHAMMAD RIZKY GUNAWAN</t>
  </si>
  <si>
    <t>0104291852</t>
  </si>
  <si>
    <t>MUHAIMIN MIRZA UKAIL</t>
  </si>
  <si>
    <t>0097860557</t>
  </si>
  <si>
    <t>MUHAMAD DZIKRI AKBAR</t>
  </si>
  <si>
    <t xml:space="preserve">SILAT </t>
  </si>
  <si>
    <t>0082694143</t>
  </si>
  <si>
    <t>MUHAMMAD AFKAR MAULANA</t>
  </si>
  <si>
    <t>3094505711</t>
  </si>
  <si>
    <t>MUHAMMAD AMIRUL IKHSAN</t>
  </si>
  <si>
    <t>3100983235</t>
  </si>
  <si>
    <t>MUHAMMAD APTA ABIMANYU</t>
  </si>
  <si>
    <t>0097318813</t>
  </si>
  <si>
    <t>MUHAMMAD ARDAN MAULANA</t>
  </si>
  <si>
    <t>0096502006</t>
  </si>
  <si>
    <t>MUHAMMAD DAFA EKO PRAKOSO</t>
  </si>
  <si>
    <t>0108162691</t>
  </si>
  <si>
    <t>MUHAMMAD DAFFA ALFARIZKY</t>
  </si>
  <si>
    <t>0092733358</t>
  </si>
  <si>
    <t>MUHAMMAD DENISH PERMANA</t>
  </si>
  <si>
    <t>0095138831</t>
  </si>
  <si>
    <t>MUHAMMAD DWI SAPUTRA</t>
  </si>
  <si>
    <t>0096188475</t>
  </si>
  <si>
    <t>MUHAMMAD FADLY ARYA BOMANTARA</t>
  </si>
  <si>
    <t>0094438049</t>
  </si>
  <si>
    <t>MUHAMMAD RIDHO ALVIANO FEBRIAN</t>
  </si>
  <si>
    <t>0096250912</t>
  </si>
  <si>
    <t>MUHAMMAD TAUFIQURRAHMAN</t>
  </si>
  <si>
    <t>0101830080</t>
  </si>
  <si>
    <t>NUR IKA HARIYADINA</t>
  </si>
  <si>
    <t>0093536266</t>
  </si>
  <si>
    <t>PANJI SATRIATAMA</t>
  </si>
  <si>
    <t>0091485791</t>
  </si>
  <si>
    <t>PUTRI NOVERA</t>
  </si>
  <si>
    <t>0107585971</t>
  </si>
  <si>
    <t>RADITYA ATHALLAH TEGAR G' ATMO</t>
  </si>
  <si>
    <t>0107292660</t>
  </si>
  <si>
    <t>RAYHAN ADAM SHEVANA</t>
  </si>
  <si>
    <t>0083844477</t>
  </si>
  <si>
    <t>RIZQI RICHMAN WIJAYA</t>
  </si>
  <si>
    <t>0093062518</t>
  </si>
  <si>
    <t>RIZQI TSANIYA REFALDI</t>
  </si>
  <si>
    <t>0096924937</t>
  </si>
  <si>
    <t>TSAQIF NAWAF ILMI</t>
  </si>
  <si>
    <t>0091710679</t>
  </si>
  <si>
    <t>VALLENT HEAVEN PRINCE ANANTA</t>
  </si>
  <si>
    <t>0104623955</t>
  </si>
  <si>
    <t>YULIO RAHMAN SYAHPUTRA</t>
  </si>
  <si>
    <t>0097820849</t>
  </si>
  <si>
    <t>AGHIS EMIR AZIZY</t>
  </si>
  <si>
    <t>X MB</t>
  </si>
  <si>
    <t>Faridhatun Ulfa, S. Pd</t>
  </si>
  <si>
    <t>198910262025212026</t>
  </si>
  <si>
    <t>0107983697</t>
  </si>
  <si>
    <t>AHMAD ALFAN NUR FAZA</t>
  </si>
  <si>
    <t>3093681150</t>
  </si>
  <si>
    <t>AHMAD SHODIQUL WAFI</t>
  </si>
  <si>
    <t xml:space="preserve">          </t>
  </si>
  <si>
    <t>AHMED PANJILANGIT ELFARRASI</t>
  </si>
  <si>
    <t>0099265819</t>
  </si>
  <si>
    <t>ALIFIAN JERRY JULIANO</t>
  </si>
  <si>
    <t>3106842735</t>
  </si>
  <si>
    <t>AMARU BIMA ALIF SETIAWAN</t>
  </si>
  <si>
    <t>0093671726</t>
  </si>
  <si>
    <t>ARKAN REYFANSYAH WIJAYA KUSUMA</t>
  </si>
  <si>
    <t>0094287764</t>
  </si>
  <si>
    <t>ASSEGAV ALFA NAHAR</t>
  </si>
  <si>
    <t>0097380433</t>
  </si>
  <si>
    <t>AUDREY SAFA OLIVIA</t>
  </si>
  <si>
    <t>0103685897</t>
  </si>
  <si>
    <t>AZRIEL MUNAZAR ALLAIK</t>
  </si>
  <si>
    <t>0102595018</t>
  </si>
  <si>
    <t>BARRA IBRAHIM ALFARIZY</t>
  </si>
  <si>
    <t>0093720886</t>
  </si>
  <si>
    <t>BILAL RIZKI FADIRRAHMAN</t>
  </si>
  <si>
    <t>0091487920</t>
  </si>
  <si>
    <t>DAFFA ATHA NURPRASETYO</t>
  </si>
  <si>
    <t>0097417457</t>
  </si>
  <si>
    <t>DEAN AL FARISI SUSILA</t>
  </si>
  <si>
    <t>0098902692</t>
  </si>
  <si>
    <t>DESTAMA AHMAD RIZA HALMAR</t>
  </si>
  <si>
    <t>0099674684</t>
  </si>
  <si>
    <t>DWIANDRA WISNU UTAMA</t>
  </si>
  <si>
    <t>0098135766</t>
  </si>
  <si>
    <t>EKO PRASTIYO</t>
  </si>
  <si>
    <t>0095602236</t>
  </si>
  <si>
    <t>FAHRI ADRIAN ARIF MUNANDAR</t>
  </si>
  <si>
    <t>0109154950</t>
  </si>
  <si>
    <t>GRECINDI GHINA ADHWA</t>
  </si>
  <si>
    <t>0104636746</t>
  </si>
  <si>
    <t>HAFIDZ EKA PUTRA</t>
  </si>
  <si>
    <t>0097330945</t>
  </si>
  <si>
    <t>HAIDAR IKMALUL HAQIQI</t>
  </si>
  <si>
    <t>0081329804</t>
  </si>
  <si>
    <t>HAIDAR SYIFAUL QOLBI</t>
  </si>
  <si>
    <t>0097457702</t>
  </si>
  <si>
    <t>ILHAM ADI WICAKSANA</t>
  </si>
  <si>
    <t>0095682466</t>
  </si>
  <si>
    <t>LARAS FELICIA NURUL</t>
  </si>
  <si>
    <t>0102462349</t>
  </si>
  <si>
    <t>MUHAMAD CHANDRA ALFIYAN</t>
  </si>
  <si>
    <t>3094667729</t>
  </si>
  <si>
    <t>MUHAMAD JOVAN IBRAHIMOVIC</t>
  </si>
  <si>
    <t>0098146046</t>
  </si>
  <si>
    <t>MUHAMMAD DESTA BINTANG SAPUTRA</t>
  </si>
  <si>
    <t>0103671719</t>
  </si>
  <si>
    <t>MUHAMMAD FARREL</t>
  </si>
  <si>
    <t>0103750187</t>
  </si>
  <si>
    <t>MUHAMMAD NASYID AKBAR</t>
  </si>
  <si>
    <t>GREENSCHOOL</t>
  </si>
  <si>
    <t>0098683228</t>
  </si>
  <si>
    <t>NAUFAL AZHAR BAHTIAR</t>
  </si>
  <si>
    <t>0091605452</t>
  </si>
  <si>
    <t>QYAN AURELIO RIZKY NOVIANDRA</t>
  </si>
  <si>
    <t>0093139784</t>
  </si>
  <si>
    <t>RAMA ALI AKBAR PRASETYO</t>
  </si>
  <si>
    <t>0096171213</t>
  </si>
  <si>
    <t>RIZKI PUTRA PRATAMA</t>
  </si>
  <si>
    <t>0094716389</t>
  </si>
  <si>
    <t>SURYA PRATAMA AGDY WIJAYA</t>
  </si>
  <si>
    <t>0111079596</t>
  </si>
  <si>
    <t>YAASIN PAMUNGKAS</t>
  </si>
  <si>
    <t>0106971187</t>
  </si>
  <si>
    <t>ZELDA ADJI ACHMAD SAPUTRA</t>
  </si>
  <si>
    <t>0095672273</t>
  </si>
  <si>
    <t>ADI PRASTYO</t>
  </si>
  <si>
    <t>X MC</t>
  </si>
  <si>
    <t>Rina Dewi Septanti, M.Pd</t>
  </si>
  <si>
    <t>197309292006042018</t>
  </si>
  <si>
    <t>3103726988</t>
  </si>
  <si>
    <t xml:space="preserve">AHMAD FARID MASHURI </t>
  </si>
  <si>
    <t>0106436238</t>
  </si>
  <si>
    <t>AHMAD FAWWAZUL HAQQI</t>
  </si>
  <si>
    <t>0092730568</t>
  </si>
  <si>
    <t>AHMAD NURUL HAKIM</t>
  </si>
  <si>
    <t>0108507975</t>
  </si>
  <si>
    <t>AHNAFUZZAKKA CHABADHA</t>
  </si>
  <si>
    <t>0083863981</t>
  </si>
  <si>
    <t>ALIF CHAIDAR NIBRAS</t>
  </si>
  <si>
    <t>0099993856</t>
  </si>
  <si>
    <t>ANANDA VIKY JULIANSYAH</t>
  </si>
  <si>
    <t>3102188097</t>
  </si>
  <si>
    <t>ANDARA AZHAR PAMUNGKAS</t>
  </si>
  <si>
    <t>0108353532</t>
  </si>
  <si>
    <t>ANITYA KHOIRUNNISA</t>
  </si>
  <si>
    <t>0108571329</t>
  </si>
  <si>
    <t>AUFA RIJAL RAIS</t>
  </si>
  <si>
    <t>0091196751</t>
  </si>
  <si>
    <t>AWAN FIRMANSYAH</t>
  </si>
  <si>
    <t>0096127546</t>
  </si>
  <si>
    <t>BAYU MASCHAN CHABIBI ACHMAD</t>
  </si>
  <si>
    <t>0104967123</t>
  </si>
  <si>
    <t>BERLIN ALAMSYAH PRASETYO</t>
  </si>
  <si>
    <t>0071025520</t>
  </si>
  <si>
    <t>DEWANGGA PUTRA ALIF KUSUMA RAMADHAN</t>
  </si>
  <si>
    <t>3108436734</t>
  </si>
  <si>
    <t>DICKO SETIAWAN</t>
  </si>
  <si>
    <t>0103982037</t>
  </si>
  <si>
    <t>DISAN ERLANGGA</t>
  </si>
  <si>
    <t>0099425040</t>
  </si>
  <si>
    <t>FATKHA REZKY LAKSANA</t>
  </si>
  <si>
    <t>0106774312</t>
  </si>
  <si>
    <t>GRECYA RASYA FERISA</t>
  </si>
  <si>
    <t>0096854981</t>
  </si>
  <si>
    <t>ISA MAITSAA ROCHMANTOKO</t>
  </si>
  <si>
    <t>0095736989</t>
  </si>
  <si>
    <t>LINTANG ARCHILIUS PRASETYANNA</t>
  </si>
  <si>
    <t>3092429744</t>
  </si>
  <si>
    <t>MAULANA AHMAD</t>
  </si>
  <si>
    <t>0098577858</t>
  </si>
  <si>
    <t>MIFTACHUL RENO NUGROHO</t>
  </si>
  <si>
    <t>0094110639</t>
  </si>
  <si>
    <t>MIKHAIL RHAZADE AKBAR</t>
  </si>
  <si>
    <t>3106573992</t>
  </si>
  <si>
    <t>MUHAMMAD AGUS KHOLIK</t>
  </si>
  <si>
    <t>0094689844</t>
  </si>
  <si>
    <t>MUHAMMAD FADKHUR ROMADHON</t>
  </si>
  <si>
    <t>0089440508</t>
  </si>
  <si>
    <t>MUHAMMAD ROZZAQ RAMADHAN</t>
  </si>
  <si>
    <t>3095134323</t>
  </si>
  <si>
    <t>MUHAMMAD SURYO ADJI</t>
  </si>
  <si>
    <t>0096974242</t>
  </si>
  <si>
    <t>MUHAMMAD ZAKI MAULANA</t>
  </si>
  <si>
    <t>3092711653</t>
  </si>
  <si>
    <t>NUR ANDIKA</t>
  </si>
  <si>
    <t>0102310655</t>
  </si>
  <si>
    <t>RAHMAN TEGUH PAMUNGKAS</t>
  </si>
  <si>
    <t>0095684698</t>
  </si>
  <si>
    <t>RAIHAN ADIATAMA</t>
  </si>
  <si>
    <t>0108496999</t>
  </si>
  <si>
    <t>REZA ARDIANSYAH AL KHAFI</t>
  </si>
  <si>
    <t>3097910891</t>
  </si>
  <si>
    <t>WISNUPRABU AKBAR WICAKSONO</t>
  </si>
  <si>
    <t>0092680446</t>
  </si>
  <si>
    <t>ZAKI ILHAM AZIZI</t>
  </si>
  <si>
    <t>3090978017</t>
  </si>
  <si>
    <t>ZAKY SYAHRIAL MIRDAS</t>
  </si>
  <si>
    <t>wawas</t>
  </si>
  <si>
    <t>cat wawas</t>
  </si>
  <si>
    <t>K3LH</t>
  </si>
  <si>
    <t>Cat K3LH</t>
  </si>
  <si>
    <t>PPTK</t>
  </si>
  <si>
    <t>CATPPTK</t>
  </si>
  <si>
    <t>KOMP</t>
  </si>
  <si>
    <t>CATKOMP</t>
  </si>
  <si>
    <t>MAPEL PILIJAN</t>
  </si>
  <si>
    <t>NILAI BAWAH KKM ( &lt;75 )</t>
  </si>
  <si>
    <t>0096991082</t>
  </si>
  <si>
    <t>AHMAD GALIH JUNIANTO</t>
  </si>
  <si>
    <t>X OA</t>
  </si>
  <si>
    <t>Teknik Otomotif</t>
  </si>
  <si>
    <t>Dany Ikha Wijayati, SPd.Si</t>
  </si>
  <si>
    <t>198607212009032004</t>
  </si>
  <si>
    <t>0098388187</t>
  </si>
  <si>
    <t>AHMAD ROIKHAN</t>
  </si>
  <si>
    <t>3101232062</t>
  </si>
  <si>
    <t>AR RAFKA RAHMAN HAKIKI</t>
  </si>
  <si>
    <t>0105792475</t>
  </si>
  <si>
    <t>ARDHAN PUTRA MAHARDIKA</t>
  </si>
  <si>
    <t>0091660700</t>
  </si>
  <si>
    <t>ASKA NUR FADLI</t>
  </si>
  <si>
    <t>0108463077</t>
  </si>
  <si>
    <t>AWANDA SUSILO SETO</t>
  </si>
  <si>
    <t>0096275599</t>
  </si>
  <si>
    <t>BAGAS RADITYA FAIZ PRATAMA</t>
  </si>
  <si>
    <t>0099717364</t>
  </si>
  <si>
    <t>DAVIN ADI PRADANA</t>
  </si>
  <si>
    <t>0093828886</t>
  </si>
  <si>
    <t>DESTYO YOVI PUTRA IRIANTO</t>
  </si>
  <si>
    <t>0086183847</t>
  </si>
  <si>
    <t>FADLY USMAN MAULANA</t>
  </si>
  <si>
    <t>0105256608</t>
  </si>
  <si>
    <t>FAHRIAN IKSAN SUBEKTI</t>
  </si>
  <si>
    <t>0102970146</t>
  </si>
  <si>
    <t>FEBRIAN DWI MAHENDRA</t>
  </si>
  <si>
    <t>0099472446</t>
  </si>
  <si>
    <t>FIKKI WAHYU NUR HIDAYAT</t>
  </si>
  <si>
    <t>0096940588</t>
  </si>
  <si>
    <t>FIRMAN ABDUL GHANI</t>
  </si>
  <si>
    <t>0094669490</t>
  </si>
  <si>
    <t>FIRZAN MAULANA KHOIRUL ANAM</t>
  </si>
  <si>
    <t>0104049189</t>
  </si>
  <si>
    <t>GULUNG ABDI NUGROHO</t>
  </si>
  <si>
    <t>3099243895</t>
  </si>
  <si>
    <t>HAFIDZ FARENDRA PRADANA</t>
  </si>
  <si>
    <t>0098383318</t>
  </si>
  <si>
    <t>IBNU ALI ALFARIZKI</t>
  </si>
  <si>
    <t>3094939442</t>
  </si>
  <si>
    <t>IBNU MAS`UDIN</t>
  </si>
  <si>
    <t>0098668871</t>
  </si>
  <si>
    <t>JULIAN HABIB MUSTOFA</t>
  </si>
  <si>
    <t>3108264447</t>
  </si>
  <si>
    <t>MALKA FIRDAUS SYARIF</t>
  </si>
  <si>
    <t>0094167216</t>
  </si>
  <si>
    <t>MUHAMMAD AZZAM ARDYPUTRA</t>
  </si>
  <si>
    <t>0093984449</t>
  </si>
  <si>
    <t>MUHAMMAD IQBAL ARROSYID</t>
  </si>
  <si>
    <t>0099952672</t>
  </si>
  <si>
    <t>MUHAMMAD IZZA KHOIRI</t>
  </si>
  <si>
    <t>REDICATOR</t>
  </si>
  <si>
    <t>3103410490</t>
  </si>
  <si>
    <t>MUHAMMAD RAFI ARDIANTO</t>
  </si>
  <si>
    <t>0094304734</t>
  </si>
  <si>
    <t>MUHAMMAD RIYADL AWWIBI</t>
  </si>
  <si>
    <t>0098079097</t>
  </si>
  <si>
    <t>NASAFA PUTRI KUSUMANINGRUM</t>
  </si>
  <si>
    <t>3097824977</t>
  </si>
  <si>
    <t>PUTRI FATIMATUL ZAHRA</t>
  </si>
  <si>
    <t>0107708537</t>
  </si>
  <si>
    <t>RAAFI ATHA AD DZIKRA ABIDIN</t>
  </si>
  <si>
    <t>0084333194</t>
  </si>
  <si>
    <t>RECHAN MAHESA AKBAR</t>
  </si>
  <si>
    <t>0099968161</t>
  </si>
  <si>
    <t>REZA RAGIL WICAKSONO</t>
  </si>
  <si>
    <t>0106986679</t>
  </si>
  <si>
    <t>RISMA ADI SAPUTRA</t>
  </si>
  <si>
    <t>0092100319</t>
  </si>
  <si>
    <t>RIZKI LUQMAN SAPUTRA</t>
  </si>
  <si>
    <t>3103582668</t>
  </si>
  <si>
    <t>SATRIA DHIYA UL HAQ</t>
  </si>
  <si>
    <t>0099299629</t>
  </si>
  <si>
    <t>WISNU WIJAYA</t>
  </si>
  <si>
    <t>0092871239</t>
  </si>
  <si>
    <t>ZEFANYA ANDI PRATAMA</t>
  </si>
  <si>
    <t>0102114797</t>
  </si>
  <si>
    <t>ABDILLAH KHALIFATUR RIZIQ</t>
  </si>
  <si>
    <t>X OB</t>
  </si>
  <si>
    <t>Edhi Suranto S.Pd</t>
  </si>
  <si>
    <t>196705081995121002</t>
  </si>
  <si>
    <t>0091648577</t>
  </si>
  <si>
    <t>ACHMAD NUR IKHSAN</t>
  </si>
  <si>
    <t>0101883733</t>
  </si>
  <si>
    <t>AHMAD FAZA AR RAUF</t>
  </si>
  <si>
    <t>0093622784</t>
  </si>
  <si>
    <t>AKHMAD ICHSANUDIN</t>
  </si>
  <si>
    <t>3096325951</t>
  </si>
  <si>
    <t>ALYA AUNI DAYANA</t>
  </si>
  <si>
    <t>0094779442</t>
  </si>
  <si>
    <t>ANDIKA JUNIATAMA</t>
  </si>
  <si>
    <t>0098988300</t>
  </si>
  <si>
    <t>AZKA PRAYATA YODHA</t>
  </si>
  <si>
    <t>0094943657</t>
  </si>
  <si>
    <t>BAHARUDIN BALYA PUTRA</t>
  </si>
  <si>
    <t>0105141948</t>
  </si>
  <si>
    <t>FAIZ TEGAR SAPUTRA</t>
  </si>
  <si>
    <t>0103155179</t>
  </si>
  <si>
    <t>FAJAR LUKCY SAPUTRA</t>
  </si>
  <si>
    <t>0103917951</t>
  </si>
  <si>
    <t>HAFFISAL ANNAS</t>
  </si>
  <si>
    <t>3103802885</t>
  </si>
  <si>
    <t>IQMAL DANIS ADITYA</t>
  </si>
  <si>
    <t>Keluar</t>
  </si>
  <si>
    <t>0096145577</t>
  </si>
  <si>
    <t>IRFAN CHUSAINI</t>
  </si>
  <si>
    <t>0084565827</t>
  </si>
  <si>
    <t>KEYSHA ALVARO PUTRA</t>
  </si>
  <si>
    <t>0099629813</t>
  </si>
  <si>
    <t>MAHARDIKA BAGUSTYAWAN</t>
  </si>
  <si>
    <t>0099051299</t>
  </si>
  <si>
    <t>MARVELLINO MUHAMMAD LANDRA</t>
  </si>
  <si>
    <t>0094565466</t>
  </si>
  <si>
    <t>MOCHAMAD RADITYA BINTANG PAMUNGKAS</t>
  </si>
  <si>
    <t>0093923773</t>
  </si>
  <si>
    <t>MORELO MECCA UYUNAJMI</t>
  </si>
  <si>
    <t>0108898803</t>
  </si>
  <si>
    <t>MUHAMAD DEVIN AL FADLY</t>
  </si>
  <si>
    <t>0093854657</t>
  </si>
  <si>
    <t>MUHAMAD GHANI ADHI KUSUMA</t>
  </si>
  <si>
    <t>0093087653</t>
  </si>
  <si>
    <t>MUHAMAD RIDHO WAHYUDI</t>
  </si>
  <si>
    <t>3098307113</t>
  </si>
  <si>
    <t>MUHAMAD ZIDAN PRAYOGO</t>
  </si>
  <si>
    <t>3109860205</t>
  </si>
  <si>
    <t>MUHAMMAD CHANDRA NUR ADKHA</t>
  </si>
  <si>
    <t>0097087506</t>
  </si>
  <si>
    <t xml:space="preserve">MUHAMMAD DZAKA IRFANSYAH </t>
  </si>
  <si>
    <t>3090969443</t>
  </si>
  <si>
    <t>MUHAMMAD WILLIAM ARDIANSYAH</t>
  </si>
  <si>
    <t>0106207764</t>
  </si>
  <si>
    <t>NOVIAN INDRIANI</t>
  </si>
  <si>
    <t>3101379180</t>
  </si>
  <si>
    <t>PUTRA AGUNG BASORI</t>
  </si>
  <si>
    <t>3091053022</t>
  </si>
  <si>
    <t>RADITYA JAVAS NARAYA</t>
  </si>
  <si>
    <t>0098240992</t>
  </si>
  <si>
    <t>RAFI TRIA NANDA</t>
  </si>
  <si>
    <t>3102622584</t>
  </si>
  <si>
    <t>RAVIAN YUSUF WIJAYA</t>
  </si>
  <si>
    <t>0094250881</t>
  </si>
  <si>
    <t>RIFKI AHMAD NASHRUL YASIR</t>
  </si>
  <si>
    <t>0096719099</t>
  </si>
  <si>
    <t>RIVALDO JULYAN PUTRA</t>
  </si>
  <si>
    <t>0097736704</t>
  </si>
  <si>
    <t>ROOKI MUSYAFFA ALKHOIR</t>
  </si>
  <si>
    <t>0109030579</t>
  </si>
  <si>
    <t>YANUAR AZRIL PRATAMA</t>
  </si>
  <si>
    <t>3097502859</t>
  </si>
  <si>
    <t>ZACKY AJI PRAMUDYA</t>
  </si>
  <si>
    <t>0094261436</t>
  </si>
  <si>
    <t>ZAENAL RIKO STIAWAN</t>
  </si>
  <si>
    <t>3094130739</t>
  </si>
  <si>
    <t>AHMAD SYARIFUDIN</t>
  </si>
  <si>
    <t>X OC</t>
  </si>
  <si>
    <t>Arum Puji Rahayu, S.Pd.</t>
  </si>
  <si>
    <t>19910213 2023212023</t>
  </si>
  <si>
    <t>3100307138</t>
  </si>
  <si>
    <t>AHMAD ZAKI MUBAROK</t>
  </si>
  <si>
    <t>0098859596</t>
  </si>
  <si>
    <t>AKBAR PUTRA SATRIA KAMAL</t>
  </si>
  <si>
    <t>0098230658</t>
  </si>
  <si>
    <t>ALDO INDRA SAPUTRA</t>
  </si>
  <si>
    <t>0102267247</t>
  </si>
  <si>
    <t>BAGAS DEWANTO</t>
  </si>
  <si>
    <t xml:space="preserve"> PATIGENI</t>
  </si>
  <si>
    <t>0106042197</t>
  </si>
  <si>
    <t>BRIAN GALIH PRATAMA</t>
  </si>
  <si>
    <t>0109231638</t>
  </si>
  <si>
    <t>DAFA JULIO RAMDHANY</t>
  </si>
  <si>
    <t>3091437571</t>
  </si>
  <si>
    <t>DAFFA AQEELLA RAMDANI</t>
  </si>
  <si>
    <t>0104687458</t>
  </si>
  <si>
    <t>DANU ALVINO PUTRA HARIMUKTI</t>
  </si>
  <si>
    <t>0093873189</t>
  </si>
  <si>
    <t xml:space="preserve">DZAKIY SEPTIAN ALVIANO </t>
  </si>
  <si>
    <t>0099078586</t>
  </si>
  <si>
    <t>ERFANDY NUR FAQIH</t>
  </si>
  <si>
    <t>0097529429</t>
  </si>
  <si>
    <t>FAHRI ULINNUHA</t>
  </si>
  <si>
    <t>0101082817</t>
  </si>
  <si>
    <t>HERDIANSYAH SAPUTRA</t>
  </si>
  <si>
    <t>0096915848</t>
  </si>
  <si>
    <t>HYUGA SHENDRA WIJAYA</t>
  </si>
  <si>
    <t>0091361708</t>
  </si>
  <si>
    <t>KHOIRUL AKBAR AGUSTA</t>
  </si>
  <si>
    <t>0091173312</t>
  </si>
  <si>
    <t>MALIK DANI SASONGKO</t>
  </si>
  <si>
    <t>0098326442</t>
  </si>
  <si>
    <t>MUHAMAD PRAMUDIYANTO</t>
  </si>
  <si>
    <t>0091090311</t>
  </si>
  <si>
    <t>MUHAMAD RIDHO PANGESTU</t>
  </si>
  <si>
    <t>0091201997</t>
  </si>
  <si>
    <t>MUHAMMAD ADNAN KHIAR SYARIF</t>
  </si>
  <si>
    <t>3090920171</t>
  </si>
  <si>
    <t>MUHAMMAD BAGAS PRASETYO</t>
  </si>
  <si>
    <t>0095324373</t>
  </si>
  <si>
    <t>MUHAMMAD KHOIRUMANKAFA</t>
  </si>
  <si>
    <t>0099795943</t>
  </si>
  <si>
    <t>MUHAMMAD NABIL SYARIFUDIN</t>
  </si>
  <si>
    <t>0092879658</t>
  </si>
  <si>
    <t>MUHAMMAD RIZKY IZZA AL FARUQ</t>
  </si>
  <si>
    <t>0086195895</t>
  </si>
  <si>
    <t>RAFA ADI RAMADHAN</t>
  </si>
  <si>
    <t>0099447209</t>
  </si>
  <si>
    <t>RAFI NUR RAMADHAN</t>
  </si>
  <si>
    <t>0094845088</t>
  </si>
  <si>
    <t>RAFKA AHMAD NASHRUL YASIN</t>
  </si>
  <si>
    <t>0097627087</t>
  </si>
  <si>
    <t>RAYNARD AFNAN ADYATMA</t>
  </si>
  <si>
    <t>3091278478</t>
  </si>
  <si>
    <t>RESTU AULIA SAFA</t>
  </si>
  <si>
    <t>0091486069</t>
  </si>
  <si>
    <t>REYHAN AJI BRAHMANTYO</t>
  </si>
  <si>
    <t>0099533611</t>
  </si>
  <si>
    <t>REZA ANY PRATAMA</t>
  </si>
  <si>
    <t>0087676166</t>
  </si>
  <si>
    <t>REZA PUTRA ADITYA</t>
  </si>
  <si>
    <t>0097263552</t>
  </si>
  <si>
    <t>RIZKY ADITYA NURROHIM</t>
  </si>
  <si>
    <t>0098655049</t>
  </si>
  <si>
    <t>RIZKY ALIEF AL HAFIIZH</t>
  </si>
  <si>
    <t>0104180130</t>
  </si>
  <si>
    <t>RIZQY SARIF NUGROHO</t>
  </si>
  <si>
    <t>3105619471</t>
  </si>
  <si>
    <t>SIFA NUR AZIS</t>
  </si>
  <si>
    <t>GTM</t>
  </si>
  <si>
    <t>Cat GTM</t>
  </si>
  <si>
    <t>kerbang</t>
  </si>
  <si>
    <t>catkerbang</t>
  </si>
  <si>
    <t>Dasarlas</t>
  </si>
  <si>
    <t>Cat Pdasarlas</t>
  </si>
  <si>
    <t>3107130185</t>
  </si>
  <si>
    <t>ADI  APRILYANTO</t>
  </si>
  <si>
    <t>X FL</t>
  </si>
  <si>
    <t>Teknik Pengelasan dan Fabrikasi Logam</t>
  </si>
  <si>
    <t>Indaryanto, S.Pd. T</t>
  </si>
  <si>
    <t>197906182009021002</t>
  </si>
  <si>
    <t>0099437598</t>
  </si>
  <si>
    <t>ADNAN FAIRUZ ADHINATA</t>
  </si>
  <si>
    <t>0093487458</t>
  </si>
  <si>
    <t>AGUNG TRIYANTO</t>
  </si>
  <si>
    <t>0091067935</t>
  </si>
  <si>
    <t>AKHMAD KHOIRUL MUNA</t>
  </si>
  <si>
    <t>0107219192</t>
  </si>
  <si>
    <t>ALFANDRA DANIKA PUTRA</t>
  </si>
  <si>
    <t>0099022212</t>
  </si>
  <si>
    <t>ALVIAN RIZKI ELHASBY</t>
  </si>
  <si>
    <t>3099746099</t>
  </si>
  <si>
    <t>ARDIA BENI ASMARA</t>
  </si>
  <si>
    <t>0096023603</t>
  </si>
  <si>
    <t>ARGA PUTRA RIZKY PRIHASTAMA</t>
  </si>
  <si>
    <t>3094642215</t>
  </si>
  <si>
    <t>ATAYA ADIS MAHARDIKA</t>
  </si>
  <si>
    <t>0102948619</t>
  </si>
  <si>
    <t>CHANIE REZA WINDRANA</t>
  </si>
  <si>
    <t>0099028831</t>
  </si>
  <si>
    <t>DESTA PRATAMA PUTRA</t>
  </si>
  <si>
    <t>0099988720</t>
  </si>
  <si>
    <t>DESTIAN SAFA IBRAHIM</t>
  </si>
  <si>
    <t>3097271690</t>
  </si>
  <si>
    <t>DHIMAS ADI BASKARA</t>
  </si>
  <si>
    <t>0096862068</t>
  </si>
  <si>
    <t>DIMAS BAYU SETIYAWAN</t>
  </si>
  <si>
    <t>3101675237</t>
  </si>
  <si>
    <t>FADHLAN ARYA SAVA</t>
  </si>
  <si>
    <t>0086667410</t>
  </si>
  <si>
    <t>FAJAR DWI PRASETYO</t>
  </si>
  <si>
    <t>0099932955</t>
  </si>
  <si>
    <t>FIANTIKA YULIA  PERMATASARI</t>
  </si>
  <si>
    <t>3099257845</t>
  </si>
  <si>
    <t>HAKAM WAHYUJATI</t>
  </si>
  <si>
    <t>0107476815</t>
  </si>
  <si>
    <t>HANIF ABDILLAH WICAKSONO</t>
  </si>
  <si>
    <t>0094920437</t>
  </si>
  <si>
    <t>ISA RIZKI RAMADHANI</t>
  </si>
  <si>
    <t>0093390658</t>
  </si>
  <si>
    <t>LAUDA PRADYA MASTYANA</t>
  </si>
  <si>
    <t>0092557380</t>
  </si>
  <si>
    <t>LINTANG MUHAMMAD RUDSYLA</t>
  </si>
  <si>
    <t>0109508344</t>
  </si>
  <si>
    <t>LUTFIANA DWI ALFIYAH</t>
  </si>
  <si>
    <t>0105169590</t>
  </si>
  <si>
    <t>MARFELINO GALIH SAMUDRA</t>
  </si>
  <si>
    <t>0091476403</t>
  </si>
  <si>
    <t>MIFTAKHUR ROHMAH</t>
  </si>
  <si>
    <t>0096588806</t>
  </si>
  <si>
    <t>MUCHAMMAD AKRAM ALVA KIROM</t>
  </si>
  <si>
    <t>3096572646</t>
  </si>
  <si>
    <t>MUHAMMAD AKRAM RAHMADHANI</t>
  </si>
  <si>
    <t>0088339708</t>
  </si>
  <si>
    <t>MUHAMMAD FAREL</t>
  </si>
  <si>
    <t>0105522898</t>
  </si>
  <si>
    <t>MUHAMMAD MARTINO KHAMIM</t>
  </si>
  <si>
    <t>0093865419</t>
  </si>
  <si>
    <t>MUHAMMAD RASYA ABRAR ADANI</t>
  </si>
  <si>
    <t>0093272871</t>
  </si>
  <si>
    <t>MUHAMMAD SYAFIN HIBBAN</t>
  </si>
  <si>
    <t>0103392525</t>
  </si>
  <si>
    <t>NAJWA SALSABILA</t>
  </si>
  <si>
    <t>3107413287</t>
  </si>
  <si>
    <t>NAOVAL RAMADHIKA ARDANA</t>
  </si>
  <si>
    <t>3092138264</t>
  </si>
  <si>
    <t>RAHMAT GIFFARI ABIYYU</t>
  </si>
  <si>
    <t>3104677129</t>
  </si>
  <si>
    <t>RICKY AHMAD</t>
  </si>
  <si>
    <t>0097133109</t>
  </si>
  <si>
    <t>RIDHO AWWAL RAMDHANI</t>
  </si>
  <si>
    <t>K3</t>
  </si>
  <si>
    <t>Cat K3</t>
  </si>
  <si>
    <t>EDL</t>
  </si>
  <si>
    <t>Cat EDL</t>
  </si>
  <si>
    <t>RATA-RATA</t>
  </si>
  <si>
    <t>PERINGKAT PER KELAS</t>
  </si>
  <si>
    <t>0088547654</t>
  </si>
  <si>
    <t>AGIL ROMANSA</t>
  </si>
  <si>
    <t>X LA</t>
  </si>
  <si>
    <t>Teknik Ketenagalistrikan</t>
  </si>
  <si>
    <t>Wigati Hati Nurani, S.Pd</t>
  </si>
  <si>
    <t>19701112 2007012010</t>
  </si>
  <si>
    <t>0097120399</t>
  </si>
  <si>
    <t>ANDINI SETYAWATI</t>
  </si>
  <si>
    <t>0092057514</t>
  </si>
  <si>
    <t>ANDINI SUKMA DEWI</t>
  </si>
  <si>
    <t>3096593286</t>
  </si>
  <si>
    <t>ARI NURWAHID RAMADHAN</t>
  </si>
  <si>
    <t>0094906693</t>
  </si>
  <si>
    <t>ARZAENI YULIA PRATAMA</t>
  </si>
  <si>
    <t>0106533429</t>
  </si>
  <si>
    <t>AVRILIA TISYA AZ ZAHRA</t>
  </si>
  <si>
    <t>0098259093</t>
  </si>
  <si>
    <t>BRIYANTI SEKAR TAJI</t>
  </si>
  <si>
    <t>0094023850</t>
  </si>
  <si>
    <t>DAVINA ANINDYA ELVARETTA KIRANA</t>
  </si>
  <si>
    <t>3102453844</t>
  </si>
  <si>
    <t>DIANDRA EZRA FEBRIANSYAH</t>
  </si>
  <si>
    <t>0081573819</t>
  </si>
  <si>
    <t>DITA GUSTI RAHMAT DIANI</t>
  </si>
  <si>
    <t>0099719385</t>
  </si>
  <si>
    <t>ERLINA SEPTIA RAMADHANI</t>
  </si>
  <si>
    <t>0096191513</t>
  </si>
  <si>
    <t>FADILA WAHYU AVRILIAN</t>
  </si>
  <si>
    <t>0099134756</t>
  </si>
  <si>
    <t>FARAS AUFA HANANIA RAMADAN</t>
  </si>
  <si>
    <t>0096118057</t>
  </si>
  <si>
    <t>GALANG MAULANA</t>
  </si>
  <si>
    <t>0101667265</t>
  </si>
  <si>
    <t>HAIRUL AZHAR FAHLEFI ZULKARNAIN</t>
  </si>
  <si>
    <t>0108273156</t>
  </si>
  <si>
    <t>HASBY MAULANA</t>
  </si>
  <si>
    <t>0094704251</t>
  </si>
  <si>
    <t>KALILA KHUSNUL FATIMAH</t>
  </si>
  <si>
    <t>0091209193</t>
  </si>
  <si>
    <t>KHAYLILA FARAH MAULIDYA</t>
  </si>
  <si>
    <t>3108917216</t>
  </si>
  <si>
    <t>MARLINA PUTRI SAFIKA</t>
  </si>
  <si>
    <t>0107043951</t>
  </si>
  <si>
    <t>MUHAMAD FAIZ ABDURROHMAN</t>
  </si>
  <si>
    <t>0101279849</t>
  </si>
  <si>
    <t>MUHAMMAD FADHIL RAMADHAN</t>
  </si>
  <si>
    <t>0096830364</t>
  </si>
  <si>
    <t>NAJWA INAYATUL MAULA DINI</t>
  </si>
  <si>
    <t>0105387997</t>
  </si>
  <si>
    <t>NAJWA MEIESA PUTRI</t>
  </si>
  <si>
    <t>0102886576</t>
  </si>
  <si>
    <t>NAYSILA QUEENZA PRASETYA PUTRI</t>
  </si>
  <si>
    <t>0108377941</t>
  </si>
  <si>
    <t>NURUL JIHAN</t>
  </si>
  <si>
    <t>3090093475</t>
  </si>
  <si>
    <t>RAHMA DIKA DWI FITRIYAN</t>
  </si>
  <si>
    <t>3100804240</t>
  </si>
  <si>
    <t>REINSHAVIRA PUTRI FEBRIANA</t>
  </si>
  <si>
    <t>0091451900</t>
  </si>
  <si>
    <t>RIZUKI OKTAVIA RULIYANTI</t>
  </si>
  <si>
    <t>0099356459</t>
  </si>
  <si>
    <t>RUDI FIRMAN SETIAWAN</t>
  </si>
  <si>
    <t>0106768393</t>
  </si>
  <si>
    <t>SALSABILA LUBNA AZHARIA</t>
  </si>
  <si>
    <t>3104255353</t>
  </si>
  <si>
    <t>SESI CHANTIKA SARI</t>
  </si>
  <si>
    <t>0098813833</t>
  </si>
  <si>
    <t>SHODIQ ABDILLAH</t>
  </si>
  <si>
    <t>0098291809</t>
  </si>
  <si>
    <t>SITI ROKAYAH</t>
  </si>
  <si>
    <t>0092369416</t>
  </si>
  <si>
    <t>SYARIF NABIL PRASETYA</t>
  </si>
  <si>
    <t>0092635218</t>
  </si>
  <si>
    <t>TEUKU FARRAS HAIDAR JAMIL</t>
  </si>
  <si>
    <t>3103176302</t>
  </si>
  <si>
    <t>ZAYNIQ ZAYDANI ROSYIDIN</t>
  </si>
  <si>
    <t>0107242782</t>
  </si>
  <si>
    <t>ACHMAD ADIB PRAMANA</t>
  </si>
  <si>
    <t>X LB</t>
  </si>
  <si>
    <t>Shobirin, S.Pd</t>
  </si>
  <si>
    <t>19941003 2023211006</t>
  </si>
  <si>
    <t>0092299172</t>
  </si>
  <si>
    <t>ADESTA RISKIANO</t>
  </si>
  <si>
    <t>3094535235</t>
  </si>
  <si>
    <t>AMANDA PUSPITA ANGGRAINI</t>
  </si>
  <si>
    <t>0092008916</t>
  </si>
  <si>
    <t>ANGGA ADI PRATAMA</t>
  </si>
  <si>
    <t>3108037247</t>
  </si>
  <si>
    <t>ANISA DWI MARLINA</t>
  </si>
  <si>
    <t>3100425951</t>
  </si>
  <si>
    <t>APRILINDA  AULIA  TRIAJI</t>
  </si>
  <si>
    <t>0087702868</t>
  </si>
  <si>
    <t>AURELIO BIMA VIRGIAWAN</t>
  </si>
  <si>
    <t>0098330229</t>
  </si>
  <si>
    <t>CHALILA PUTRI AULIA</t>
  </si>
  <si>
    <t>0092800078</t>
  </si>
  <si>
    <t>DANY NUR CRESTANTO</t>
  </si>
  <si>
    <t>3098480394</t>
  </si>
  <si>
    <t>DIAN SAFIRA</t>
  </si>
  <si>
    <t>0094360599</t>
  </si>
  <si>
    <t>EXZEL APRIANZAH MAULANA MALIQ</t>
  </si>
  <si>
    <t>0108111065</t>
  </si>
  <si>
    <t>FAJRYASARI</t>
  </si>
  <si>
    <t>3101007771</t>
  </si>
  <si>
    <t>FAVIAN SYAH ALAM ALEM OMAR</t>
  </si>
  <si>
    <t>0104016549</t>
  </si>
  <si>
    <t>FEBRINA DWI PUTRI AZZAHRA</t>
  </si>
  <si>
    <t>0094521733</t>
  </si>
  <si>
    <t>HAFIDH AFFAN WIJAYA</t>
  </si>
  <si>
    <t>0104193430</t>
  </si>
  <si>
    <t>HAIDAR ABBAD PANGESTU</t>
  </si>
  <si>
    <t>0098533365</t>
  </si>
  <si>
    <t>HARIZ RAMADHAN</t>
  </si>
  <si>
    <t>3102449054</t>
  </si>
  <si>
    <t>IKA KARNIA AZIZAH</t>
  </si>
  <si>
    <t>0096264900</t>
  </si>
  <si>
    <t>ISNAICHA AULIA GITAWATI</t>
  </si>
  <si>
    <t>3102804770</t>
  </si>
  <si>
    <t>MEIZISTA DIAN ALIFIA</t>
  </si>
  <si>
    <t>0105731941</t>
  </si>
  <si>
    <t>MIA MUSSAFFA</t>
  </si>
  <si>
    <t>0099994391</t>
  </si>
  <si>
    <t>MUHAMMAD ABDULLAH FANANNY</t>
  </si>
  <si>
    <t>0107022709</t>
  </si>
  <si>
    <t>MUHAMMAD AUFA BAARIQ</t>
  </si>
  <si>
    <t>0103698409</t>
  </si>
  <si>
    <t>MUHAMMAD GHAFFARA DZIKRI RAHMAN</t>
  </si>
  <si>
    <t>3106394124</t>
  </si>
  <si>
    <t>MUHAMMAD IN'AM FAIRUZ ZAYYAN</t>
  </si>
  <si>
    <t>0091158453</t>
  </si>
  <si>
    <t>MUHAMMAD RIZKY ADITYA</t>
  </si>
  <si>
    <t>3094238804</t>
  </si>
  <si>
    <t>MUNTALIFAH ASIH</t>
  </si>
  <si>
    <t>0091958642</t>
  </si>
  <si>
    <t>NABILA AZAHRA KAREPU</t>
  </si>
  <si>
    <t>3097419995</t>
  </si>
  <si>
    <t>QONITA KHOIRUN NASHIHAH</t>
  </si>
  <si>
    <t>3100730247</t>
  </si>
  <si>
    <t>REINA FIDA MIFTAHANI</t>
  </si>
  <si>
    <t>0106974141</t>
  </si>
  <si>
    <t>REVANI MARSELINA PUTRI</t>
  </si>
  <si>
    <t>0096223789</t>
  </si>
  <si>
    <t>SEPTIAN FITRIANINGRUM</t>
  </si>
  <si>
    <t>3100304703</t>
  </si>
  <si>
    <t>SILA  WIDI  ASTUTI</t>
  </si>
  <si>
    <t>0091130178</t>
  </si>
  <si>
    <t>SUCI LUTHFIATUL ZAHRA</t>
  </si>
  <si>
    <t>0099409271</t>
  </si>
  <si>
    <t>SYFA ARNIA ZULIYANA</t>
  </si>
  <si>
    <t>3090625507</t>
  </si>
  <si>
    <t>ZULFANI AZKA NOVIANDI</t>
  </si>
  <si>
    <t>0095104944</t>
  </si>
  <si>
    <t>AIRA PUTRI HUSNA NAFILA</t>
  </si>
  <si>
    <t>X LC</t>
  </si>
  <si>
    <t>Abdul Azis, S.Pd</t>
  </si>
  <si>
    <t>198906272024211018</t>
  </si>
  <si>
    <t>0108441989</t>
  </si>
  <si>
    <t>ALIFIA HALIMATUS SA'DIYAH</t>
  </si>
  <si>
    <t>3107209361</t>
  </si>
  <si>
    <t>ALLISYAH MAYDINNA PUTRI</t>
  </si>
  <si>
    <t>0099430475</t>
  </si>
  <si>
    <t>AMELIA UZLIFATUL JANNAH</t>
  </si>
  <si>
    <t>0097665983</t>
  </si>
  <si>
    <t>ANDINA SUKMA DEWI</t>
  </si>
  <si>
    <t>0097682555</t>
  </si>
  <si>
    <t>ANNISA MIFTAKHUL JANNAH</t>
  </si>
  <si>
    <t>0094348811</t>
  </si>
  <si>
    <t>AN-NISSA THREEHAPSARI</t>
  </si>
  <si>
    <t>0092815728</t>
  </si>
  <si>
    <t>AQIL ARKAN IBRAHIM</t>
  </si>
  <si>
    <t>3105008711</t>
  </si>
  <si>
    <t>ATHAYA NURRA ADELIA HARUMI</t>
  </si>
  <si>
    <t>0098044724</t>
  </si>
  <si>
    <t>EGIAN CANDRA DINATA</t>
  </si>
  <si>
    <t>3098965312</t>
  </si>
  <si>
    <t>EKA ENISTIA PUTRI</t>
  </si>
  <si>
    <t>0096772494</t>
  </si>
  <si>
    <t>FAKHRIAZKA SAKTIAWAN</t>
  </si>
  <si>
    <t>0109938625</t>
  </si>
  <si>
    <t>FARID ARYA SUSENO</t>
  </si>
  <si>
    <t>0092736835</t>
  </si>
  <si>
    <t>FARREL ALAUDDIN AL GIBRAN</t>
  </si>
  <si>
    <t>0105701349</t>
  </si>
  <si>
    <t>FEBRIAN NUGROHO</t>
  </si>
  <si>
    <t>0097167513</t>
  </si>
  <si>
    <t>FENO OKTO WIDIANTO</t>
  </si>
  <si>
    <t>0094958503</t>
  </si>
  <si>
    <t>HARKA ADAYA ASLA</t>
  </si>
  <si>
    <t>0102722295</t>
  </si>
  <si>
    <t>IBRAM EDITIA LAKSANA</t>
  </si>
  <si>
    <t>0096614335</t>
  </si>
  <si>
    <t>ILHAM ROZZAQI MUGHNI</t>
  </si>
  <si>
    <t>0098883125</t>
  </si>
  <si>
    <t>JULIA PUTRI LARASWATI</t>
  </si>
  <si>
    <t>3101101429</t>
  </si>
  <si>
    <t>KURNIA SARI</t>
  </si>
  <si>
    <t>0109634148</t>
  </si>
  <si>
    <t>LUTFI IKHSAN MAULANA</t>
  </si>
  <si>
    <t>0109533776</t>
  </si>
  <si>
    <t>MAHAYUDIN AHMAD</t>
  </si>
  <si>
    <t>3094993126</t>
  </si>
  <si>
    <t>MIRZA NADA KARUNIA</t>
  </si>
  <si>
    <t>3092690098</t>
  </si>
  <si>
    <t>MUHAMMAD CHOIRUL HUDA</t>
  </si>
  <si>
    <t>0109144961</t>
  </si>
  <si>
    <t>MUHAMMAD RANDY ZAKARIA</t>
  </si>
  <si>
    <t>0093023632</t>
  </si>
  <si>
    <t>MUTIARA JULIANA CHANDRA</t>
  </si>
  <si>
    <t>3096379160</t>
  </si>
  <si>
    <t>NAKEISHA EKA PUSPITASARI</t>
  </si>
  <si>
    <t>0108358328</t>
  </si>
  <si>
    <t>NATA ATMA ALKAUTSAR</t>
  </si>
  <si>
    <t>0094896135</t>
  </si>
  <si>
    <t>NIMAS AYU WARDANI</t>
  </si>
  <si>
    <t>0109421943</t>
  </si>
  <si>
    <t>NOVIA ADELIA PUTRI</t>
  </si>
  <si>
    <t>0094201077</t>
  </si>
  <si>
    <t>QURROTU AINI</t>
  </si>
  <si>
    <t>0097914150</t>
  </si>
  <si>
    <t>RADITYA AKBAR PRASETYA</t>
  </si>
  <si>
    <t>0099765104</t>
  </si>
  <si>
    <t>SYIFA KARMATIL AZIZAH</t>
  </si>
  <si>
    <t>0096970848</t>
  </si>
  <si>
    <t>YUDA MAHENDRA</t>
  </si>
  <si>
    <t>3105549897</t>
  </si>
  <si>
    <t>ZAZKIA APRILLIA NINGRUM</t>
  </si>
  <si>
    <t>0084131293</t>
  </si>
  <si>
    <t>ADI PUTRA PAMUNGKAS</t>
  </si>
  <si>
    <t>X LD</t>
  </si>
  <si>
    <t>Toto Riptono, S.Pd.Kor</t>
  </si>
  <si>
    <t>198703072023211008</t>
  </si>
  <si>
    <t>PKS</t>
  </si>
  <si>
    <t>0101543096</t>
  </si>
  <si>
    <t>AFRICILIA DWI ANINDITA</t>
  </si>
  <si>
    <t>0086844788</t>
  </si>
  <si>
    <t>AKHMAD HIDAYATURROHMAN</t>
  </si>
  <si>
    <t>0094176026</t>
  </si>
  <si>
    <t>ARFALIO MALEY PUTRA</t>
  </si>
  <si>
    <t>0097305168</t>
  </si>
  <si>
    <t>AULIA DINDA AZZAHRA</t>
  </si>
  <si>
    <t>0099091992</t>
  </si>
  <si>
    <t>CHARISMA LAILATUL ZIQRI</t>
  </si>
  <si>
    <t>0101775581</t>
  </si>
  <si>
    <t>DANUARTA DWY SAPUTRA</t>
  </si>
  <si>
    <t>0092649657</t>
  </si>
  <si>
    <t>DEFLOW NOVSI SELIA</t>
  </si>
  <si>
    <t>0102931980</t>
  </si>
  <si>
    <t>DIMAS TEGAR</t>
  </si>
  <si>
    <t>0092829748</t>
  </si>
  <si>
    <t>EDWIN MUHAMAD REYHAN</t>
  </si>
  <si>
    <t>0096833081</t>
  </si>
  <si>
    <t>GILANG FADHILLAH PUTERA</t>
  </si>
  <si>
    <t>0106141817</t>
  </si>
  <si>
    <t>HAFIZ ZAMORANO</t>
  </si>
  <si>
    <t>0099672529</t>
  </si>
  <si>
    <t>HERLIAN AJI TAMA</t>
  </si>
  <si>
    <t>0092704159</t>
  </si>
  <si>
    <t>KEYSA AIRA RADIKA PUTRI</t>
  </si>
  <si>
    <t>0077290412</t>
  </si>
  <si>
    <t>MUHAMMAD ALTHAAF NIBRAAS</t>
  </si>
  <si>
    <t>0099794271</t>
  </si>
  <si>
    <t>MUHAMMAD ARFEN MAULANA</t>
  </si>
  <si>
    <t>3090202016</t>
  </si>
  <si>
    <t>MUHAMMAD CHOIRUL HUDA KEPRIYANTORO</t>
  </si>
  <si>
    <t>0102426003</t>
  </si>
  <si>
    <t>MUHAMMAD RAFFA FEBRIAN</t>
  </si>
  <si>
    <t>0103165606</t>
  </si>
  <si>
    <t>MUHAMMAD RIZKY ADITAMA</t>
  </si>
  <si>
    <t>0093746888</t>
  </si>
  <si>
    <t>NAJWA BILQIS RAMADHANI</t>
  </si>
  <si>
    <t>0099092531</t>
  </si>
  <si>
    <t>OCTAVIA NAYLATUL KHUSNA</t>
  </si>
  <si>
    <t>0097867778</t>
  </si>
  <si>
    <t>RAIHAN YAZID HABIBI</t>
  </si>
  <si>
    <t>0096997405</t>
  </si>
  <si>
    <t>RANDY AULIA PUTRA PRATAMA</t>
  </si>
  <si>
    <t>0095377948</t>
  </si>
  <si>
    <t>RANGGA FAHZARI PUTERA</t>
  </si>
  <si>
    <t>0102974823</t>
  </si>
  <si>
    <t>RASYA PUTRA AMANDA</t>
  </si>
  <si>
    <t>0099844937</t>
  </si>
  <si>
    <t>REFANO BILAL ALFARIDZI</t>
  </si>
  <si>
    <t>0096879804</t>
  </si>
  <si>
    <t>REGI AMBAR PRIYAMBODO</t>
  </si>
  <si>
    <t>0091853053</t>
  </si>
  <si>
    <t>RESTU DIAH PRATIWI</t>
  </si>
  <si>
    <t>0094979182</t>
  </si>
  <si>
    <t>SATRIO RAHMADHANI</t>
  </si>
  <si>
    <t>0095081505</t>
  </si>
  <si>
    <t>SITI AZIZAH ALTHAFUNNISA</t>
  </si>
  <si>
    <t>0085494545</t>
  </si>
  <si>
    <t>SYAFIRA MAHIRA DESTIANA</t>
  </si>
  <si>
    <t>0105169625</t>
  </si>
  <si>
    <t>SYIFA AJENG KINANTI</t>
  </si>
  <si>
    <t>3083476651</t>
  </si>
  <si>
    <t>TAFA MISBAHUDIN</t>
  </si>
  <si>
    <t>0106173302</t>
  </si>
  <si>
    <t>YANUAR TEGAR PRASETYO</t>
  </si>
  <si>
    <t>0099219534</t>
  </si>
  <si>
    <t>YUNITA RAHMAWATI</t>
  </si>
  <si>
    <t>0097609236</t>
  </si>
  <si>
    <t>ZAHRA MILLADIYA PUTRI</t>
  </si>
  <si>
    <t>alatukur</t>
  </si>
  <si>
    <t>cat alatukur</t>
  </si>
  <si>
    <t>kdke</t>
  </si>
  <si>
    <t>cat kdke</t>
  </si>
  <si>
    <t>0096021478</t>
  </si>
  <si>
    <t>ADHISA MAILAHANA KAMILA</t>
  </si>
  <si>
    <t>X EA</t>
  </si>
  <si>
    <t>Teknik Elektronika</t>
  </si>
  <si>
    <t>Heri Setiyanto, S.Pd.</t>
  </si>
  <si>
    <t>197705312022211003</t>
  </si>
  <si>
    <t>0094193076</t>
  </si>
  <si>
    <t>ADINDA NUR FITRI</t>
  </si>
  <si>
    <t xml:space="preserve">ENGLISH CLUB </t>
  </si>
  <si>
    <t>0099366477</t>
  </si>
  <si>
    <t>ADVICE KHALIFAH AKBAR I ZAIN</t>
  </si>
  <si>
    <t>0094331121</t>
  </si>
  <si>
    <t>ANANDA SHAFWAN FAIRUZ SETIAWAN</t>
  </si>
  <si>
    <t>ATHALLAH PUTRA SETYOBUDI</t>
  </si>
  <si>
    <t>SYUBBANUL MUSTOFA</t>
  </si>
  <si>
    <t>0102312743</t>
  </si>
  <si>
    <t>AUFILANA BAROKAH</t>
  </si>
  <si>
    <t>3090807336</t>
  </si>
  <si>
    <t>CARISSA TABINA</t>
  </si>
  <si>
    <t>0096751926</t>
  </si>
  <si>
    <t>CARISSA WIDYADANA VEDA</t>
  </si>
  <si>
    <t>0099210035</t>
  </si>
  <si>
    <t>DAFFA MIRZA AKMA SAKHI</t>
  </si>
  <si>
    <t>DAMAR SUTA AJI PURWITO</t>
  </si>
  <si>
    <t>0103957214</t>
  </si>
  <si>
    <t>DANANJOYO BELASAPUTRA</t>
  </si>
  <si>
    <t>0101735126</t>
  </si>
  <si>
    <t>DANU YUNIA PRATAMA</t>
  </si>
  <si>
    <t>0098892346</t>
  </si>
  <si>
    <t>FADHIL SAPUTRA</t>
  </si>
  <si>
    <t>0104020576</t>
  </si>
  <si>
    <t>FEBRISKA AYU ANGGRAINI</t>
  </si>
  <si>
    <t>0092827596</t>
  </si>
  <si>
    <t>FITRA YUDHA SAPUTRA</t>
  </si>
  <si>
    <t>0093920138</t>
  </si>
  <si>
    <t>GAVRA ARIELLA DANENDRA</t>
  </si>
  <si>
    <t>0102710267</t>
  </si>
  <si>
    <t>KINAR RULLI ANGGRAINI</t>
  </si>
  <si>
    <t>0092787030</t>
  </si>
  <si>
    <t>MAHESA ADI RANGGA</t>
  </si>
  <si>
    <t>3105310815</t>
  </si>
  <si>
    <t>MAISHILA ZAHRA MULYANTI</t>
  </si>
  <si>
    <t>0097707496</t>
  </si>
  <si>
    <t>MIFTAKHUL JANNAH</t>
  </si>
  <si>
    <t>0093875709</t>
  </si>
  <si>
    <t>MIRZA IRHAB NABIL</t>
  </si>
  <si>
    <t>3101808891</t>
  </si>
  <si>
    <t>MUHAMMAD WILDAN WAL IHROOM</t>
  </si>
  <si>
    <t>0091475119</t>
  </si>
  <si>
    <t>NAF'AN IMAM HAIKAL</t>
  </si>
  <si>
    <t>0106766045</t>
  </si>
  <si>
    <t>NAURA SALMA RIHADATUL AISYA</t>
  </si>
  <si>
    <t>0111065567</t>
  </si>
  <si>
    <t>NIZAM PUTRA RIYANTO</t>
  </si>
  <si>
    <t>0097236371</t>
  </si>
  <si>
    <t>PAVIAN TEGAR RAMADHAN</t>
  </si>
  <si>
    <t>0106667424</t>
  </si>
  <si>
    <t>PUTRI LAILI FARICA MAULIDIA</t>
  </si>
  <si>
    <t>0096544575</t>
  </si>
  <si>
    <t>QOREENA NIRWA ADHIMATUL HIMMAH</t>
  </si>
  <si>
    <t>0095859321</t>
  </si>
  <si>
    <t>RAFKA ABDA RAMADHAN</t>
  </si>
  <si>
    <t>0097319519</t>
  </si>
  <si>
    <t>RIFKY PUTRA PRATAMA</t>
  </si>
  <si>
    <t>0101517368</t>
  </si>
  <si>
    <t>ROYKHAN BAYU ARDANA</t>
  </si>
  <si>
    <t>0108982613</t>
  </si>
  <si>
    <t>RUSLI NURZAQI HAQ</t>
  </si>
  <si>
    <t>3098400568</t>
  </si>
  <si>
    <t>SALMA KHOIROTUN NASWA</t>
  </si>
  <si>
    <t>3105341131</t>
  </si>
  <si>
    <t>SYIFA ZAKIYUL FIKRI</t>
  </si>
  <si>
    <t>0099580853</t>
  </si>
  <si>
    <t>ZAHRA FARCHA NABILA</t>
  </si>
  <si>
    <t>0093768788</t>
  </si>
  <si>
    <t>ADAM SATRIO ADHI</t>
  </si>
  <si>
    <t>X EB</t>
  </si>
  <si>
    <t>Drs. Hadi Agus Sulistyono, M.Si</t>
  </si>
  <si>
    <t>19660927 2005011003</t>
  </si>
  <si>
    <t>0097331452</t>
  </si>
  <si>
    <t>AGUSTINO HASTO WIBISONO</t>
  </si>
  <si>
    <t>0091784494</t>
  </si>
  <si>
    <t>AHMAD NAUFAL ARIFUDIN</t>
  </si>
  <si>
    <t>0094652887</t>
  </si>
  <si>
    <t>AMELIA ALTAF FADIA</t>
  </si>
  <si>
    <t>3103630369</t>
  </si>
  <si>
    <t>ANANDA RACHUL BARIZQI</t>
  </si>
  <si>
    <t>0086291683</t>
  </si>
  <si>
    <t>ASFI MUWAFIQUL HUDA</t>
  </si>
  <si>
    <t>0107206066</t>
  </si>
  <si>
    <t>AZKA AMMAR MAULANA</t>
  </si>
  <si>
    <t>0094960341</t>
  </si>
  <si>
    <t>BANATUS SOLICHAH</t>
  </si>
  <si>
    <t>0093506063</t>
  </si>
  <si>
    <t>CALLISTA PUTRI RAMADHANI</t>
  </si>
  <si>
    <t>0082259318</t>
  </si>
  <si>
    <t>CENNA ANORD SIWI</t>
  </si>
  <si>
    <t>0099517366</t>
  </si>
  <si>
    <t>DIMAS ARDIYANSYAH</t>
  </si>
  <si>
    <t>0106646236</t>
  </si>
  <si>
    <t>DITA DWI ANGGRAENI</t>
  </si>
  <si>
    <t>3104809955</t>
  </si>
  <si>
    <t>ELSA AULIA FEBRI</t>
  </si>
  <si>
    <t>0101436756</t>
  </si>
  <si>
    <t>FIKA DINI ISTIANTI</t>
  </si>
  <si>
    <t>0095967623</t>
  </si>
  <si>
    <t>GLEN HAPIRULA JONAS PRATAMA</t>
  </si>
  <si>
    <t>0092318889</t>
  </si>
  <si>
    <t>HANA AULIA RAMADANTI</t>
  </si>
  <si>
    <t>0095886363</t>
  </si>
  <si>
    <t>KAMILATUN NASIFAH</t>
  </si>
  <si>
    <t>0103481910</t>
  </si>
  <si>
    <t>KHALIYA LAILALMUNA KHAIRA</t>
  </si>
  <si>
    <t>3080895120</t>
  </si>
  <si>
    <t>KHUZNUL ARRUM KHAZZANAH</t>
  </si>
  <si>
    <t>0103901707</t>
  </si>
  <si>
    <t>KURNIA ADI SIWI</t>
  </si>
  <si>
    <t>0097428378</t>
  </si>
  <si>
    <t>MUCHAMMAD ARKAN ALVA NI'AM</t>
  </si>
  <si>
    <t>0098472998</t>
  </si>
  <si>
    <t>MUHAMMAD AFFIN PRATAMA SINAGA</t>
  </si>
  <si>
    <t>3098547441</t>
  </si>
  <si>
    <t>MUHAMMAD ALVIAN KURNIAWAN</t>
  </si>
  <si>
    <t>3109686535</t>
  </si>
  <si>
    <t>MUHAMMAD FAIZUL IHSAN</t>
  </si>
  <si>
    <t>0095097899</t>
  </si>
  <si>
    <t>MUHAMMAD IQBAL</t>
  </si>
  <si>
    <t>3091572219</t>
  </si>
  <si>
    <t>NADIN RIZKI UTAMI</t>
  </si>
  <si>
    <t>0109940623</t>
  </si>
  <si>
    <t>NADZIFA SEKAR FAUZIA</t>
  </si>
  <si>
    <t>0093291043</t>
  </si>
  <si>
    <t>NATHAN DAYA ISLAMI</t>
  </si>
  <si>
    <t>0094516289</t>
  </si>
  <si>
    <t>NIKO RADITHYA HAPTSI</t>
  </si>
  <si>
    <t>0098261238</t>
  </si>
  <si>
    <t>RAJWAA FARRAS PRASETY</t>
  </si>
  <si>
    <t>3098491025</t>
  </si>
  <si>
    <t>RHEISANT NUR HABIBIE</t>
  </si>
  <si>
    <t>0097586269</t>
  </si>
  <si>
    <t>SAFFA ZAHRA SHITA</t>
  </si>
  <si>
    <t>3090484169</t>
  </si>
  <si>
    <t>SYAFAATUL MASYITOH NURRIKHA</t>
  </si>
  <si>
    <t>0096376050</t>
  </si>
  <si>
    <t>ZAHRA NADZIFA PUTRI WARDAYA</t>
  </si>
  <si>
    <t>0094157036</t>
  </si>
  <si>
    <t>ABDUL FATAHILLAH RAMADHAN</t>
  </si>
  <si>
    <t>X EC</t>
  </si>
  <si>
    <t>Arina Manasika, S.Kom</t>
  </si>
  <si>
    <t>19880203 2022212013</t>
  </si>
  <si>
    <t>0102389918</t>
  </si>
  <si>
    <t>ALIFIA CAHYA LARASATI</t>
  </si>
  <si>
    <t>0099860357</t>
  </si>
  <si>
    <t>ANGGA DWI CAKSONO</t>
  </si>
  <si>
    <t>0106768785</t>
  </si>
  <si>
    <t>ARIF BUDIMAN</t>
  </si>
  <si>
    <t>0099343829</t>
  </si>
  <si>
    <t>ATHAILLAH FIRAS ABDUSSYAHID</t>
  </si>
  <si>
    <t>0096663397</t>
  </si>
  <si>
    <t>CITRA AURYNNIA ROSSALIE</t>
  </si>
  <si>
    <t>0091557575</t>
  </si>
  <si>
    <t>DHIMAS REVAN MAULANA</t>
  </si>
  <si>
    <t>0101116356</t>
  </si>
  <si>
    <t>DIAN AYU SULISTIANINGRUM</t>
  </si>
  <si>
    <t>0098463277</t>
  </si>
  <si>
    <t>ECHA OKTAVIANY</t>
  </si>
  <si>
    <t>0097466585</t>
  </si>
  <si>
    <t>EKA BAYU SANTOSO JATI</t>
  </si>
  <si>
    <t>3097378585</t>
  </si>
  <si>
    <t>EKA WIDYA ASTUTI</t>
  </si>
  <si>
    <t>0094341678</t>
  </si>
  <si>
    <t>FEDERICO ZAHRUL MACHEDA</t>
  </si>
  <si>
    <t>0097565671</t>
  </si>
  <si>
    <t>HAFIZ SYARIF PRATAMA</t>
  </si>
  <si>
    <t>0101815779</t>
  </si>
  <si>
    <t>INJIT SETIA SARI</t>
  </si>
  <si>
    <t>3093463019</t>
  </si>
  <si>
    <t>JONANTA BARA ABDI KUSUMA</t>
  </si>
  <si>
    <t>0101512491</t>
  </si>
  <si>
    <t>KHOIRUNISA SAFARA</t>
  </si>
  <si>
    <t>0091769135</t>
  </si>
  <si>
    <t>LISNA DWI NURAENI</t>
  </si>
  <si>
    <t>0107089237</t>
  </si>
  <si>
    <t>MAGISTRA AHZA JAVANESHYA</t>
  </si>
  <si>
    <t>0091046982</t>
  </si>
  <si>
    <t>MEGA NUR AZZURA</t>
  </si>
  <si>
    <t>0091739457</t>
  </si>
  <si>
    <t>MOCHAMAD ALVARO ATTALA</t>
  </si>
  <si>
    <t>0097052440</t>
  </si>
  <si>
    <t>MUHAMMAD AGUS SAID</t>
  </si>
  <si>
    <t>0098251736</t>
  </si>
  <si>
    <t>MUHAMMAD FAZA RIFKI</t>
  </si>
  <si>
    <t>0091171314</t>
  </si>
  <si>
    <t>MUHAMMAD IMAM SAFI'I</t>
  </si>
  <si>
    <t>3092747020</t>
  </si>
  <si>
    <t>MUHAMMAD TIJJANI ALKHADAFI</t>
  </si>
  <si>
    <t>0162012441</t>
  </si>
  <si>
    <t>NABILA VATIHATUNISA SALSABILA</t>
  </si>
  <si>
    <t>0093855186</t>
  </si>
  <si>
    <t>NABILA ZAHROTUL HUSNA</t>
  </si>
  <si>
    <t>0092710168</t>
  </si>
  <si>
    <t>OKTAFIONA LUCKY ANGGRAENI</t>
  </si>
  <si>
    <t>0093871273</t>
  </si>
  <si>
    <t>RIZAL DWI PRASETYO</t>
  </si>
  <si>
    <t>0095953903</t>
  </si>
  <si>
    <t>SASY RAMADHANI PUTRI WIDYASTI</t>
  </si>
  <si>
    <t>0105548392</t>
  </si>
  <si>
    <t>SATRIO CANDRA PRATOMO</t>
  </si>
  <si>
    <t>0095577910</t>
  </si>
  <si>
    <t>SEKAR MULYANTO PUTRI</t>
  </si>
  <si>
    <t>0092977985</t>
  </si>
  <si>
    <t>SELA MARLINA KUSUMAWARDANI</t>
  </si>
  <si>
    <t>0097289938</t>
  </si>
  <si>
    <t>SITI SHOFIYATUN</t>
  </si>
  <si>
    <t>0094442076</t>
  </si>
  <si>
    <t>SYAHRUL NOVIAN ARDIYANTO</t>
  </si>
  <si>
    <t>0107233895</t>
  </si>
  <si>
    <t>YOGA FIRANDIKA SUSILO</t>
  </si>
  <si>
    <t>0095299366</t>
  </si>
  <si>
    <t>ZAHRA AULIA DWI AGUSTINA</t>
  </si>
  <si>
    <t>BISNIS</t>
  </si>
  <si>
    <t>Cat BISNIS</t>
  </si>
  <si>
    <t>PERTEK</t>
  </si>
  <si>
    <t>Cat PERTEK</t>
  </si>
  <si>
    <t>KWU</t>
  </si>
  <si>
    <t>CAT KWU</t>
  </si>
  <si>
    <t>DSAR-DASAR</t>
  </si>
  <si>
    <t>CAT AI</t>
  </si>
  <si>
    <t>tkjdkv</t>
  </si>
  <si>
    <t>esjul</t>
  </si>
  <si>
    <t>3096025206</t>
  </si>
  <si>
    <t>ACHMAD SENDI PRATAMA</t>
  </si>
  <si>
    <t>X TKJ A</t>
  </si>
  <si>
    <t>Teknik Jaringan Komputer dan Telekomunikasi</t>
  </si>
  <si>
    <t>Zakalina Natalia Puspitasari, S. Pd</t>
  </si>
  <si>
    <t>198412282025212018</t>
  </si>
  <si>
    <t>3105341009</t>
  </si>
  <si>
    <t>AL LISA AMBAR WAHYUNI</t>
  </si>
  <si>
    <t>0096747424</t>
  </si>
  <si>
    <t>ALIZA NURUL JANNAH</t>
  </si>
  <si>
    <t>3098927523</t>
  </si>
  <si>
    <t>AMANDA AYUNI RAHMAWATI</t>
  </si>
  <si>
    <t>3101045932</t>
  </si>
  <si>
    <t>ANDHINI MAULIDA</t>
  </si>
  <si>
    <t>0097360169</t>
  </si>
  <si>
    <t>ARIN ADELIA FREDELLA ULANI</t>
  </si>
  <si>
    <t>0099179629</t>
  </si>
  <si>
    <t>ATSABITA CHOIRUNNISA</t>
  </si>
  <si>
    <t>0096977467</t>
  </si>
  <si>
    <t>BAGUS RADITYA FAIZ PRATAMA</t>
  </si>
  <si>
    <t>3099429622</t>
  </si>
  <si>
    <t>BELLA OCTAVIA CHOIRUNNISA</t>
  </si>
  <si>
    <t>0102830611</t>
  </si>
  <si>
    <t>BULAN PANJANSEL RAMADHANI</t>
  </si>
  <si>
    <t>0091480826</t>
  </si>
  <si>
    <t>DINA FARIKAH CAHYANI</t>
  </si>
  <si>
    <t>0102798185</t>
  </si>
  <si>
    <t>EFFELIA RAYA ARIFTI</t>
  </si>
  <si>
    <t>0097594968</t>
  </si>
  <si>
    <t>EMA LISTIARINI</t>
  </si>
  <si>
    <t>0109230351</t>
  </si>
  <si>
    <t>FAHRI AGFIE RAFANDI</t>
  </si>
  <si>
    <t>0108196170</t>
  </si>
  <si>
    <t>FARADILA AMELIA PUTRI</t>
  </si>
  <si>
    <t>3095267742</t>
  </si>
  <si>
    <t>GALUH NURANI SATYA ASFARINA</t>
  </si>
  <si>
    <t>0105397831</t>
  </si>
  <si>
    <t>HANUM MAULIDA KHABIBAH ANWAR</t>
  </si>
  <si>
    <t>0093391601</t>
  </si>
  <si>
    <t>HASNA ARIFA</t>
  </si>
  <si>
    <t>0091776437</t>
  </si>
  <si>
    <t>MUHAMMAD AGUNG RAMADHAN</t>
  </si>
  <si>
    <t>0097598958</t>
  </si>
  <si>
    <t>MUHAMMAD LUCKY HERYUNA PURWANSYAH</t>
  </si>
  <si>
    <t>3091750375</t>
  </si>
  <si>
    <t>MUHAMMAD TSABITA AQDAM</t>
  </si>
  <si>
    <t>0088018644</t>
  </si>
  <si>
    <t>MUHAMMAD YOSI AGUNG LAKSONO</t>
  </si>
  <si>
    <t>3109983415</t>
  </si>
  <si>
    <t>NAJWA AULIA</t>
  </si>
  <si>
    <t>0093460627</t>
  </si>
  <si>
    <t>NAUFAL MIZA MAZAYA</t>
  </si>
  <si>
    <t>0095326427</t>
  </si>
  <si>
    <t>OCHA NIKITA MAYO</t>
  </si>
  <si>
    <t>3099813747</t>
  </si>
  <si>
    <t>PANJI YULIANTO</t>
  </si>
  <si>
    <t>0102276612</t>
  </si>
  <si>
    <t>QEYSHA AULIANNESHA</t>
  </si>
  <si>
    <t>0094923120</t>
  </si>
  <si>
    <t>RAGA IDHAM PURWA APTA</t>
  </si>
  <si>
    <t>0109435153</t>
  </si>
  <si>
    <t>RAMADHANI ZILDJIAN IBANEZ</t>
  </si>
  <si>
    <t>0083721101</t>
  </si>
  <si>
    <t>REGAN ADIKARA KRISTYAWAN</t>
  </si>
  <si>
    <t>0105384907</t>
  </si>
  <si>
    <t>SIHABUDIN ANNAISABURY</t>
  </si>
  <si>
    <t>0092712170</t>
  </si>
  <si>
    <t>SYIVA AULIA MAULANI</t>
  </si>
  <si>
    <t>0091850524</t>
  </si>
  <si>
    <t>VANESHA PUTRI AMALIA</t>
  </si>
  <si>
    <t>3100311877</t>
  </si>
  <si>
    <t>VINZA FERMASYA PUTRI</t>
  </si>
  <si>
    <t>3107380307</t>
  </si>
  <si>
    <t>VIVI KRISTIANA SILVI</t>
  </si>
  <si>
    <t>0096395618</t>
  </si>
  <si>
    <t>YUSUF RESTU FILA ATMAJA</t>
  </si>
  <si>
    <t>0094215369</t>
  </si>
  <si>
    <t>ADITYA RIFKI TRI HERDIANSAH</t>
  </si>
  <si>
    <t>X TKJ B</t>
  </si>
  <si>
    <t>Sri Puji Hastuti, SST, M.Si</t>
  </si>
  <si>
    <t>196708231992032004</t>
  </si>
  <si>
    <t>3095718475</t>
  </si>
  <si>
    <t>AFIQA DIAN SHOLIKHA</t>
  </si>
  <si>
    <t>0092648160</t>
  </si>
  <si>
    <t>AFTAR ADETITHA KURNIYANTO</t>
  </si>
  <si>
    <t>0104797238</t>
  </si>
  <si>
    <t>AGATHA MARVELLA ORLIN</t>
  </si>
  <si>
    <t>0092767801</t>
  </si>
  <si>
    <t>AMALIA VARA NURFAIZAH</t>
  </si>
  <si>
    <t>3097949975</t>
  </si>
  <si>
    <t>AQILA DIAN SHOLIKHA</t>
  </si>
  <si>
    <t>0096470968</t>
  </si>
  <si>
    <t>AQILA NUR AZIZAH</t>
  </si>
  <si>
    <t>0098358188</t>
  </si>
  <si>
    <t>AURELLY CITRA KIRANI PUTRI</t>
  </si>
  <si>
    <t>0096435158</t>
  </si>
  <si>
    <t>AYU DHANTY DWI RAHMAWATI</t>
  </si>
  <si>
    <t>0098310447</t>
  </si>
  <si>
    <t>DAFFA SYAHPUTRA SYAFIQ HIDAYAT</t>
  </si>
  <si>
    <t>3104581100</t>
  </si>
  <si>
    <t>DINDA FARISA AKHIRIATUL PUTRI</t>
  </si>
  <si>
    <t>0091152809</t>
  </si>
  <si>
    <t>FAHRI PRIHANGGORO</t>
  </si>
  <si>
    <t>0103541519</t>
  </si>
  <si>
    <t>FARIKHAH ISMAINI</t>
  </si>
  <si>
    <t>0092288497</t>
  </si>
  <si>
    <t>FINA SEPTIASARI</t>
  </si>
  <si>
    <t>0103252984</t>
  </si>
  <si>
    <t>GERY IBRAHIM AFNAN</t>
  </si>
  <si>
    <t>3092665421</t>
  </si>
  <si>
    <t>HAIDAR ZAKI AZAM</t>
  </si>
  <si>
    <t>0102711195</t>
  </si>
  <si>
    <t>IMAM AHMAD ASHIDIQI</t>
  </si>
  <si>
    <t>0095202523</t>
  </si>
  <si>
    <t>IMANDA AQILA RIZKI</t>
  </si>
  <si>
    <t>0101146237</t>
  </si>
  <si>
    <t>JEMMIMA WIKAN WURSITASARI</t>
  </si>
  <si>
    <t>3095710051</t>
  </si>
  <si>
    <t>KAISA ARAMINTA SYAHARANI</t>
  </si>
  <si>
    <t>0092542416</t>
  </si>
  <si>
    <t>KARISTA PRISTANTI</t>
  </si>
  <si>
    <t>0098451363</t>
  </si>
  <si>
    <t>KIRANA PUJA WULANDARI</t>
  </si>
  <si>
    <t>0099008234</t>
  </si>
  <si>
    <t>LINTANG ARYAJATI</t>
  </si>
  <si>
    <t>0102689253</t>
  </si>
  <si>
    <t>MUHAMMAD NASHRIEL ILHAM GHODZALI</t>
  </si>
  <si>
    <t>0094563177</t>
  </si>
  <si>
    <t>NADINIA AULIA WARDANI</t>
  </si>
  <si>
    <t>0098372731</t>
  </si>
  <si>
    <t>NAFIZA SHOFATUL AIDA NURSAFITRI</t>
  </si>
  <si>
    <t>0094808100</t>
  </si>
  <si>
    <t>RISVIANA ATINA MUDZAKAROH</t>
  </si>
  <si>
    <t>0087380461</t>
  </si>
  <si>
    <t>ROSKHAN ANWAR</t>
  </si>
  <si>
    <t>0092925421</t>
  </si>
  <si>
    <t>SHAFA NAJIBATU AISYAH</t>
  </si>
  <si>
    <t>0101662690</t>
  </si>
  <si>
    <t>SUCI MARSHA PUTRI SAFIRA</t>
  </si>
  <si>
    <t>0095628768</t>
  </si>
  <si>
    <t>TIARA NUR AINI</t>
  </si>
  <si>
    <t>0095474108</t>
  </si>
  <si>
    <t>USWATUN KHASANAH</t>
  </si>
  <si>
    <t>3096365083</t>
  </si>
  <si>
    <t>YUNITA NUR KHASANAH</t>
  </si>
  <si>
    <t>0109421213</t>
  </si>
  <si>
    <t>ZAHRA OCTHAVIANA</t>
  </si>
  <si>
    <t>3097118286</t>
  </si>
  <si>
    <t>ZAIDAN FARRAS HIBATULLAH</t>
  </si>
  <si>
    <t>0091056948</t>
  </si>
  <si>
    <t>ZAKI ARYA KHOIRUL AZZAM</t>
  </si>
  <si>
    <t>typo</t>
  </si>
  <si>
    <t>cat typo</t>
  </si>
  <si>
    <t>cat komgraf</t>
  </si>
  <si>
    <t xml:space="preserve">MAPEL PILIHAN </t>
  </si>
  <si>
    <t>dkvtkj</t>
  </si>
  <si>
    <t>0097164423</t>
  </si>
  <si>
    <t>ADINA RAHMA LARASATI</t>
  </si>
  <si>
    <t>X DKV A</t>
  </si>
  <si>
    <t>Desain Komunikasi Visual</t>
  </si>
  <si>
    <t>Inayati Makrifah, S.Pd</t>
  </si>
  <si>
    <t>199507282022212014</t>
  </si>
  <si>
    <t>0098552524</t>
  </si>
  <si>
    <t>ADNAN FAIRUZ ARDANDI</t>
  </si>
  <si>
    <t>0096900766</t>
  </si>
  <si>
    <t>AISYAH AULIA ALLIFA</t>
  </si>
  <si>
    <t>0099404887</t>
  </si>
  <si>
    <t>ALFA SYABAS AL BAIHAQI</t>
  </si>
  <si>
    <t>0099755101</t>
  </si>
  <si>
    <t>ALFIAN SAPUTRA</t>
  </si>
  <si>
    <t>0094106174</t>
  </si>
  <si>
    <t>ALFRIANO PUTRA CEZARIANO</t>
  </si>
  <si>
    <t>0109925028</t>
  </si>
  <si>
    <t>ANDREA AXCELLYN SANDRA</t>
  </si>
  <si>
    <t>0094465496</t>
  </si>
  <si>
    <t>ATHAYA ZABRINA KURNIA PUTRI</t>
  </si>
  <si>
    <t>3102013616</t>
  </si>
  <si>
    <t>AYU NUR SARIFAH</t>
  </si>
  <si>
    <t>3090430603</t>
  </si>
  <si>
    <t>BA'I RISFATULLOH</t>
  </si>
  <si>
    <t>0108367183</t>
  </si>
  <si>
    <t>CALLYSA PURI INDRAWATI</t>
  </si>
  <si>
    <t>0092454149</t>
  </si>
  <si>
    <t>DANISH ARFA RAMADHAN</t>
  </si>
  <si>
    <t>0109532842</t>
  </si>
  <si>
    <t>DAVINA AYUNDA HANIFAH</t>
  </si>
  <si>
    <t>0094565376</t>
  </si>
  <si>
    <t>DENNYS ARTETA PRAMUDYA</t>
  </si>
  <si>
    <t>0092766691</t>
  </si>
  <si>
    <t>DLOEFAH KARIMATUL UMMAH</t>
  </si>
  <si>
    <t>0097587764</t>
  </si>
  <si>
    <t>FILZA NOYA SASYFA</t>
  </si>
  <si>
    <t>0104766833</t>
  </si>
  <si>
    <t>GABRIELLA KIRANA DEVMARLEY YUVANDIRANI</t>
  </si>
  <si>
    <t>0104054346</t>
  </si>
  <si>
    <t>INEKE INTAN NURAINI</t>
  </si>
  <si>
    <t>0098683279</t>
  </si>
  <si>
    <t>IVANA LOLA NOVIANI</t>
  </si>
  <si>
    <t>0093155983</t>
  </si>
  <si>
    <t>KALISA AULIA TSAQIF</t>
  </si>
  <si>
    <t>0098762825</t>
  </si>
  <si>
    <t>KASIH ALAIKA DWI YULIATI</t>
  </si>
  <si>
    <t>0099093492</t>
  </si>
  <si>
    <t>KAYKO ARVA SAPUTRA</t>
  </si>
  <si>
    <t>0092597502</t>
  </si>
  <si>
    <t>LARASATI DWI ASTUTI</t>
  </si>
  <si>
    <t>0093322720</t>
  </si>
  <si>
    <t>MARIO FIRMANSYAH</t>
  </si>
  <si>
    <t>0094096358</t>
  </si>
  <si>
    <t>MEISYA AZZAHRA PUTRI</t>
  </si>
  <si>
    <t>0099141629</t>
  </si>
  <si>
    <t>MUHAMMAD LUTFI ADITIYA</t>
  </si>
  <si>
    <t>0091199390</t>
  </si>
  <si>
    <t>MUHAMMAD SATYA ANDY PURNOMO</t>
  </si>
  <si>
    <t>0094212361</t>
  </si>
  <si>
    <t>OLIVIA INDITA HARDIANTI</t>
  </si>
  <si>
    <t>0094622707</t>
  </si>
  <si>
    <t>RADITYA PUTRA PURBAYU</t>
  </si>
  <si>
    <t>0109575311</t>
  </si>
  <si>
    <t>RIFDA AFIYA HASNA</t>
  </si>
  <si>
    <t>3106360069</t>
  </si>
  <si>
    <t>RIKA AYU MAULIYA SARI</t>
  </si>
  <si>
    <t>0109707080</t>
  </si>
  <si>
    <t>RIZKY SALITSATI</t>
  </si>
  <si>
    <t>0108911633</t>
  </si>
  <si>
    <t>SHEILLA ATWA AMANDA</t>
  </si>
  <si>
    <t>0105431037</t>
  </si>
  <si>
    <t>SITI LABIIBAH</t>
  </si>
  <si>
    <t>0101271840</t>
  </si>
  <si>
    <t>YULFA AIDA AQILLA</t>
  </si>
  <si>
    <t>0107770076</t>
  </si>
  <si>
    <t>ZASKIA PRAMUDYTA</t>
  </si>
  <si>
    <t>0098425534</t>
  </si>
  <si>
    <t>ADHE BAYU ANGGORO</t>
  </si>
  <si>
    <t>X DKV B</t>
  </si>
  <si>
    <t>Dwi Ikarti, S.Pd., M.Si</t>
  </si>
  <si>
    <t>197712112005012005</t>
  </si>
  <si>
    <t>0097105396</t>
  </si>
  <si>
    <t>AIRA JASMIN PUTRI MADINA</t>
  </si>
  <si>
    <t>0101632663</t>
  </si>
  <si>
    <t>AISYAH NAJWA SHAFITRI</t>
  </si>
  <si>
    <t>0099003047</t>
  </si>
  <si>
    <t>ANISATUL ALIYA AZ ZAHRA</t>
  </si>
  <si>
    <t>0099805860</t>
  </si>
  <si>
    <t>ANJELITA KIRANAMELYA</t>
  </si>
  <si>
    <t>3090759683</t>
  </si>
  <si>
    <t>ARIF HIDAYATULLOH</t>
  </si>
  <si>
    <t>0107594297</t>
  </si>
  <si>
    <t>DAMITA FARICHA NAJWA</t>
  </si>
  <si>
    <t>0101338477</t>
  </si>
  <si>
    <t>DANIA DWI FARADILA</t>
  </si>
  <si>
    <t>0103137225</t>
  </si>
  <si>
    <t>DIMAS BAYU SAPUTRA</t>
  </si>
  <si>
    <t>0087924701</t>
  </si>
  <si>
    <t>DYAH PRAMUDITA SEKAR WIJAYANTI</t>
  </si>
  <si>
    <t>0101705311</t>
  </si>
  <si>
    <t>EVELLYNE SURYA VANESSA TAKAMATSU</t>
  </si>
  <si>
    <t>0101415816</t>
  </si>
  <si>
    <t>FAIRUZ AURELIA SANGGITA</t>
  </si>
  <si>
    <t>0094361219</t>
  </si>
  <si>
    <t>HANIF RIZQI NURARI HUDA</t>
  </si>
  <si>
    <t>0095707729</t>
  </si>
  <si>
    <t>INDRI GUSTINA</t>
  </si>
  <si>
    <t>0105863629</t>
  </si>
  <si>
    <t>IRCHAM MAULANA AKBAR</t>
  </si>
  <si>
    <t>0107249563</t>
  </si>
  <si>
    <t>IVA PUTRI MAULIDA</t>
  </si>
  <si>
    <t>0093735642</t>
  </si>
  <si>
    <t>JAUZA ADZKIA PUTRI SUGIHARTOKO</t>
  </si>
  <si>
    <t>0107798590</t>
  </si>
  <si>
    <t>KAYLA NAJWA PRAMUDIANA</t>
  </si>
  <si>
    <t>0092300109</t>
  </si>
  <si>
    <t>KHALIEF ARSYA ALFITRAH</t>
  </si>
  <si>
    <t>0109134752</t>
  </si>
  <si>
    <t>MELISA AMANDHITA</t>
  </si>
  <si>
    <t>3098204847</t>
  </si>
  <si>
    <t>MUHAMAD FAUJI MUKAROM</t>
  </si>
  <si>
    <t>0105269140</t>
  </si>
  <si>
    <t>MUHAMMAD WILDAN ALANA WAFI</t>
  </si>
  <si>
    <t>0104823539</t>
  </si>
  <si>
    <t>NABILA CHOIRUN NISA</t>
  </si>
  <si>
    <t>0093124537</t>
  </si>
  <si>
    <t>NADIVA ARTHA ZAHRA</t>
  </si>
  <si>
    <t>0107703927</t>
  </si>
  <si>
    <t>NAMIRA MAULIDINA</t>
  </si>
  <si>
    <t>0108447408</t>
  </si>
  <si>
    <t>NATOMI MAURA MAHARANI</t>
  </si>
  <si>
    <t>0101945876</t>
  </si>
  <si>
    <t>NISMA WIKANDARI</t>
  </si>
  <si>
    <t>3090482889</t>
  </si>
  <si>
    <t>RICKA AYU ANDJANI</t>
  </si>
  <si>
    <t>0106690998</t>
  </si>
  <si>
    <t>RIFANY NUR KHOLIFAH</t>
  </si>
  <si>
    <t>0101607343</t>
  </si>
  <si>
    <t>RIZQI YUDHA PRATAMA</t>
  </si>
  <si>
    <t>0102885141</t>
  </si>
  <si>
    <t>SYAFA YOERLYVIA</t>
  </si>
  <si>
    <t>0098137619</t>
  </si>
  <si>
    <t>SYIFA NAJMA AULIA</t>
  </si>
  <si>
    <t>0085289924</t>
  </si>
  <si>
    <t>SYIFA NUR KHOLISNA</t>
  </si>
  <si>
    <t>0104583545</t>
  </si>
  <si>
    <t>YA'QUB NARESA AL FARIZI</t>
  </si>
  <si>
    <t>0103922173</t>
  </si>
  <si>
    <t>ZALFA NABILA AL FIANISA</t>
  </si>
  <si>
    <t>3095628086</t>
  </si>
  <si>
    <t>ZASKIA RISKI FIRMANSYAH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</si>
</sst>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45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vertical="center"/>
    </xf>
    <xf numFmtId="1" fontId="0" fillId="0" borderId="2" xfId="0" applyNumberFormat="1" applyFill="1" applyBorder="1" applyAlignment="1">
      <alignment vertical="center"/>
    </xf>
    <xf numFmtId="49" fontId="0" fillId="0" borderId="2" xfId="0" applyNumberFormat="1" applyFill="1" applyBorder="1" applyAlignment="1">
      <alignment horizontal="center" vertical="center"/>
    </xf>
    <xf numFmtId="49" fontId="0" fillId="0" borderId="2" xfId="0" applyNumberFormat="1" applyFill="1" applyBorder="1" applyAlignment="1">
      <alignment vertical="center"/>
    </xf>
    <xf numFmtId="0" fontId="0" fillId="0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left" vertical="center"/>
    </xf>
    <xf numFmtId="1" fontId="0" fillId="3" borderId="3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horizontal="left" vertical="center"/>
    </xf>
    <xf numFmtId="0" fontId="0" fillId="0" borderId="2" xfId="0" quotePrefix="1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4" xfId="0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0" fillId="4" borderId="4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vertical="center"/>
    </xf>
    <xf numFmtId="0" fontId="0" fillId="4" borderId="2" xfId="0" applyFill="1" applyBorder="1" applyAlignment="1">
      <alignment vertical="center"/>
    </xf>
    <xf numFmtId="1" fontId="0" fillId="4" borderId="2" xfId="0" applyNumberFormat="1" applyFill="1" applyBorder="1" applyAlignment="1">
      <alignment vertical="center"/>
    </xf>
    <xf numFmtId="49" fontId="0" fillId="4" borderId="2" xfId="0" applyNumberFormat="1" applyFill="1" applyBorder="1" applyAlignment="1">
      <alignment horizontal="center" vertical="center"/>
    </xf>
    <xf numFmtId="49" fontId="0" fillId="4" borderId="2" xfId="0" applyNumberFormat="1" applyFill="1" applyBorder="1" applyAlignment="1">
      <alignment vertical="center"/>
    </xf>
    <xf numFmtId="0" fontId="0" fillId="4" borderId="3" xfId="0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0" fillId="4" borderId="4" xfId="0" applyFill="1" applyBorder="1" applyAlignment="1">
      <alignment horizontal="left" vertical="center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5" xfId="0" applyFill="1" applyBorder="1" applyAlignment="1">
      <alignment vertical="center"/>
    </xf>
    <xf numFmtId="0" fontId="0" fillId="0" borderId="6" xfId="0" applyFill="1" applyBorder="1" applyAlignment="1">
      <alignment vertical="center"/>
    </xf>
    <xf numFmtId="1" fontId="0" fillId="0" borderId="6" xfId="0" applyNumberFormat="1" applyFill="1" applyBorder="1" applyAlignment="1">
      <alignment vertical="center"/>
    </xf>
    <xf numFmtId="49" fontId="0" fillId="0" borderId="6" xfId="0" applyNumberFormat="1" applyFill="1" applyBorder="1" applyAlignment="1">
      <alignment horizontal="center" vertical="center"/>
    </xf>
    <xf numFmtId="49" fontId="0" fillId="0" borderId="5" xfId="0" applyNumberFormat="1" applyFill="1" applyBorder="1" applyAlignment="1">
      <alignment vertical="center"/>
    </xf>
    <xf numFmtId="0" fontId="0" fillId="3" borderId="7" xfId="0" applyFill="1" applyBorder="1" applyAlignment="1">
      <alignment horizontal="left" vertical="center"/>
    </xf>
    <xf numFmtId="0" fontId="0" fillId="0" borderId="5" xfId="0" applyFill="1" applyBorder="1" applyAlignment="1">
      <alignment horizontal="left" vertical="center"/>
    </xf>
    <xf numFmtId="0" fontId="0" fillId="0" borderId="5" xfId="0" quotePrefix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" fontId="0" fillId="4" borderId="2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6" xfId="0" applyFill="1" applyBorder="1" applyAlignment="1">
      <alignment horizontal="left" vertical="center"/>
    </xf>
    <xf numFmtId="0" fontId="0" fillId="4" borderId="6" xfId="0" applyFill="1" applyBorder="1" applyAlignment="1">
      <alignment horizontal="center" vertical="center"/>
    </xf>
    <xf numFmtId="1" fontId="0" fillId="0" borderId="2" xfId="0" applyNumberFormat="1" applyFill="1" applyBorder="1" applyAlignment="1">
      <alignment horizontal="center" vertical="center"/>
    </xf>
    <xf numFmtId="49" fontId="0" fillId="0" borderId="4" xfId="0" applyNumberFormat="1" applyFill="1" applyBorder="1" applyAlignment="1">
      <alignment horizontal="center" vertical="center"/>
    </xf>
    <xf numFmtId="49" fontId="0" fillId="0" borderId="4" xfId="0" applyNumberFormat="1" applyFill="1" applyBorder="1" applyAlignment="1">
      <alignment vertical="center"/>
    </xf>
    <xf numFmtId="1" fontId="0" fillId="0" borderId="4" xfId="0" applyNumberFormat="1" applyFill="1" applyBorder="1" applyAlignment="1">
      <alignment horizontal="center" vertical="center"/>
    </xf>
    <xf numFmtId="49" fontId="0" fillId="0" borderId="5" xfId="0" applyNumberForma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left" vertical="center"/>
    </xf>
    <xf numFmtId="49" fontId="4" fillId="0" borderId="2" xfId="0" applyNumberFormat="1" applyFont="1" applyFill="1" applyBorder="1" applyAlignment="1">
      <alignment horizontal="center" vertical="center"/>
    </xf>
    <xf numFmtId="49" fontId="4" fillId="0" borderId="2" xfId="0" applyNumberFormat="1" applyFont="1" applyFill="1" applyBorder="1" applyAlignment="1">
      <alignment vertical="center"/>
    </xf>
    <xf numFmtId="1" fontId="4" fillId="0" borderId="2" xfId="0" applyNumberFormat="1" applyFont="1" applyFill="1" applyBorder="1" applyAlignment="1">
      <alignment horizontal="center" vertical="center"/>
    </xf>
    <xf numFmtId="0" fontId="4" fillId="0" borderId="2" xfId="0" quotePrefix="1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left" vertical="center"/>
    </xf>
    <xf numFmtId="49" fontId="4" fillId="0" borderId="4" xfId="0" applyNumberFormat="1" applyFont="1" applyFill="1" applyBorder="1" applyAlignment="1">
      <alignment horizontal="center" vertical="center"/>
    </xf>
    <xf numFmtId="49" fontId="4" fillId="0" borderId="4" xfId="0" applyNumberFormat="1" applyFont="1" applyFill="1" applyBorder="1" applyAlignment="1">
      <alignment vertical="center"/>
    </xf>
    <xf numFmtId="0" fontId="4" fillId="0" borderId="4" xfId="0" quotePrefix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4" fillId="5" borderId="0" xfId="0" applyFont="1" applyFill="1" applyAlignment="1">
      <alignment vertical="center"/>
    </xf>
    <xf numFmtId="0" fontId="4" fillId="5" borderId="0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4" borderId="0" xfId="0" applyFont="1" applyFill="1" applyAlignment="1">
      <alignment vertical="center"/>
    </xf>
    <xf numFmtId="0" fontId="4" fillId="4" borderId="0" xfId="0" applyFont="1" applyFill="1" applyAlignment="1">
      <alignment horizontal="center" vertical="center"/>
    </xf>
    <xf numFmtId="0" fontId="4" fillId="6" borderId="0" xfId="0" applyFont="1" applyFill="1" applyAlignment="1">
      <alignment vertical="center"/>
    </xf>
    <xf numFmtId="0" fontId="4" fillId="6" borderId="0" xfId="0" applyFont="1" applyFill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left" vertical="center"/>
    </xf>
    <xf numFmtId="49" fontId="4" fillId="0" borderId="5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vertical="center"/>
    </xf>
    <xf numFmtId="0" fontId="4" fillId="0" borderId="5" xfId="0" quotePrefix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6" xfId="0" applyFont="1" applyFill="1" applyBorder="1" applyAlignment="1">
      <alignment vertical="center"/>
    </xf>
    <xf numFmtId="1" fontId="4" fillId="0" borderId="6" xfId="0" applyNumberFormat="1" applyFont="1" applyFill="1" applyBorder="1" applyAlignment="1">
      <alignment vertical="center"/>
    </xf>
    <xf numFmtId="49" fontId="4" fillId="0" borderId="6" xfId="0" applyNumberFormat="1" applyFont="1" applyFill="1" applyBorder="1" applyAlignment="1">
      <alignment horizontal="center" vertical="center"/>
    </xf>
    <xf numFmtId="49" fontId="4" fillId="0" borderId="6" xfId="0" applyNumberFormat="1" applyFont="1" applyFill="1" applyBorder="1" applyAlignment="1">
      <alignment vertical="center"/>
    </xf>
    <xf numFmtId="0" fontId="4" fillId="0" borderId="0" xfId="0" applyFont="1" applyFill="1" applyAlignment="1">
      <alignment horizontal="left"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quotePrefix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2" fontId="0" fillId="0" borderId="0" xfId="0" applyNumberFormat="1" applyFill="1" applyAlignment="1">
      <alignment horizontal="center" vertical="center"/>
    </xf>
    <xf numFmtId="49" fontId="0" fillId="0" borderId="3" xfId="0" applyNumberFormat="1" applyFill="1" applyBorder="1" applyAlignment="1">
      <alignment horizontal="center" vertical="center"/>
    </xf>
    <xf numFmtId="49" fontId="0" fillId="0" borderId="3" xfId="0" applyNumberFormat="1" applyFill="1" applyBorder="1" applyAlignment="1">
      <alignment vertical="center"/>
    </xf>
    <xf numFmtId="1" fontId="0" fillId="0" borderId="3" xfId="0" applyNumberFormat="1" applyFill="1" applyBorder="1" applyAlignment="1">
      <alignment horizontal="center" vertical="center"/>
    </xf>
    <xf numFmtId="0" fontId="0" fillId="0" borderId="3" xfId="0" quotePrefix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left" vertical="center"/>
    </xf>
    <xf numFmtId="49" fontId="0" fillId="6" borderId="4" xfId="0" applyNumberFormat="1" applyFill="1" applyBorder="1" applyAlignment="1">
      <alignment horizontal="center" vertical="center"/>
    </xf>
    <xf numFmtId="49" fontId="0" fillId="6" borderId="4" xfId="0" applyNumberFormat="1" applyFill="1" applyBorder="1" applyAlignment="1">
      <alignment vertical="center"/>
    </xf>
    <xf numFmtId="1" fontId="0" fillId="6" borderId="3" xfId="0" applyNumberFormat="1" applyFill="1" applyBorder="1" applyAlignment="1">
      <alignment horizontal="center" vertical="center"/>
    </xf>
    <xf numFmtId="0" fontId="0" fillId="6" borderId="4" xfId="0" quotePrefix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2" xfId="0" applyFill="1" applyBorder="1" applyAlignment="1">
      <alignment horizontal="left" vertical="center"/>
    </xf>
    <xf numFmtId="0" fontId="0" fillId="6" borderId="3" xfId="0" applyFill="1" applyBorder="1" applyAlignment="1">
      <alignment horizontal="left" vertical="center"/>
    </xf>
    <xf numFmtId="0" fontId="0" fillId="6" borderId="0" xfId="0" applyFill="1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9" xfId="0" applyFill="1" applyBorder="1" applyAlignment="1">
      <alignment horizontal="left" vertical="center"/>
    </xf>
    <xf numFmtId="0" fontId="0" fillId="0" borderId="2" xfId="0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/>
    </xf>
    <xf numFmtId="0" fontId="0" fillId="0" borderId="4" xfId="0" applyFill="1" applyBorder="1" applyAlignment="1">
      <alignment vertical="center" wrapText="1"/>
    </xf>
    <xf numFmtId="0" fontId="0" fillId="0" borderId="5" xfId="0" applyFill="1" applyBorder="1" applyAlignment="1">
      <alignment horizontal="left" vertical="center" wrapText="1"/>
    </xf>
    <xf numFmtId="0" fontId="0" fillId="0" borderId="5" xfId="0" applyFill="1" applyBorder="1" applyAlignment="1">
      <alignment vertical="center" wrapText="1"/>
    </xf>
    <xf numFmtId="1" fontId="0" fillId="0" borderId="5" xfId="0" applyNumberFormat="1" applyFill="1" applyBorder="1" applyAlignment="1">
      <alignment horizontal="center" vertical="center"/>
    </xf>
    <xf numFmtId="0" fontId="6" fillId="0" borderId="4" xfId="0" quotePrefix="1" applyFont="1" applyFill="1" applyBorder="1" applyAlignment="1">
      <alignment horizontal="center" vertical="center"/>
    </xf>
    <xf numFmtId="0" fontId="6" fillId="0" borderId="4" xfId="0" quotePrefix="1" applyFont="1" applyFill="1" applyBorder="1" applyAlignment="1">
      <alignment horizontal="left" vertical="center"/>
    </xf>
    <xf numFmtId="0" fontId="6" fillId="0" borderId="5" xfId="0" quotePrefix="1" applyFont="1" applyFill="1" applyBorder="1" applyAlignment="1">
      <alignment horizontal="center" vertical="center"/>
    </xf>
    <xf numFmtId="0" fontId="6" fillId="0" borderId="5" xfId="0" quotePrefix="1" applyFont="1" applyFill="1" applyBorder="1" applyAlignment="1">
      <alignment horizontal="left" vertical="center"/>
    </xf>
  </cellXfs>
  <cellStyles count="1">
    <cellStyle name="Normal" xfId="0" builtinId="0"/>
  </cellStyles>
  <dxfs count="1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ENGAJARAN\PKS%202526\RAPOR%202526\RAPOR%20KELAS%20X\1.%20TKP\1.%20Merger%20T%20KP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ENGAJARAN\PKS%202526\RAPOR%202526\RAPOR%20KELAS%20X\2.%20DPIB\2.%20Merger%20DPIB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ENGAJARAN\PKS%202526\RAPOR%202526\RAPOR%20KELAS%20X\4.%20OTO\4.%20Merger%20OTOMOTIF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ENGAJARAN\PKS%202526\RAPOR%202526\RAPOR%20KELAS%20X\8.%20TKJ\8.%20Merger%20TKJ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jil 1"/>
      <sheetName val="ganjil 1 (2)"/>
      <sheetName val="P5 X 2324"/>
      <sheetName val="REKAP NILAI 1-5"/>
      <sheetName val="genap 2"/>
      <sheetName val="P5 KELAS X"/>
    </sheetNames>
    <sheetDataSet>
      <sheetData sheetId="0">
        <row r="3">
          <cell r="BR3">
            <v>0</v>
          </cell>
          <cell r="BS3" t="str">
            <v>Perlu peningkatan dalam hal</v>
          </cell>
          <cell r="BU3" t="str">
            <v>A</v>
          </cell>
          <cell r="BV3" t="str">
            <v>Sangat baik</v>
          </cell>
        </row>
        <row r="4">
          <cell r="BR4">
            <v>60</v>
          </cell>
          <cell r="BS4" t="str">
            <v>Perlu peningkatan dalam hal</v>
          </cell>
          <cell r="BU4" t="str">
            <v>B</v>
          </cell>
          <cell r="BV4" t="str">
            <v>Baik</v>
          </cell>
        </row>
        <row r="5">
          <cell r="BR5">
            <v>70</v>
          </cell>
          <cell r="BS5" t="str">
            <v>Perlu peningkatan dalam hal</v>
          </cell>
          <cell r="BU5" t="str">
            <v>C</v>
          </cell>
          <cell r="BV5" t="str">
            <v>Cukup</v>
          </cell>
        </row>
        <row r="6">
          <cell r="BR6">
            <v>75</v>
          </cell>
          <cell r="BS6" t="str">
            <v>Mencapai kompetensi dengan baik dalam hal</v>
          </cell>
          <cell r="BU6" t="str">
            <v>D</v>
          </cell>
          <cell r="BV6" t="str">
            <v>Kurang</v>
          </cell>
        </row>
        <row r="7">
          <cell r="BR7">
            <v>80</v>
          </cell>
          <cell r="BS7" t="str">
            <v>Mencapai kompetensi dengan baik dalam hal</v>
          </cell>
        </row>
        <row r="8">
          <cell r="BR8">
            <v>85</v>
          </cell>
          <cell r="BS8" t="str">
            <v>Mencapai kompetensi dengan baik dalam hal</v>
          </cell>
        </row>
        <row r="9">
          <cell r="BR9">
            <v>90</v>
          </cell>
          <cell r="BS9" t="str">
            <v>Mencapai kompetensi dengan sangat baik dalam hal</v>
          </cell>
        </row>
        <row r="10">
          <cell r="BR10">
            <v>95</v>
          </cell>
          <cell r="BS10" t="str">
            <v>Mencapai kompetensi dengan sangat baik dalam hal</v>
          </cell>
        </row>
        <row r="11">
          <cell r="BR11">
            <v>100</v>
          </cell>
          <cell r="BS11" t="str">
            <v>Mencapai kompetensi dengan sangat baik dalam hal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jil 1"/>
      <sheetName val="ganjil 1 (2)"/>
      <sheetName val="genap 2"/>
      <sheetName val="P5 X 2324"/>
      <sheetName val="genap 22 (2)"/>
      <sheetName val="KELAS X P5"/>
    </sheetNames>
    <sheetDataSet>
      <sheetData sheetId="0">
        <row r="3">
          <cell r="BS3" t="str">
            <v>A</v>
          </cell>
          <cell r="BT3" t="str">
            <v>Sangat baik</v>
          </cell>
        </row>
        <row r="4">
          <cell r="BS4" t="str">
            <v>B</v>
          </cell>
          <cell r="BT4" t="str">
            <v>Baik</v>
          </cell>
        </row>
        <row r="5">
          <cell r="BS5" t="str">
            <v>C</v>
          </cell>
          <cell r="BT5" t="str">
            <v>Cukup</v>
          </cell>
        </row>
        <row r="6">
          <cell r="BS6" t="str">
            <v>D</v>
          </cell>
          <cell r="BT6" t="str">
            <v>Kurang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jil 1"/>
      <sheetName val="ganjil 1 (2)"/>
      <sheetName val="P5 X 2324"/>
      <sheetName val="P5 X 2324 (2)"/>
      <sheetName val="ganjil 122222"/>
      <sheetName val="genap 2"/>
      <sheetName val="gasal 3"/>
      <sheetName val="P5 KELAS X"/>
    </sheetNames>
    <sheetDataSet>
      <sheetData sheetId="0">
        <row r="3">
          <cell r="BP3" t="str">
            <v>A</v>
          </cell>
          <cell r="BQ3" t="str">
            <v>Sangat baik</v>
          </cell>
        </row>
        <row r="4">
          <cell r="BP4" t="str">
            <v>B</v>
          </cell>
          <cell r="BQ4" t="str">
            <v>Baik</v>
          </cell>
        </row>
        <row r="5">
          <cell r="BP5" t="str">
            <v>C</v>
          </cell>
          <cell r="BQ5" t="str">
            <v>Cukup</v>
          </cell>
        </row>
        <row r="6">
          <cell r="BP6" t="str">
            <v>D</v>
          </cell>
          <cell r="BQ6" t="str">
            <v>Kurang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jil 1"/>
      <sheetName val="ganjil 1 (2)"/>
      <sheetName val="P5 X 2324"/>
      <sheetName val="P5 X 2324 (2)"/>
      <sheetName val="genap 2"/>
      <sheetName val="P5 KELAS X"/>
      <sheetName val="ganjil 3"/>
    </sheetNames>
    <sheetDataSet>
      <sheetData sheetId="0">
        <row r="3">
          <cell r="BP3">
            <v>0</v>
          </cell>
          <cell r="BQ3" t="str">
            <v>Perlu peningkatan dalam hal</v>
          </cell>
        </row>
        <row r="4">
          <cell r="BP4">
            <v>60</v>
          </cell>
          <cell r="BQ4" t="str">
            <v>Perlu peningkatan dalam hal</v>
          </cell>
        </row>
        <row r="5">
          <cell r="BP5">
            <v>70</v>
          </cell>
          <cell r="BQ5" t="str">
            <v>Perlu peningkatan dalam hal</v>
          </cell>
        </row>
        <row r="6">
          <cell r="BP6">
            <v>78</v>
          </cell>
          <cell r="BQ6" t="str">
            <v>Mencapai kompetensi dengan baik dalam hal</v>
          </cell>
        </row>
        <row r="7">
          <cell r="BP7">
            <v>80</v>
          </cell>
          <cell r="BQ7" t="str">
            <v>Mencapai kompetensi dengan baik dalam hal</v>
          </cell>
        </row>
        <row r="8">
          <cell r="BP8">
            <v>85</v>
          </cell>
          <cell r="BQ8" t="str">
            <v>Mencapai kompetensi dengan baik dalam hal</v>
          </cell>
        </row>
        <row r="9">
          <cell r="BP9">
            <v>90</v>
          </cell>
          <cell r="BQ9" t="str">
            <v>Mencapai kompetensi dengan sangat baik dalam hal</v>
          </cell>
        </row>
        <row r="10">
          <cell r="BP10">
            <v>95</v>
          </cell>
          <cell r="BQ10" t="str">
            <v>Mencapai kompetensi dengan sangat baik dalam hal</v>
          </cell>
        </row>
        <row r="11">
          <cell r="BP11">
            <v>100</v>
          </cell>
          <cell r="BQ11" t="str">
            <v>Mencapai kompetensi dengan sangat baik dalam hal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37"/>
  <sheetViews>
    <sheetView zoomScale="80" zoomScaleNormal="80" workbookViewId="0">
      <pane xSplit="10" ySplit="1" topLeftCell="M2" activePane="bottomRight" state="frozen"/>
      <selection pane="topRight" activeCell="K1" sqref="K1"/>
      <selection pane="bottomLeft" activeCell="A2" sqref="A2"/>
      <selection pane="bottomRight" activeCell="G14" sqref="G14"/>
    </sheetView>
  </sheetViews>
  <sheetFormatPr defaultColWidth="9.140625" defaultRowHeight="15" x14ac:dyDescent="0.25"/>
  <cols>
    <col min="1" max="1" width="3.5703125" style="22" bestFit="1" customWidth="1"/>
    <col min="2" max="2" width="12" style="22" customWidth="1"/>
    <col min="3" max="3" width="11.28515625" style="22" customWidth="1"/>
    <col min="4" max="4" width="40.7109375" style="19" customWidth="1"/>
    <col min="5" max="5" width="9.140625" style="22" customWidth="1"/>
    <col min="6" max="6" width="35.140625" style="22" customWidth="1"/>
    <col min="7" max="7" width="28.140625" style="19" customWidth="1"/>
    <col min="8" max="8" width="25.85546875" style="19" customWidth="1"/>
    <col min="9" max="9" width="8.140625" style="22" customWidth="1"/>
    <col min="10" max="10" width="10.7109375" style="19" customWidth="1"/>
    <col min="11" max="12" width="10.7109375" style="19" hidden="1" customWidth="1"/>
    <col min="13" max="13" width="9.140625" style="22"/>
    <col min="14" max="14" width="36.85546875" style="48" hidden="1" customWidth="1"/>
    <col min="15" max="15" width="9.140625" style="22"/>
    <col min="16" max="16" width="28" style="48" hidden="1" customWidth="1"/>
    <col min="17" max="17" width="9.140625" style="22"/>
    <col min="18" max="18" width="28" style="48" hidden="1" customWidth="1"/>
    <col min="19" max="19" width="9.140625" style="22"/>
    <col min="20" max="20" width="28" style="48" hidden="1" customWidth="1"/>
    <col min="21" max="21" width="9.140625" style="22"/>
    <col min="22" max="22" width="28" style="48" hidden="1" customWidth="1"/>
    <col min="23" max="23" width="9.140625" style="22"/>
    <col min="24" max="24" width="28" style="48" hidden="1" customWidth="1"/>
    <col min="25" max="25" width="9.140625" style="22"/>
    <col min="26" max="26" width="28" style="48" hidden="1" customWidth="1"/>
    <col min="27" max="27" width="9.140625" style="22"/>
    <col min="28" max="28" width="28" style="48" hidden="1" customWidth="1"/>
    <col min="29" max="29" width="9.140625" style="22"/>
    <col min="30" max="30" width="28" style="48" hidden="1" customWidth="1"/>
    <col min="31" max="31" width="9.140625" style="22"/>
    <col min="32" max="32" width="28" style="48" hidden="1" customWidth="1"/>
    <col min="33" max="33" width="0" style="22" hidden="1" customWidth="1"/>
    <col min="34" max="34" width="28" style="48" hidden="1" customWidth="1"/>
    <col min="35" max="35" width="0" style="22" hidden="1" customWidth="1"/>
    <col min="36" max="36" width="28" style="48" hidden="1" customWidth="1"/>
    <col min="37" max="37" width="0" style="22" hidden="1" customWidth="1"/>
    <col min="38" max="38" width="28" style="48" hidden="1" customWidth="1"/>
    <col min="39" max="39" width="0" style="22" hidden="1" customWidth="1"/>
    <col min="40" max="40" width="28" style="48" hidden="1" customWidth="1"/>
    <col min="41" max="41" width="5.140625" style="22" hidden="1" customWidth="1"/>
    <col min="42" max="42" width="28" style="48" hidden="1" customWidth="1"/>
    <col min="43" max="43" width="14.42578125" style="49" bestFit="1" customWidth="1"/>
    <col min="44" max="44" width="9.140625" style="22"/>
    <col min="45" max="45" width="28" style="48" hidden="1" customWidth="1"/>
    <col min="46" max="46" width="9.140625" style="22"/>
    <col min="47" max="47" width="28" style="48" hidden="1" customWidth="1"/>
    <col min="48" max="49" width="9.140625" style="22" hidden="1" customWidth="1"/>
    <col min="50" max="50" width="12.28515625" style="19" hidden="1" customWidth="1"/>
    <col min="51" max="53" width="9.140625" style="19"/>
    <col min="54" max="54" width="0" style="19" hidden="1" customWidth="1"/>
    <col min="55" max="55" width="9.5703125" style="19" bestFit="1" customWidth="1"/>
    <col min="56" max="56" width="19.28515625" style="19" hidden="1" customWidth="1"/>
    <col min="57" max="57" width="4.5703125" style="19" bestFit="1" customWidth="1"/>
    <col min="58" max="58" width="12.7109375" style="19" bestFit="1" customWidth="1"/>
    <col min="59" max="59" width="0" style="19" hidden="1" customWidth="1"/>
    <col min="60" max="60" width="23.85546875" style="19" bestFit="1" customWidth="1"/>
    <col min="61" max="61" width="26.5703125" style="19" hidden="1" customWidth="1"/>
    <col min="62" max="62" width="4.28515625" style="19" bestFit="1" customWidth="1"/>
    <col min="63" max="63" width="18.5703125" style="19" bestFit="1" customWidth="1"/>
    <col min="64" max="64" width="3.42578125" style="19" hidden="1" customWidth="1"/>
    <col min="65" max="65" width="14.5703125" style="19" bestFit="1" customWidth="1"/>
    <col min="66" max="66" width="11.140625" style="19" hidden="1" customWidth="1"/>
    <col min="67" max="67" width="4.42578125" style="19" bestFit="1" customWidth="1"/>
    <col min="68" max="68" width="11.140625" style="19" bestFit="1" customWidth="1"/>
    <col min="69" max="69" width="9.140625" style="19"/>
    <col min="70" max="70" width="0" style="19" hidden="1" customWidth="1"/>
    <col min="71" max="71" width="45" style="19" hidden="1" customWidth="1"/>
    <col min="72" max="72" width="0" style="19" hidden="1" customWidth="1"/>
    <col min="73" max="73" width="0" style="22" hidden="1" customWidth="1"/>
    <col min="74" max="74" width="21.140625" style="22" hidden="1" customWidth="1"/>
    <col min="75" max="75" width="0" style="22" hidden="1" customWidth="1"/>
    <col min="76" max="82" width="0" style="19" hidden="1" customWidth="1"/>
    <col min="83" max="16384" width="9.140625" style="19"/>
  </cols>
  <sheetData>
    <row r="1" spans="1:74" s="5" customFormat="1" ht="33.75" customHeight="1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 t="s">
        <v>13</v>
      </c>
      <c r="O1" s="2" t="s">
        <v>14</v>
      </c>
      <c r="P1" s="3" t="s">
        <v>15</v>
      </c>
      <c r="Q1" s="2" t="s">
        <v>16</v>
      </c>
      <c r="R1" s="3" t="s">
        <v>17</v>
      </c>
      <c r="S1" s="2" t="s">
        <v>18</v>
      </c>
      <c r="T1" s="3" t="s">
        <v>19</v>
      </c>
      <c r="U1" s="2" t="s">
        <v>20</v>
      </c>
      <c r="V1" s="3" t="s">
        <v>21</v>
      </c>
      <c r="W1" s="2" t="s">
        <v>22</v>
      </c>
      <c r="X1" s="3" t="s">
        <v>23</v>
      </c>
      <c r="Y1" s="2" t="s">
        <v>24</v>
      </c>
      <c r="Z1" s="3" t="s">
        <v>25</v>
      </c>
      <c r="AA1" s="2" t="s">
        <v>26</v>
      </c>
      <c r="AB1" s="3" t="s">
        <v>27</v>
      </c>
      <c r="AC1" s="2" t="s">
        <v>28</v>
      </c>
      <c r="AD1" s="3" t="s">
        <v>29</v>
      </c>
      <c r="AE1" s="2" t="s">
        <v>30</v>
      </c>
      <c r="AF1" s="3" t="s">
        <v>31</v>
      </c>
      <c r="AG1" s="2" t="s">
        <v>32</v>
      </c>
      <c r="AH1" s="3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3" t="s">
        <v>39</v>
      </c>
      <c r="AO1" s="2" t="s">
        <v>40</v>
      </c>
      <c r="AP1" s="3" t="s">
        <v>41</v>
      </c>
      <c r="AQ1" s="4" t="s">
        <v>42</v>
      </c>
      <c r="AR1" s="2" t="s">
        <v>43</v>
      </c>
      <c r="AS1" s="3" t="s">
        <v>44</v>
      </c>
      <c r="AT1" s="2" t="s">
        <v>45</v>
      </c>
      <c r="AU1" s="3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R1" s="6" t="s">
        <v>68</v>
      </c>
      <c r="BS1" s="6"/>
      <c r="BU1" s="5" t="s">
        <v>69</v>
      </c>
    </row>
    <row r="2" spans="1:74" ht="24.95" customHeight="1" thickTop="1" thickBot="1" x14ac:dyDescent="0.3">
      <c r="A2" s="7">
        <v>1</v>
      </c>
      <c r="B2" s="7">
        <v>2525403</v>
      </c>
      <c r="C2" s="7" t="s">
        <v>70</v>
      </c>
      <c r="D2" s="8" t="s">
        <v>71</v>
      </c>
      <c r="E2" s="7" t="s">
        <v>72</v>
      </c>
      <c r="F2" s="7" t="s">
        <v>73</v>
      </c>
      <c r="G2" s="8" t="s">
        <v>74</v>
      </c>
      <c r="H2" s="9" t="s">
        <v>75</v>
      </c>
      <c r="I2" s="10" t="s">
        <v>76</v>
      </c>
      <c r="J2" s="11" t="s">
        <v>77</v>
      </c>
      <c r="K2" s="11" t="s">
        <v>78</v>
      </c>
      <c r="L2" s="11" t="s">
        <v>79</v>
      </c>
      <c r="M2" s="12">
        <v>83</v>
      </c>
      <c r="N2" s="13" t="str">
        <f t="shared" ref="N2:N35" si="0">VLOOKUP(M2,grades1,2,TRUE)</f>
        <v>Mencapai kompetensi dengan baik dalam hal</v>
      </c>
      <c r="O2" s="12">
        <v>78</v>
      </c>
      <c r="P2" s="13" t="str">
        <f t="shared" ref="P2:P35" si="1">VLOOKUP(O2,grades1,2,TRUE)</f>
        <v>Mencapai kompetensi dengan baik dalam hal</v>
      </c>
      <c r="Q2" s="12">
        <v>82</v>
      </c>
      <c r="R2" s="13" t="str">
        <f t="shared" ref="R2:R35" si="2">VLOOKUP(Q2,grades1,2,TRUE)</f>
        <v>Mencapai kompetensi dengan baik dalam hal</v>
      </c>
      <c r="S2" s="12">
        <v>85</v>
      </c>
      <c r="T2" s="13" t="str">
        <f t="shared" ref="T2:T35" si="3">VLOOKUP(S2,grades1,2,TRUE)</f>
        <v>Mencapai kompetensi dengan baik dalam hal</v>
      </c>
      <c r="U2" s="12">
        <v>84</v>
      </c>
      <c r="V2" s="13" t="str">
        <f t="shared" ref="V2:V35" si="4">VLOOKUP(U2,grades1,2,TRUE)</f>
        <v>Mencapai kompetensi dengan baik dalam hal</v>
      </c>
      <c r="W2" s="12">
        <v>81</v>
      </c>
      <c r="X2" s="13" t="str">
        <f t="shared" ref="X2:X35" si="5">VLOOKUP(W2,grades1,2,TRUE)</f>
        <v>Mencapai kompetensi dengan baik dalam hal</v>
      </c>
      <c r="Y2" s="12">
        <v>80</v>
      </c>
      <c r="Z2" s="13" t="str">
        <f t="shared" ref="Z2:Z35" si="6">VLOOKUP(Y2,grades1,2,TRUE)</f>
        <v>Mencapai kompetensi dengan baik dalam hal</v>
      </c>
      <c r="AA2" s="12">
        <v>83</v>
      </c>
      <c r="AB2" s="13" t="str">
        <f t="shared" ref="AB2:AB35" si="7">VLOOKUP(AA2,grades1,2,TRUE)</f>
        <v>Mencapai kompetensi dengan baik dalam hal</v>
      </c>
      <c r="AC2" s="12">
        <v>88</v>
      </c>
      <c r="AD2" s="13" t="str">
        <f t="shared" ref="AD2:AD35" si="8">VLOOKUP(AC2,grades1,2,TRUE)</f>
        <v>Mencapai kompetensi dengan baik dalam hal</v>
      </c>
      <c r="AE2" s="12">
        <v>84</v>
      </c>
      <c r="AF2" s="13" t="str">
        <f t="shared" ref="AF2:AF35" si="9">VLOOKUP(AE2,grades1,2,TRUE)</f>
        <v>Mencapai kompetensi dengan baik dalam hal</v>
      </c>
      <c r="AG2" s="12">
        <v>76</v>
      </c>
      <c r="AH2" s="13" t="str">
        <f t="shared" ref="AH2:AH35" si="10">VLOOKUP(AG2,grades1,2,TRUE)</f>
        <v>Mencapai kompetensi dengan baik dalam hal</v>
      </c>
      <c r="AI2" s="12">
        <v>83</v>
      </c>
      <c r="AJ2" s="13" t="str">
        <f t="shared" ref="AJ2:AJ35" si="11">VLOOKUP(AI2,grades1,2,TRUE)</f>
        <v>Mencapai kompetensi dengan baik dalam hal</v>
      </c>
      <c r="AK2" s="12">
        <v>88</v>
      </c>
      <c r="AL2" s="13" t="str">
        <f t="shared" ref="AL2:AL35" si="12">VLOOKUP(AK2,grades1,2,TRUE)</f>
        <v>Mencapai kompetensi dengan baik dalam hal</v>
      </c>
      <c r="AM2" s="12">
        <v>80</v>
      </c>
      <c r="AN2" s="13" t="str">
        <f t="shared" ref="AN2:AN35" si="13">VLOOKUP(AM2,grades1,2,TRUE)</f>
        <v>Mencapai kompetensi dengan baik dalam hal</v>
      </c>
      <c r="AO2" s="12">
        <v>87</v>
      </c>
      <c r="AP2" s="13" t="str">
        <f t="shared" ref="AP2:AP35" si="14">VLOOKUP(AO2,grades1,2,TRUE)</f>
        <v>Mencapai kompetensi dengan baik dalam hal</v>
      </c>
      <c r="AQ2" s="14">
        <f>AVERAGE(AO2,AM2,AK2,AI2,AG2)</f>
        <v>82.8</v>
      </c>
      <c r="AR2" s="12">
        <v>88</v>
      </c>
      <c r="AS2" s="13" t="str">
        <f t="shared" ref="AS2:AS35" si="15">VLOOKUP(AR2,grades1,2,TRUE)</f>
        <v>Mencapai kompetensi dengan baik dalam hal</v>
      </c>
      <c r="AT2" s="12">
        <v>82</v>
      </c>
      <c r="AU2" s="13" t="str">
        <f t="shared" ref="AU2:AU35" si="16">VLOOKUP(AT2,grades1,2,TRUE)</f>
        <v>Mencapai kompetensi dengan baik dalam hal</v>
      </c>
      <c r="AV2" s="12"/>
      <c r="AW2" s="15"/>
      <c r="AX2" s="15" t="s">
        <v>80</v>
      </c>
      <c r="AY2" s="16">
        <v>3</v>
      </c>
      <c r="AZ2" s="16" t="s">
        <v>81</v>
      </c>
      <c r="BA2" s="7" t="s">
        <v>81</v>
      </c>
      <c r="BB2" s="7">
        <v>1</v>
      </c>
      <c r="BC2" s="12" t="s">
        <v>82</v>
      </c>
      <c r="BD2" s="17" t="s">
        <v>83</v>
      </c>
      <c r="BE2" s="12" t="s">
        <v>84</v>
      </c>
      <c r="BF2" s="15" t="str">
        <f t="shared" ref="BF2:BF35" si="17">VLOOKUP(BE2,gradeseskul,2,TRUE)</f>
        <v>Baik</v>
      </c>
      <c r="BG2" s="7">
        <v>2</v>
      </c>
      <c r="BH2" s="17" t="s">
        <v>85</v>
      </c>
      <c r="BI2" s="18" t="s">
        <v>83</v>
      </c>
      <c r="BJ2" s="7" t="s">
        <v>86</v>
      </c>
      <c r="BK2" s="15" t="str">
        <f t="shared" ref="BK2:BK35" si="18">VLOOKUP(BJ2,gradeseskul,2,TRUE)</f>
        <v>Sangat baik</v>
      </c>
      <c r="BL2" s="7">
        <v>3</v>
      </c>
      <c r="BM2" s="7" t="s">
        <v>87</v>
      </c>
      <c r="BN2" s="7" t="s">
        <v>83</v>
      </c>
      <c r="BO2" s="7" t="s">
        <v>84</v>
      </c>
      <c r="BP2" s="15" t="str">
        <f t="shared" ref="BP2:BP32" si="19">VLOOKUP(BO2,gradeseskul,2,TRUE)</f>
        <v>Baik</v>
      </c>
      <c r="BR2" s="20" t="s">
        <v>88</v>
      </c>
      <c r="BS2" s="20" t="s">
        <v>89</v>
      </c>
      <c r="BU2" s="21" t="s">
        <v>90</v>
      </c>
      <c r="BV2" s="21" t="s">
        <v>91</v>
      </c>
    </row>
    <row r="3" spans="1:74" ht="24.95" customHeight="1" thickTop="1" thickBot="1" x14ac:dyDescent="0.3">
      <c r="A3" s="23">
        <v>2</v>
      </c>
      <c r="B3" s="7">
        <v>2525404</v>
      </c>
      <c r="C3" s="23" t="s">
        <v>92</v>
      </c>
      <c r="D3" s="24" t="s">
        <v>93</v>
      </c>
      <c r="E3" s="23" t="s">
        <v>72</v>
      </c>
      <c r="F3" s="7" t="s">
        <v>73</v>
      </c>
      <c r="G3" s="8" t="s">
        <v>74</v>
      </c>
      <c r="H3" s="9" t="s">
        <v>75</v>
      </c>
      <c r="I3" s="10" t="s">
        <v>76</v>
      </c>
      <c r="J3" s="11" t="s">
        <v>77</v>
      </c>
      <c r="K3" s="11" t="s">
        <v>78</v>
      </c>
      <c r="L3" s="11" t="s">
        <v>79</v>
      </c>
      <c r="M3" s="23">
        <v>80</v>
      </c>
      <c r="N3" s="13" t="str">
        <f t="shared" si="0"/>
        <v>Mencapai kompetensi dengan baik dalam hal</v>
      </c>
      <c r="O3" s="23">
        <v>77</v>
      </c>
      <c r="P3" s="13" t="str">
        <f t="shared" si="1"/>
        <v>Mencapai kompetensi dengan baik dalam hal</v>
      </c>
      <c r="Q3" s="23">
        <v>81</v>
      </c>
      <c r="R3" s="13" t="str">
        <f t="shared" si="2"/>
        <v>Mencapai kompetensi dengan baik dalam hal</v>
      </c>
      <c r="S3" s="23">
        <v>80</v>
      </c>
      <c r="T3" s="13" t="str">
        <f t="shared" si="3"/>
        <v>Mencapai kompetensi dengan baik dalam hal</v>
      </c>
      <c r="U3" s="23">
        <v>76</v>
      </c>
      <c r="V3" s="13" t="str">
        <f t="shared" si="4"/>
        <v>Mencapai kompetensi dengan baik dalam hal</v>
      </c>
      <c r="W3" s="23">
        <v>75</v>
      </c>
      <c r="X3" s="13" t="str">
        <f t="shared" si="5"/>
        <v>Mencapai kompetensi dengan baik dalam hal</v>
      </c>
      <c r="Y3" s="23">
        <v>79</v>
      </c>
      <c r="Z3" s="13" t="str">
        <f t="shared" si="6"/>
        <v>Mencapai kompetensi dengan baik dalam hal</v>
      </c>
      <c r="AA3" s="23">
        <v>79</v>
      </c>
      <c r="AB3" s="13" t="str">
        <f t="shared" si="7"/>
        <v>Mencapai kompetensi dengan baik dalam hal</v>
      </c>
      <c r="AC3" s="23">
        <v>78</v>
      </c>
      <c r="AD3" s="13" t="str">
        <f t="shared" si="8"/>
        <v>Mencapai kompetensi dengan baik dalam hal</v>
      </c>
      <c r="AE3" s="23">
        <v>80</v>
      </c>
      <c r="AF3" s="13" t="str">
        <f t="shared" si="9"/>
        <v>Mencapai kompetensi dengan baik dalam hal</v>
      </c>
      <c r="AG3" s="23">
        <v>82</v>
      </c>
      <c r="AH3" s="13" t="str">
        <f t="shared" si="10"/>
        <v>Mencapai kompetensi dengan baik dalam hal</v>
      </c>
      <c r="AI3" s="23">
        <v>80</v>
      </c>
      <c r="AJ3" s="13" t="str">
        <f t="shared" si="11"/>
        <v>Mencapai kompetensi dengan baik dalam hal</v>
      </c>
      <c r="AK3" s="23">
        <v>82</v>
      </c>
      <c r="AL3" s="13" t="str">
        <f t="shared" si="12"/>
        <v>Mencapai kompetensi dengan baik dalam hal</v>
      </c>
      <c r="AM3" s="23">
        <v>81</v>
      </c>
      <c r="AN3" s="13" t="str">
        <f t="shared" si="13"/>
        <v>Mencapai kompetensi dengan baik dalam hal</v>
      </c>
      <c r="AO3" s="23">
        <v>80</v>
      </c>
      <c r="AP3" s="13" t="str">
        <f t="shared" si="14"/>
        <v>Mencapai kompetensi dengan baik dalam hal</v>
      </c>
      <c r="AQ3" s="14">
        <f t="shared" ref="AQ3:AQ35" si="20">AVERAGE(AO3,AM3,AK3,AI3,AG3)</f>
        <v>81</v>
      </c>
      <c r="AR3" s="23">
        <v>78</v>
      </c>
      <c r="AS3" s="13" t="str">
        <f t="shared" si="15"/>
        <v>Mencapai kompetensi dengan baik dalam hal</v>
      </c>
      <c r="AT3" s="23">
        <v>80</v>
      </c>
      <c r="AU3" s="13" t="str">
        <f t="shared" si="16"/>
        <v>Mencapai kompetensi dengan baik dalam hal</v>
      </c>
      <c r="AV3" s="23"/>
      <c r="AW3" s="18"/>
      <c r="AX3" s="18" t="s">
        <v>80</v>
      </c>
      <c r="AY3" s="23">
        <v>2</v>
      </c>
      <c r="AZ3" s="23" t="s">
        <v>81</v>
      </c>
      <c r="BA3" s="23" t="s">
        <v>81</v>
      </c>
      <c r="BB3" s="23">
        <v>1</v>
      </c>
      <c r="BC3" s="23" t="s">
        <v>82</v>
      </c>
      <c r="BD3" s="18" t="s">
        <v>83</v>
      </c>
      <c r="BE3" s="23" t="s">
        <v>86</v>
      </c>
      <c r="BF3" s="15" t="str">
        <f t="shared" si="17"/>
        <v>Sangat baik</v>
      </c>
      <c r="BG3" s="23">
        <v>2</v>
      </c>
      <c r="BH3" s="18" t="s">
        <v>94</v>
      </c>
      <c r="BI3" s="18" t="s">
        <v>83</v>
      </c>
      <c r="BJ3" s="7" t="s">
        <v>86</v>
      </c>
      <c r="BK3" s="15" t="str">
        <f t="shared" si="18"/>
        <v>Sangat baik</v>
      </c>
      <c r="BL3" s="7"/>
      <c r="BM3" s="23"/>
      <c r="BN3" s="23"/>
      <c r="BO3" s="23"/>
      <c r="BP3" s="15"/>
      <c r="BR3" s="20">
        <v>0</v>
      </c>
      <c r="BS3" s="25" t="s">
        <v>95</v>
      </c>
      <c r="BU3" s="21" t="s">
        <v>86</v>
      </c>
      <c r="BV3" s="21" t="s">
        <v>96</v>
      </c>
    </row>
    <row r="4" spans="1:74" ht="24.95" customHeight="1" thickTop="1" thickBot="1" x14ac:dyDescent="0.3">
      <c r="A4" s="23">
        <v>3</v>
      </c>
      <c r="B4" s="7">
        <v>2525405</v>
      </c>
      <c r="C4" s="23" t="s">
        <v>97</v>
      </c>
      <c r="D4" s="24" t="s">
        <v>98</v>
      </c>
      <c r="E4" s="23" t="s">
        <v>72</v>
      </c>
      <c r="F4" s="7" t="s">
        <v>73</v>
      </c>
      <c r="G4" s="8" t="s">
        <v>74</v>
      </c>
      <c r="H4" s="9" t="s">
        <v>75</v>
      </c>
      <c r="I4" s="10" t="s">
        <v>76</v>
      </c>
      <c r="J4" s="11" t="s">
        <v>77</v>
      </c>
      <c r="K4" s="11" t="s">
        <v>78</v>
      </c>
      <c r="L4" s="11" t="s">
        <v>79</v>
      </c>
      <c r="M4" s="7">
        <v>80</v>
      </c>
      <c r="N4" s="13" t="str">
        <f t="shared" si="0"/>
        <v>Mencapai kompetensi dengan baik dalam hal</v>
      </c>
      <c r="O4" s="7">
        <v>77</v>
      </c>
      <c r="P4" s="13" t="str">
        <f t="shared" si="1"/>
        <v>Mencapai kompetensi dengan baik dalam hal</v>
      </c>
      <c r="Q4" s="7">
        <v>80</v>
      </c>
      <c r="R4" s="13" t="str">
        <f t="shared" si="2"/>
        <v>Mencapai kompetensi dengan baik dalam hal</v>
      </c>
      <c r="S4" s="7">
        <v>83</v>
      </c>
      <c r="T4" s="13" t="str">
        <f t="shared" si="3"/>
        <v>Mencapai kompetensi dengan baik dalam hal</v>
      </c>
      <c r="U4" s="7">
        <v>80</v>
      </c>
      <c r="V4" s="13" t="str">
        <f t="shared" si="4"/>
        <v>Mencapai kompetensi dengan baik dalam hal</v>
      </c>
      <c r="W4" s="7">
        <v>75</v>
      </c>
      <c r="X4" s="13" t="str">
        <f t="shared" si="5"/>
        <v>Mencapai kompetensi dengan baik dalam hal</v>
      </c>
      <c r="Y4" s="7">
        <v>81</v>
      </c>
      <c r="Z4" s="13" t="str">
        <f t="shared" si="6"/>
        <v>Mencapai kompetensi dengan baik dalam hal</v>
      </c>
      <c r="AA4" s="7">
        <v>81</v>
      </c>
      <c r="AB4" s="13" t="str">
        <f t="shared" si="7"/>
        <v>Mencapai kompetensi dengan baik dalam hal</v>
      </c>
      <c r="AC4" s="7">
        <v>80</v>
      </c>
      <c r="AD4" s="13" t="str">
        <f t="shared" si="8"/>
        <v>Mencapai kompetensi dengan baik dalam hal</v>
      </c>
      <c r="AE4" s="7">
        <v>84</v>
      </c>
      <c r="AF4" s="13" t="str">
        <f t="shared" si="9"/>
        <v>Mencapai kompetensi dengan baik dalam hal</v>
      </c>
      <c r="AG4" s="7">
        <v>80</v>
      </c>
      <c r="AH4" s="13" t="str">
        <f t="shared" si="10"/>
        <v>Mencapai kompetensi dengan baik dalam hal</v>
      </c>
      <c r="AI4" s="7">
        <v>81</v>
      </c>
      <c r="AJ4" s="13" t="str">
        <f t="shared" si="11"/>
        <v>Mencapai kompetensi dengan baik dalam hal</v>
      </c>
      <c r="AK4" s="7">
        <v>81</v>
      </c>
      <c r="AL4" s="13" t="str">
        <f t="shared" si="12"/>
        <v>Mencapai kompetensi dengan baik dalam hal</v>
      </c>
      <c r="AM4" s="7">
        <v>84</v>
      </c>
      <c r="AN4" s="13" t="str">
        <f t="shared" si="13"/>
        <v>Mencapai kompetensi dengan baik dalam hal</v>
      </c>
      <c r="AO4" s="7">
        <v>84</v>
      </c>
      <c r="AP4" s="13" t="str">
        <f t="shared" si="14"/>
        <v>Mencapai kompetensi dengan baik dalam hal</v>
      </c>
      <c r="AQ4" s="14">
        <f t="shared" si="20"/>
        <v>82</v>
      </c>
      <c r="AR4" s="7">
        <v>80</v>
      </c>
      <c r="AS4" s="13" t="str">
        <f t="shared" si="15"/>
        <v>Mencapai kompetensi dengan baik dalam hal</v>
      </c>
      <c r="AT4" s="7">
        <v>76</v>
      </c>
      <c r="AU4" s="13" t="str">
        <f t="shared" si="16"/>
        <v>Mencapai kompetensi dengan baik dalam hal</v>
      </c>
      <c r="AV4" s="23"/>
      <c r="AW4" s="17"/>
      <c r="AX4" s="17" t="s">
        <v>80</v>
      </c>
      <c r="AY4" s="23">
        <v>1</v>
      </c>
      <c r="AZ4" s="23" t="s">
        <v>81</v>
      </c>
      <c r="BA4" s="23" t="s">
        <v>81</v>
      </c>
      <c r="BB4" s="23">
        <v>1</v>
      </c>
      <c r="BC4" s="7" t="s">
        <v>82</v>
      </c>
      <c r="BD4" s="18" t="s">
        <v>83</v>
      </c>
      <c r="BE4" s="7" t="s">
        <v>84</v>
      </c>
      <c r="BF4" s="15" t="str">
        <f t="shared" si="17"/>
        <v>Baik</v>
      </c>
      <c r="BG4" s="23">
        <v>2</v>
      </c>
      <c r="BH4" s="18" t="s">
        <v>99</v>
      </c>
      <c r="BI4" s="18" t="s">
        <v>83</v>
      </c>
      <c r="BJ4" s="7" t="s">
        <v>84</v>
      </c>
      <c r="BK4" s="15" t="str">
        <f t="shared" si="18"/>
        <v>Baik</v>
      </c>
      <c r="BL4" s="7"/>
      <c r="BM4" s="7"/>
      <c r="BN4" s="23"/>
      <c r="BO4" s="23"/>
      <c r="BP4" s="15"/>
      <c r="BR4" s="20">
        <v>60</v>
      </c>
      <c r="BS4" s="25" t="s">
        <v>95</v>
      </c>
      <c r="BU4" s="21" t="s">
        <v>84</v>
      </c>
      <c r="BV4" s="21" t="s">
        <v>100</v>
      </c>
    </row>
    <row r="5" spans="1:74" ht="24.95" customHeight="1" thickTop="1" thickBot="1" x14ac:dyDescent="0.3">
      <c r="A5" s="23">
        <v>4</v>
      </c>
      <c r="B5" s="7">
        <v>2525406</v>
      </c>
      <c r="C5" s="23" t="s">
        <v>101</v>
      </c>
      <c r="D5" s="24" t="s">
        <v>102</v>
      </c>
      <c r="E5" s="23" t="s">
        <v>72</v>
      </c>
      <c r="F5" s="7" t="s">
        <v>73</v>
      </c>
      <c r="G5" s="8" t="s">
        <v>74</v>
      </c>
      <c r="H5" s="9" t="s">
        <v>75</v>
      </c>
      <c r="I5" s="10" t="s">
        <v>76</v>
      </c>
      <c r="J5" s="11" t="s">
        <v>77</v>
      </c>
      <c r="K5" s="11" t="s">
        <v>78</v>
      </c>
      <c r="L5" s="11" t="s">
        <v>79</v>
      </c>
      <c r="M5" s="23">
        <v>80</v>
      </c>
      <c r="N5" s="13" t="str">
        <f t="shared" si="0"/>
        <v>Mencapai kompetensi dengan baik dalam hal</v>
      </c>
      <c r="O5" s="23">
        <v>78</v>
      </c>
      <c r="P5" s="13" t="str">
        <f t="shared" si="1"/>
        <v>Mencapai kompetensi dengan baik dalam hal</v>
      </c>
      <c r="Q5" s="23">
        <v>80</v>
      </c>
      <c r="R5" s="13" t="str">
        <f t="shared" si="2"/>
        <v>Mencapai kompetensi dengan baik dalam hal</v>
      </c>
      <c r="S5" s="23">
        <v>85</v>
      </c>
      <c r="T5" s="13" t="str">
        <f t="shared" si="3"/>
        <v>Mencapai kompetensi dengan baik dalam hal</v>
      </c>
      <c r="U5" s="23">
        <v>77</v>
      </c>
      <c r="V5" s="13" t="str">
        <f t="shared" si="4"/>
        <v>Mencapai kompetensi dengan baik dalam hal</v>
      </c>
      <c r="W5" s="23">
        <v>75</v>
      </c>
      <c r="X5" s="13" t="str">
        <f t="shared" si="5"/>
        <v>Mencapai kompetensi dengan baik dalam hal</v>
      </c>
      <c r="Y5" s="23">
        <v>80</v>
      </c>
      <c r="Z5" s="13" t="str">
        <f t="shared" si="6"/>
        <v>Mencapai kompetensi dengan baik dalam hal</v>
      </c>
      <c r="AA5" s="23">
        <v>77</v>
      </c>
      <c r="AB5" s="13" t="str">
        <f t="shared" si="7"/>
        <v>Mencapai kompetensi dengan baik dalam hal</v>
      </c>
      <c r="AC5" s="23">
        <v>80</v>
      </c>
      <c r="AD5" s="13" t="str">
        <f t="shared" si="8"/>
        <v>Mencapai kompetensi dengan baik dalam hal</v>
      </c>
      <c r="AE5" s="23">
        <v>80</v>
      </c>
      <c r="AF5" s="13" t="str">
        <f t="shared" si="9"/>
        <v>Mencapai kompetensi dengan baik dalam hal</v>
      </c>
      <c r="AG5" s="23">
        <v>81</v>
      </c>
      <c r="AH5" s="13" t="str">
        <f t="shared" si="10"/>
        <v>Mencapai kompetensi dengan baik dalam hal</v>
      </c>
      <c r="AI5" s="23">
        <v>81</v>
      </c>
      <c r="AJ5" s="13" t="str">
        <f t="shared" si="11"/>
        <v>Mencapai kompetensi dengan baik dalam hal</v>
      </c>
      <c r="AK5" s="23">
        <v>81</v>
      </c>
      <c r="AL5" s="13" t="str">
        <f t="shared" si="12"/>
        <v>Mencapai kompetensi dengan baik dalam hal</v>
      </c>
      <c r="AM5" s="23">
        <v>80</v>
      </c>
      <c r="AN5" s="13" t="str">
        <f t="shared" si="13"/>
        <v>Mencapai kompetensi dengan baik dalam hal</v>
      </c>
      <c r="AO5" s="23">
        <v>81</v>
      </c>
      <c r="AP5" s="13" t="str">
        <f t="shared" si="14"/>
        <v>Mencapai kompetensi dengan baik dalam hal</v>
      </c>
      <c r="AQ5" s="14">
        <f t="shared" si="20"/>
        <v>80.8</v>
      </c>
      <c r="AR5" s="23">
        <v>80</v>
      </c>
      <c r="AS5" s="13" t="str">
        <f t="shared" si="15"/>
        <v>Mencapai kompetensi dengan baik dalam hal</v>
      </c>
      <c r="AT5" s="23">
        <v>75</v>
      </c>
      <c r="AU5" s="13" t="str">
        <f t="shared" si="16"/>
        <v>Mencapai kompetensi dengan baik dalam hal</v>
      </c>
      <c r="AV5" s="23"/>
      <c r="AW5" s="18"/>
      <c r="AX5" s="18" t="s">
        <v>80</v>
      </c>
      <c r="AY5" s="23">
        <v>2</v>
      </c>
      <c r="AZ5" s="23" t="s">
        <v>81</v>
      </c>
      <c r="BA5" s="23" t="s">
        <v>81</v>
      </c>
      <c r="BB5" s="23">
        <v>1</v>
      </c>
      <c r="BC5" s="23" t="s">
        <v>82</v>
      </c>
      <c r="BD5" s="18" t="s">
        <v>83</v>
      </c>
      <c r="BE5" s="23" t="s">
        <v>86</v>
      </c>
      <c r="BF5" s="15" t="str">
        <f t="shared" si="17"/>
        <v>Sangat baik</v>
      </c>
      <c r="BG5" s="23">
        <v>2</v>
      </c>
      <c r="BH5" s="18" t="s">
        <v>103</v>
      </c>
      <c r="BI5" s="18" t="s">
        <v>83</v>
      </c>
      <c r="BJ5" s="7" t="s">
        <v>84</v>
      </c>
      <c r="BK5" s="15" t="str">
        <f t="shared" si="18"/>
        <v>Baik</v>
      </c>
      <c r="BL5" s="7"/>
      <c r="BM5" s="23"/>
      <c r="BN5" s="23"/>
      <c r="BO5" s="23"/>
      <c r="BP5" s="15"/>
      <c r="BR5" s="20">
        <v>70</v>
      </c>
      <c r="BS5" s="25" t="s">
        <v>95</v>
      </c>
      <c r="BU5" s="21" t="s">
        <v>104</v>
      </c>
      <c r="BV5" s="21" t="s">
        <v>105</v>
      </c>
    </row>
    <row r="6" spans="1:74" ht="24.95" customHeight="1" thickTop="1" thickBot="1" x14ac:dyDescent="0.3">
      <c r="A6" s="23">
        <v>5</v>
      </c>
      <c r="B6" s="7">
        <v>2525407</v>
      </c>
      <c r="C6" s="23" t="s">
        <v>106</v>
      </c>
      <c r="D6" s="24" t="s">
        <v>107</v>
      </c>
      <c r="E6" s="23" t="s">
        <v>72</v>
      </c>
      <c r="F6" s="7" t="s">
        <v>73</v>
      </c>
      <c r="G6" s="8" t="s">
        <v>74</v>
      </c>
      <c r="H6" s="9" t="s">
        <v>75</v>
      </c>
      <c r="I6" s="10" t="s">
        <v>76</v>
      </c>
      <c r="J6" s="11" t="s">
        <v>77</v>
      </c>
      <c r="K6" s="11" t="s">
        <v>78</v>
      </c>
      <c r="L6" s="11" t="s">
        <v>79</v>
      </c>
      <c r="M6" s="7">
        <v>80</v>
      </c>
      <c r="N6" s="13" t="str">
        <f t="shared" si="0"/>
        <v>Mencapai kompetensi dengan baik dalam hal</v>
      </c>
      <c r="O6" s="7">
        <v>79</v>
      </c>
      <c r="P6" s="13" t="str">
        <f t="shared" si="1"/>
        <v>Mencapai kompetensi dengan baik dalam hal</v>
      </c>
      <c r="Q6" s="7">
        <v>81</v>
      </c>
      <c r="R6" s="13" t="str">
        <f t="shared" si="2"/>
        <v>Mencapai kompetensi dengan baik dalam hal</v>
      </c>
      <c r="S6" s="7">
        <v>82</v>
      </c>
      <c r="T6" s="13" t="str">
        <f t="shared" si="3"/>
        <v>Mencapai kompetensi dengan baik dalam hal</v>
      </c>
      <c r="U6" s="7">
        <v>74</v>
      </c>
      <c r="V6" s="13" t="str">
        <f t="shared" si="4"/>
        <v>Perlu peningkatan dalam hal</v>
      </c>
      <c r="W6" s="7">
        <v>81</v>
      </c>
      <c r="X6" s="13" t="str">
        <f t="shared" si="5"/>
        <v>Mencapai kompetensi dengan baik dalam hal</v>
      </c>
      <c r="Y6" s="7">
        <v>78</v>
      </c>
      <c r="Z6" s="13" t="str">
        <f t="shared" si="6"/>
        <v>Mencapai kompetensi dengan baik dalam hal</v>
      </c>
      <c r="AA6" s="7">
        <v>79</v>
      </c>
      <c r="AB6" s="13" t="str">
        <f t="shared" si="7"/>
        <v>Mencapai kompetensi dengan baik dalam hal</v>
      </c>
      <c r="AC6" s="7">
        <v>78</v>
      </c>
      <c r="AD6" s="13" t="str">
        <f t="shared" si="8"/>
        <v>Mencapai kompetensi dengan baik dalam hal</v>
      </c>
      <c r="AE6" s="7">
        <v>80</v>
      </c>
      <c r="AF6" s="13" t="str">
        <f t="shared" si="9"/>
        <v>Mencapai kompetensi dengan baik dalam hal</v>
      </c>
      <c r="AG6" s="7">
        <v>76</v>
      </c>
      <c r="AH6" s="13" t="str">
        <f t="shared" si="10"/>
        <v>Mencapai kompetensi dengan baik dalam hal</v>
      </c>
      <c r="AI6" s="7">
        <v>78</v>
      </c>
      <c r="AJ6" s="13" t="str">
        <f t="shared" si="11"/>
        <v>Mencapai kompetensi dengan baik dalam hal</v>
      </c>
      <c r="AK6" s="7">
        <v>80</v>
      </c>
      <c r="AL6" s="13" t="str">
        <f t="shared" si="12"/>
        <v>Mencapai kompetensi dengan baik dalam hal</v>
      </c>
      <c r="AM6" s="7">
        <v>80</v>
      </c>
      <c r="AN6" s="13" t="str">
        <f t="shared" si="13"/>
        <v>Mencapai kompetensi dengan baik dalam hal</v>
      </c>
      <c r="AO6" s="7">
        <v>81</v>
      </c>
      <c r="AP6" s="13" t="str">
        <f t="shared" si="14"/>
        <v>Mencapai kompetensi dengan baik dalam hal</v>
      </c>
      <c r="AQ6" s="14">
        <f t="shared" si="20"/>
        <v>79</v>
      </c>
      <c r="AR6" s="7">
        <v>78</v>
      </c>
      <c r="AS6" s="13" t="str">
        <f t="shared" si="15"/>
        <v>Mencapai kompetensi dengan baik dalam hal</v>
      </c>
      <c r="AT6" s="7">
        <v>80</v>
      </c>
      <c r="AU6" s="13" t="str">
        <f t="shared" si="16"/>
        <v>Mencapai kompetensi dengan baik dalam hal</v>
      </c>
      <c r="AV6" s="23"/>
      <c r="AW6" s="17"/>
      <c r="AX6" s="17" t="s">
        <v>80</v>
      </c>
      <c r="AY6" s="23" t="s">
        <v>81</v>
      </c>
      <c r="AZ6" s="23" t="s">
        <v>81</v>
      </c>
      <c r="BA6" s="23" t="s">
        <v>81</v>
      </c>
      <c r="BB6" s="23">
        <v>1</v>
      </c>
      <c r="BC6" s="7" t="s">
        <v>82</v>
      </c>
      <c r="BD6" s="18" t="s">
        <v>83</v>
      </c>
      <c r="BE6" s="7" t="s">
        <v>84</v>
      </c>
      <c r="BF6" s="15" t="str">
        <f t="shared" si="17"/>
        <v>Baik</v>
      </c>
      <c r="BG6" s="23">
        <v>2</v>
      </c>
      <c r="BH6" s="18" t="s">
        <v>108</v>
      </c>
      <c r="BI6" s="18" t="s">
        <v>83</v>
      </c>
      <c r="BJ6" s="7" t="s">
        <v>86</v>
      </c>
      <c r="BK6" s="15" t="str">
        <f t="shared" si="18"/>
        <v>Sangat baik</v>
      </c>
      <c r="BL6" s="7">
        <v>3</v>
      </c>
      <c r="BM6" s="7" t="s">
        <v>87</v>
      </c>
      <c r="BN6" s="23" t="s">
        <v>83</v>
      </c>
      <c r="BO6" s="23" t="s">
        <v>86</v>
      </c>
      <c r="BP6" s="15" t="str">
        <f t="shared" si="19"/>
        <v>Sangat baik</v>
      </c>
      <c r="BR6" s="20">
        <v>75</v>
      </c>
      <c r="BS6" s="25" t="s">
        <v>109</v>
      </c>
      <c r="BU6" s="21" t="s">
        <v>110</v>
      </c>
      <c r="BV6" s="21" t="s">
        <v>111</v>
      </c>
    </row>
    <row r="7" spans="1:74" ht="24.95" customHeight="1" thickTop="1" thickBot="1" x14ac:dyDescent="0.3">
      <c r="A7" s="23">
        <v>6</v>
      </c>
      <c r="B7" s="7">
        <v>2525408</v>
      </c>
      <c r="C7" s="23" t="s">
        <v>112</v>
      </c>
      <c r="D7" s="24" t="s">
        <v>113</v>
      </c>
      <c r="E7" s="23" t="s">
        <v>72</v>
      </c>
      <c r="F7" s="7" t="s">
        <v>73</v>
      </c>
      <c r="G7" s="8" t="s">
        <v>74</v>
      </c>
      <c r="H7" s="9" t="s">
        <v>75</v>
      </c>
      <c r="I7" s="10" t="s">
        <v>76</v>
      </c>
      <c r="J7" s="11" t="s">
        <v>77</v>
      </c>
      <c r="K7" s="11" t="s">
        <v>78</v>
      </c>
      <c r="L7" s="11" t="s">
        <v>79</v>
      </c>
      <c r="M7" s="23">
        <v>80</v>
      </c>
      <c r="N7" s="13" t="str">
        <f t="shared" si="0"/>
        <v>Mencapai kompetensi dengan baik dalam hal</v>
      </c>
      <c r="O7" s="23">
        <v>77</v>
      </c>
      <c r="P7" s="13" t="str">
        <f t="shared" si="1"/>
        <v>Mencapai kompetensi dengan baik dalam hal</v>
      </c>
      <c r="Q7" s="23">
        <v>82</v>
      </c>
      <c r="R7" s="13" t="str">
        <f t="shared" si="2"/>
        <v>Mencapai kompetensi dengan baik dalam hal</v>
      </c>
      <c r="S7" s="23">
        <v>80</v>
      </c>
      <c r="T7" s="13" t="str">
        <f t="shared" si="3"/>
        <v>Mencapai kompetensi dengan baik dalam hal</v>
      </c>
      <c r="U7" s="23">
        <v>81</v>
      </c>
      <c r="V7" s="13" t="str">
        <f t="shared" si="4"/>
        <v>Mencapai kompetensi dengan baik dalam hal</v>
      </c>
      <c r="W7" s="23">
        <v>85</v>
      </c>
      <c r="X7" s="13" t="str">
        <f t="shared" si="5"/>
        <v>Mencapai kompetensi dengan baik dalam hal</v>
      </c>
      <c r="Y7" s="23">
        <v>76</v>
      </c>
      <c r="Z7" s="13" t="str">
        <f t="shared" si="6"/>
        <v>Mencapai kompetensi dengan baik dalam hal</v>
      </c>
      <c r="AA7" s="23">
        <v>77</v>
      </c>
      <c r="AB7" s="13" t="str">
        <f t="shared" si="7"/>
        <v>Mencapai kompetensi dengan baik dalam hal</v>
      </c>
      <c r="AC7" s="23">
        <v>78</v>
      </c>
      <c r="AD7" s="13" t="str">
        <f t="shared" si="8"/>
        <v>Mencapai kompetensi dengan baik dalam hal</v>
      </c>
      <c r="AE7" s="23">
        <v>78</v>
      </c>
      <c r="AF7" s="13" t="str">
        <f t="shared" si="9"/>
        <v>Mencapai kompetensi dengan baik dalam hal</v>
      </c>
      <c r="AG7" s="23">
        <v>83</v>
      </c>
      <c r="AH7" s="13" t="str">
        <f t="shared" si="10"/>
        <v>Mencapai kompetensi dengan baik dalam hal</v>
      </c>
      <c r="AI7" s="23">
        <v>84</v>
      </c>
      <c r="AJ7" s="13" t="str">
        <f t="shared" si="11"/>
        <v>Mencapai kompetensi dengan baik dalam hal</v>
      </c>
      <c r="AK7" s="23">
        <v>86</v>
      </c>
      <c r="AL7" s="13" t="str">
        <f t="shared" si="12"/>
        <v>Mencapai kompetensi dengan baik dalam hal</v>
      </c>
      <c r="AM7" s="23">
        <v>84</v>
      </c>
      <c r="AN7" s="13" t="str">
        <f t="shared" si="13"/>
        <v>Mencapai kompetensi dengan baik dalam hal</v>
      </c>
      <c r="AO7" s="23">
        <v>84</v>
      </c>
      <c r="AP7" s="13" t="str">
        <f t="shared" si="14"/>
        <v>Mencapai kompetensi dengan baik dalam hal</v>
      </c>
      <c r="AQ7" s="14">
        <f t="shared" si="20"/>
        <v>84.2</v>
      </c>
      <c r="AR7" s="23">
        <v>78</v>
      </c>
      <c r="AS7" s="13" t="str">
        <f t="shared" si="15"/>
        <v>Mencapai kompetensi dengan baik dalam hal</v>
      </c>
      <c r="AT7" s="23">
        <v>78</v>
      </c>
      <c r="AU7" s="13" t="str">
        <f t="shared" si="16"/>
        <v>Mencapai kompetensi dengan baik dalam hal</v>
      </c>
      <c r="AV7" s="23"/>
      <c r="AW7" s="18"/>
      <c r="AX7" s="18" t="s">
        <v>80</v>
      </c>
      <c r="AY7" s="23" t="s">
        <v>81</v>
      </c>
      <c r="AZ7" s="23" t="s">
        <v>81</v>
      </c>
      <c r="BA7" s="23" t="s">
        <v>81</v>
      </c>
      <c r="BB7" s="23">
        <v>1</v>
      </c>
      <c r="BC7" s="23" t="s">
        <v>82</v>
      </c>
      <c r="BD7" s="18" t="s">
        <v>83</v>
      </c>
      <c r="BE7" s="23" t="s">
        <v>86</v>
      </c>
      <c r="BF7" s="15" t="str">
        <f t="shared" si="17"/>
        <v>Sangat baik</v>
      </c>
      <c r="BG7" s="23">
        <v>2</v>
      </c>
      <c r="BH7" s="18" t="s">
        <v>94</v>
      </c>
      <c r="BI7" s="18" t="s">
        <v>83</v>
      </c>
      <c r="BJ7" s="7" t="s">
        <v>86</v>
      </c>
      <c r="BK7" s="15" t="str">
        <f t="shared" si="18"/>
        <v>Sangat baik</v>
      </c>
      <c r="BL7" s="7"/>
      <c r="BM7" s="23"/>
      <c r="BN7" s="23"/>
      <c r="BO7" s="23"/>
      <c r="BP7" s="15"/>
      <c r="BR7" s="20">
        <v>80</v>
      </c>
      <c r="BS7" s="25" t="s">
        <v>109</v>
      </c>
      <c r="BU7" s="21"/>
      <c r="BV7" s="21"/>
    </row>
    <row r="8" spans="1:74" ht="24.95" customHeight="1" thickTop="1" thickBot="1" x14ac:dyDescent="0.3">
      <c r="A8" s="23">
        <v>7</v>
      </c>
      <c r="B8" s="7">
        <v>2525409</v>
      </c>
      <c r="C8" s="23" t="s">
        <v>114</v>
      </c>
      <c r="D8" s="24" t="s">
        <v>115</v>
      </c>
      <c r="E8" s="23" t="s">
        <v>72</v>
      </c>
      <c r="F8" s="7" t="s">
        <v>73</v>
      </c>
      <c r="G8" s="8" t="s">
        <v>74</v>
      </c>
      <c r="H8" s="9" t="s">
        <v>75</v>
      </c>
      <c r="I8" s="10" t="s">
        <v>76</v>
      </c>
      <c r="J8" s="11" t="s">
        <v>77</v>
      </c>
      <c r="K8" s="11" t="s">
        <v>78</v>
      </c>
      <c r="L8" s="11" t="s">
        <v>79</v>
      </c>
      <c r="M8" s="7">
        <v>78</v>
      </c>
      <c r="N8" s="13" t="str">
        <f t="shared" si="0"/>
        <v>Mencapai kompetensi dengan baik dalam hal</v>
      </c>
      <c r="O8" s="7">
        <v>76</v>
      </c>
      <c r="P8" s="13" t="str">
        <f t="shared" si="1"/>
        <v>Mencapai kompetensi dengan baik dalam hal</v>
      </c>
      <c r="Q8" s="7">
        <v>79</v>
      </c>
      <c r="R8" s="13" t="str">
        <f t="shared" si="2"/>
        <v>Mencapai kompetensi dengan baik dalam hal</v>
      </c>
      <c r="S8" s="7">
        <v>80</v>
      </c>
      <c r="T8" s="13" t="str">
        <f t="shared" si="3"/>
        <v>Mencapai kompetensi dengan baik dalam hal</v>
      </c>
      <c r="U8" s="7">
        <v>75</v>
      </c>
      <c r="V8" s="13" t="str">
        <f t="shared" si="4"/>
        <v>Mencapai kompetensi dengan baik dalam hal</v>
      </c>
      <c r="W8" s="7">
        <v>75</v>
      </c>
      <c r="X8" s="13" t="str">
        <f t="shared" si="5"/>
        <v>Mencapai kompetensi dengan baik dalam hal</v>
      </c>
      <c r="Y8" s="7">
        <v>79</v>
      </c>
      <c r="Z8" s="13" t="str">
        <f t="shared" si="6"/>
        <v>Mencapai kompetensi dengan baik dalam hal</v>
      </c>
      <c r="AA8" s="7">
        <v>79</v>
      </c>
      <c r="AB8" s="13" t="str">
        <f t="shared" si="7"/>
        <v>Mencapai kompetensi dengan baik dalam hal</v>
      </c>
      <c r="AC8" s="7">
        <v>78</v>
      </c>
      <c r="AD8" s="13" t="str">
        <f t="shared" si="8"/>
        <v>Mencapai kompetensi dengan baik dalam hal</v>
      </c>
      <c r="AE8" s="7">
        <v>80</v>
      </c>
      <c r="AF8" s="13" t="str">
        <f t="shared" si="9"/>
        <v>Mencapai kompetensi dengan baik dalam hal</v>
      </c>
      <c r="AG8" s="7">
        <v>80</v>
      </c>
      <c r="AH8" s="13" t="str">
        <f t="shared" si="10"/>
        <v>Mencapai kompetensi dengan baik dalam hal</v>
      </c>
      <c r="AI8" s="7">
        <v>77</v>
      </c>
      <c r="AJ8" s="13" t="str">
        <f t="shared" si="11"/>
        <v>Mencapai kompetensi dengan baik dalam hal</v>
      </c>
      <c r="AK8" s="7">
        <v>82</v>
      </c>
      <c r="AL8" s="13" t="str">
        <f t="shared" si="12"/>
        <v>Mencapai kompetensi dengan baik dalam hal</v>
      </c>
      <c r="AM8" s="7">
        <v>80</v>
      </c>
      <c r="AN8" s="13" t="str">
        <f t="shared" si="13"/>
        <v>Mencapai kompetensi dengan baik dalam hal</v>
      </c>
      <c r="AO8" s="7">
        <v>81</v>
      </c>
      <c r="AP8" s="13" t="str">
        <f t="shared" si="14"/>
        <v>Mencapai kompetensi dengan baik dalam hal</v>
      </c>
      <c r="AQ8" s="14">
        <f t="shared" si="20"/>
        <v>80</v>
      </c>
      <c r="AR8" s="7">
        <v>78</v>
      </c>
      <c r="AS8" s="13" t="str">
        <f t="shared" si="15"/>
        <v>Mencapai kompetensi dengan baik dalam hal</v>
      </c>
      <c r="AT8" s="7">
        <v>75</v>
      </c>
      <c r="AU8" s="13" t="str">
        <f t="shared" si="16"/>
        <v>Mencapai kompetensi dengan baik dalam hal</v>
      </c>
      <c r="AV8" s="23"/>
      <c r="AW8" s="17"/>
      <c r="AX8" s="17" t="s">
        <v>80</v>
      </c>
      <c r="AY8" s="23" t="s">
        <v>81</v>
      </c>
      <c r="AZ8" s="23" t="s">
        <v>81</v>
      </c>
      <c r="BA8" s="23" t="s">
        <v>81</v>
      </c>
      <c r="BB8" s="23">
        <v>1</v>
      </c>
      <c r="BC8" s="7" t="s">
        <v>82</v>
      </c>
      <c r="BD8" s="18" t="s">
        <v>83</v>
      </c>
      <c r="BE8" s="7" t="s">
        <v>86</v>
      </c>
      <c r="BF8" s="15" t="str">
        <f t="shared" si="17"/>
        <v>Sangat baik</v>
      </c>
      <c r="BG8" s="23">
        <v>2</v>
      </c>
      <c r="BH8" s="18" t="s">
        <v>116</v>
      </c>
      <c r="BI8" s="18" t="s">
        <v>83</v>
      </c>
      <c r="BJ8" s="7" t="s">
        <v>84</v>
      </c>
      <c r="BK8" s="15" t="str">
        <f t="shared" si="18"/>
        <v>Baik</v>
      </c>
      <c r="BL8" s="7"/>
      <c r="BM8" s="7"/>
      <c r="BN8" s="23"/>
      <c r="BO8" s="23"/>
      <c r="BP8" s="15"/>
      <c r="BR8" s="20">
        <v>85</v>
      </c>
      <c r="BS8" s="25" t="s">
        <v>109</v>
      </c>
    </row>
    <row r="9" spans="1:74" ht="24.95" customHeight="1" thickTop="1" thickBot="1" x14ac:dyDescent="0.3">
      <c r="A9" s="23">
        <v>8</v>
      </c>
      <c r="B9" s="7">
        <v>2525410</v>
      </c>
      <c r="C9" s="23" t="s">
        <v>117</v>
      </c>
      <c r="D9" s="24" t="s">
        <v>118</v>
      </c>
      <c r="E9" s="23" t="s">
        <v>72</v>
      </c>
      <c r="F9" s="7" t="s">
        <v>73</v>
      </c>
      <c r="G9" s="8" t="s">
        <v>74</v>
      </c>
      <c r="H9" s="9" t="s">
        <v>75</v>
      </c>
      <c r="I9" s="10" t="s">
        <v>76</v>
      </c>
      <c r="J9" s="11" t="s">
        <v>77</v>
      </c>
      <c r="K9" s="11" t="s">
        <v>78</v>
      </c>
      <c r="L9" s="11" t="s">
        <v>79</v>
      </c>
      <c r="M9" s="23">
        <v>79</v>
      </c>
      <c r="N9" s="13" t="str">
        <f t="shared" si="0"/>
        <v>Mencapai kompetensi dengan baik dalam hal</v>
      </c>
      <c r="O9" s="23">
        <v>77</v>
      </c>
      <c r="P9" s="13" t="str">
        <f t="shared" si="1"/>
        <v>Mencapai kompetensi dengan baik dalam hal</v>
      </c>
      <c r="Q9" s="23">
        <v>79</v>
      </c>
      <c r="R9" s="13" t="str">
        <f t="shared" si="2"/>
        <v>Mencapai kompetensi dengan baik dalam hal</v>
      </c>
      <c r="S9" s="23">
        <v>80</v>
      </c>
      <c r="T9" s="13" t="str">
        <f t="shared" si="3"/>
        <v>Mencapai kompetensi dengan baik dalam hal</v>
      </c>
      <c r="U9" s="23">
        <v>75</v>
      </c>
      <c r="V9" s="13" t="str">
        <f t="shared" si="4"/>
        <v>Mencapai kompetensi dengan baik dalam hal</v>
      </c>
      <c r="W9" s="23">
        <v>75</v>
      </c>
      <c r="X9" s="13" t="str">
        <f t="shared" si="5"/>
        <v>Mencapai kompetensi dengan baik dalam hal</v>
      </c>
      <c r="Y9" s="23">
        <v>80</v>
      </c>
      <c r="Z9" s="13" t="str">
        <f t="shared" si="6"/>
        <v>Mencapai kompetensi dengan baik dalam hal</v>
      </c>
      <c r="AA9" s="23">
        <v>78</v>
      </c>
      <c r="AB9" s="13" t="str">
        <f t="shared" si="7"/>
        <v>Mencapai kompetensi dengan baik dalam hal</v>
      </c>
      <c r="AC9" s="23">
        <v>78</v>
      </c>
      <c r="AD9" s="13" t="str">
        <f t="shared" si="8"/>
        <v>Mencapai kompetensi dengan baik dalam hal</v>
      </c>
      <c r="AE9" s="23">
        <v>80</v>
      </c>
      <c r="AF9" s="13" t="str">
        <f t="shared" si="9"/>
        <v>Mencapai kompetensi dengan baik dalam hal</v>
      </c>
      <c r="AG9" s="23">
        <v>75</v>
      </c>
      <c r="AH9" s="13" t="str">
        <f t="shared" si="10"/>
        <v>Mencapai kompetensi dengan baik dalam hal</v>
      </c>
      <c r="AI9" s="23">
        <v>81</v>
      </c>
      <c r="AJ9" s="13" t="str">
        <f t="shared" si="11"/>
        <v>Mencapai kompetensi dengan baik dalam hal</v>
      </c>
      <c r="AK9" s="23">
        <v>81</v>
      </c>
      <c r="AL9" s="13" t="str">
        <f t="shared" si="12"/>
        <v>Mencapai kompetensi dengan baik dalam hal</v>
      </c>
      <c r="AM9" s="23">
        <v>80</v>
      </c>
      <c r="AN9" s="13" t="str">
        <f t="shared" si="13"/>
        <v>Mencapai kompetensi dengan baik dalam hal</v>
      </c>
      <c r="AO9" s="23">
        <v>81</v>
      </c>
      <c r="AP9" s="13" t="str">
        <f t="shared" si="14"/>
        <v>Mencapai kompetensi dengan baik dalam hal</v>
      </c>
      <c r="AQ9" s="14">
        <f t="shared" si="20"/>
        <v>79.599999999999994</v>
      </c>
      <c r="AR9" s="23">
        <v>78</v>
      </c>
      <c r="AS9" s="13" t="str">
        <f t="shared" si="15"/>
        <v>Mencapai kompetensi dengan baik dalam hal</v>
      </c>
      <c r="AT9" s="23">
        <v>75</v>
      </c>
      <c r="AU9" s="13" t="str">
        <f t="shared" si="16"/>
        <v>Mencapai kompetensi dengan baik dalam hal</v>
      </c>
      <c r="AV9" s="23"/>
      <c r="AW9" s="18"/>
      <c r="AX9" s="18" t="s">
        <v>80</v>
      </c>
      <c r="AY9" s="23" t="s">
        <v>81</v>
      </c>
      <c r="AZ9" s="23" t="s">
        <v>81</v>
      </c>
      <c r="BA9" s="23" t="s">
        <v>81</v>
      </c>
      <c r="BB9" s="23">
        <v>1</v>
      </c>
      <c r="BC9" s="23" t="s">
        <v>82</v>
      </c>
      <c r="BD9" s="18" t="s">
        <v>83</v>
      </c>
      <c r="BE9" s="23" t="s">
        <v>86</v>
      </c>
      <c r="BF9" s="15" t="str">
        <f t="shared" si="17"/>
        <v>Sangat baik</v>
      </c>
      <c r="BG9" s="23">
        <v>2</v>
      </c>
      <c r="BH9" s="18" t="s">
        <v>119</v>
      </c>
      <c r="BI9" s="18" t="s">
        <v>83</v>
      </c>
      <c r="BJ9" s="7" t="s">
        <v>84</v>
      </c>
      <c r="BK9" s="15" t="str">
        <f t="shared" si="18"/>
        <v>Baik</v>
      </c>
      <c r="BL9" s="7"/>
      <c r="BM9" s="23"/>
      <c r="BN9" s="23"/>
      <c r="BO9" s="23"/>
      <c r="BP9" s="15"/>
      <c r="BR9" s="20">
        <v>90</v>
      </c>
      <c r="BS9" s="25" t="s">
        <v>120</v>
      </c>
    </row>
    <row r="10" spans="1:74" ht="24.95" customHeight="1" thickTop="1" thickBot="1" x14ac:dyDescent="0.3">
      <c r="A10" s="23">
        <v>9</v>
      </c>
      <c r="B10" s="7">
        <v>2525411</v>
      </c>
      <c r="C10" s="23" t="s">
        <v>121</v>
      </c>
      <c r="D10" s="24" t="s">
        <v>122</v>
      </c>
      <c r="E10" s="23" t="s">
        <v>72</v>
      </c>
      <c r="F10" s="7" t="s">
        <v>73</v>
      </c>
      <c r="G10" s="8" t="s">
        <v>74</v>
      </c>
      <c r="H10" s="9" t="s">
        <v>75</v>
      </c>
      <c r="I10" s="10" t="s">
        <v>76</v>
      </c>
      <c r="J10" s="11" t="s">
        <v>77</v>
      </c>
      <c r="K10" s="11" t="s">
        <v>78</v>
      </c>
      <c r="L10" s="11" t="s">
        <v>79</v>
      </c>
      <c r="M10" s="7">
        <v>80</v>
      </c>
      <c r="N10" s="13" t="str">
        <f t="shared" si="0"/>
        <v>Mencapai kompetensi dengan baik dalam hal</v>
      </c>
      <c r="O10" s="7">
        <v>75</v>
      </c>
      <c r="P10" s="13" t="str">
        <f t="shared" si="1"/>
        <v>Mencapai kompetensi dengan baik dalam hal</v>
      </c>
      <c r="Q10" s="7">
        <v>80</v>
      </c>
      <c r="R10" s="13" t="str">
        <f t="shared" si="2"/>
        <v>Mencapai kompetensi dengan baik dalam hal</v>
      </c>
      <c r="S10" s="7">
        <v>83</v>
      </c>
      <c r="T10" s="13" t="str">
        <f t="shared" si="3"/>
        <v>Mencapai kompetensi dengan baik dalam hal</v>
      </c>
      <c r="U10" s="7">
        <v>81</v>
      </c>
      <c r="V10" s="13" t="str">
        <f t="shared" si="4"/>
        <v>Mencapai kompetensi dengan baik dalam hal</v>
      </c>
      <c r="W10" s="7">
        <v>75</v>
      </c>
      <c r="X10" s="13" t="str">
        <f t="shared" si="5"/>
        <v>Mencapai kompetensi dengan baik dalam hal</v>
      </c>
      <c r="Y10" s="7">
        <v>81</v>
      </c>
      <c r="Z10" s="13" t="str">
        <f t="shared" si="6"/>
        <v>Mencapai kompetensi dengan baik dalam hal</v>
      </c>
      <c r="AA10" s="7">
        <v>78</v>
      </c>
      <c r="AB10" s="13" t="str">
        <f t="shared" si="7"/>
        <v>Mencapai kompetensi dengan baik dalam hal</v>
      </c>
      <c r="AC10" s="7">
        <v>81</v>
      </c>
      <c r="AD10" s="13" t="str">
        <f t="shared" si="8"/>
        <v>Mencapai kompetensi dengan baik dalam hal</v>
      </c>
      <c r="AE10" s="7">
        <v>78</v>
      </c>
      <c r="AF10" s="13" t="str">
        <f t="shared" si="9"/>
        <v>Mencapai kompetensi dengan baik dalam hal</v>
      </c>
      <c r="AG10" s="7">
        <v>82</v>
      </c>
      <c r="AH10" s="13" t="str">
        <f t="shared" si="10"/>
        <v>Mencapai kompetensi dengan baik dalam hal</v>
      </c>
      <c r="AI10" s="7">
        <v>82</v>
      </c>
      <c r="AJ10" s="13" t="str">
        <f t="shared" si="11"/>
        <v>Mencapai kompetensi dengan baik dalam hal</v>
      </c>
      <c r="AK10" s="7">
        <v>84</v>
      </c>
      <c r="AL10" s="13" t="str">
        <f t="shared" si="12"/>
        <v>Mencapai kompetensi dengan baik dalam hal</v>
      </c>
      <c r="AM10" s="7">
        <v>81</v>
      </c>
      <c r="AN10" s="13" t="str">
        <f t="shared" si="13"/>
        <v>Mencapai kompetensi dengan baik dalam hal</v>
      </c>
      <c r="AO10" s="7">
        <v>84</v>
      </c>
      <c r="AP10" s="13" t="str">
        <f t="shared" si="14"/>
        <v>Mencapai kompetensi dengan baik dalam hal</v>
      </c>
      <c r="AQ10" s="14">
        <f t="shared" si="20"/>
        <v>82.6</v>
      </c>
      <c r="AR10" s="7">
        <v>81</v>
      </c>
      <c r="AS10" s="13" t="str">
        <f t="shared" si="15"/>
        <v>Mencapai kompetensi dengan baik dalam hal</v>
      </c>
      <c r="AT10" s="7">
        <v>80</v>
      </c>
      <c r="AU10" s="13" t="str">
        <f t="shared" si="16"/>
        <v>Mencapai kompetensi dengan baik dalam hal</v>
      </c>
      <c r="AV10" s="23"/>
      <c r="AW10" s="17"/>
      <c r="AX10" s="17" t="s">
        <v>80</v>
      </c>
      <c r="AY10" s="23" t="s">
        <v>81</v>
      </c>
      <c r="AZ10" s="23" t="s">
        <v>81</v>
      </c>
      <c r="BA10" s="23" t="s">
        <v>81</v>
      </c>
      <c r="BB10" s="23">
        <v>1</v>
      </c>
      <c r="BC10" s="7" t="s">
        <v>82</v>
      </c>
      <c r="BD10" s="18" t="s">
        <v>83</v>
      </c>
      <c r="BE10" s="7" t="s">
        <v>84</v>
      </c>
      <c r="BF10" s="15" t="str">
        <f t="shared" si="17"/>
        <v>Baik</v>
      </c>
      <c r="BG10" s="23">
        <v>2</v>
      </c>
      <c r="BH10" s="18" t="s">
        <v>103</v>
      </c>
      <c r="BI10" s="18" t="s">
        <v>83</v>
      </c>
      <c r="BJ10" s="7" t="s">
        <v>84</v>
      </c>
      <c r="BK10" s="15" t="str">
        <f t="shared" si="18"/>
        <v>Baik</v>
      </c>
      <c r="BL10" s="7"/>
      <c r="BM10" s="7"/>
      <c r="BN10" s="23"/>
      <c r="BO10" s="23"/>
      <c r="BP10" s="15"/>
      <c r="BR10" s="20">
        <v>95</v>
      </c>
      <c r="BS10" s="25" t="s">
        <v>120</v>
      </c>
    </row>
    <row r="11" spans="1:74" ht="24.95" customHeight="1" thickTop="1" thickBot="1" x14ac:dyDescent="0.3">
      <c r="A11" s="23">
        <v>10</v>
      </c>
      <c r="B11" s="7">
        <v>2525412</v>
      </c>
      <c r="C11" s="23" t="s">
        <v>123</v>
      </c>
      <c r="D11" s="24" t="s">
        <v>124</v>
      </c>
      <c r="E11" s="23" t="s">
        <v>72</v>
      </c>
      <c r="F11" s="7" t="s">
        <v>73</v>
      </c>
      <c r="G11" s="8" t="s">
        <v>74</v>
      </c>
      <c r="H11" s="9" t="s">
        <v>75</v>
      </c>
      <c r="I11" s="10" t="s">
        <v>76</v>
      </c>
      <c r="J11" s="11" t="s">
        <v>77</v>
      </c>
      <c r="K11" s="11" t="s">
        <v>78</v>
      </c>
      <c r="L11" s="11" t="s">
        <v>79</v>
      </c>
      <c r="M11" s="23">
        <v>78</v>
      </c>
      <c r="N11" s="13" t="str">
        <f t="shared" si="0"/>
        <v>Mencapai kompetensi dengan baik dalam hal</v>
      </c>
      <c r="O11" s="23">
        <v>76</v>
      </c>
      <c r="P11" s="13" t="str">
        <f t="shared" si="1"/>
        <v>Mencapai kompetensi dengan baik dalam hal</v>
      </c>
      <c r="Q11" s="23">
        <v>77</v>
      </c>
      <c r="R11" s="13" t="str">
        <f t="shared" si="2"/>
        <v>Mencapai kompetensi dengan baik dalam hal</v>
      </c>
      <c r="S11" s="23">
        <v>80</v>
      </c>
      <c r="T11" s="13" t="str">
        <f t="shared" si="3"/>
        <v>Mencapai kompetensi dengan baik dalam hal</v>
      </c>
      <c r="U11" s="23">
        <v>70</v>
      </c>
      <c r="V11" s="13" t="str">
        <f t="shared" si="4"/>
        <v>Perlu peningkatan dalam hal</v>
      </c>
      <c r="W11" s="23">
        <v>75</v>
      </c>
      <c r="X11" s="13" t="str">
        <f t="shared" si="5"/>
        <v>Mencapai kompetensi dengan baik dalam hal</v>
      </c>
      <c r="Y11" s="23">
        <v>76</v>
      </c>
      <c r="Z11" s="13" t="str">
        <f t="shared" si="6"/>
        <v>Mencapai kompetensi dengan baik dalam hal</v>
      </c>
      <c r="AA11" s="23">
        <v>76</v>
      </c>
      <c r="AB11" s="13" t="str">
        <f t="shared" si="7"/>
        <v>Mencapai kompetensi dengan baik dalam hal</v>
      </c>
      <c r="AC11" s="23">
        <v>76</v>
      </c>
      <c r="AD11" s="13" t="str">
        <f t="shared" si="8"/>
        <v>Mencapai kompetensi dengan baik dalam hal</v>
      </c>
      <c r="AE11" s="23">
        <v>70</v>
      </c>
      <c r="AF11" s="13" t="str">
        <f t="shared" si="9"/>
        <v>Perlu peningkatan dalam hal</v>
      </c>
      <c r="AG11" s="23">
        <v>76</v>
      </c>
      <c r="AH11" s="13" t="str">
        <f t="shared" si="10"/>
        <v>Mencapai kompetensi dengan baik dalam hal</v>
      </c>
      <c r="AI11" s="23">
        <v>80</v>
      </c>
      <c r="AJ11" s="13" t="str">
        <f t="shared" si="11"/>
        <v>Mencapai kompetensi dengan baik dalam hal</v>
      </c>
      <c r="AK11" s="23">
        <v>79</v>
      </c>
      <c r="AL11" s="13" t="str">
        <f t="shared" si="12"/>
        <v>Mencapai kompetensi dengan baik dalam hal</v>
      </c>
      <c r="AM11" s="23">
        <v>83</v>
      </c>
      <c r="AN11" s="13" t="str">
        <f t="shared" si="13"/>
        <v>Mencapai kompetensi dengan baik dalam hal</v>
      </c>
      <c r="AO11" s="23">
        <v>80</v>
      </c>
      <c r="AP11" s="13" t="str">
        <f t="shared" si="14"/>
        <v>Mencapai kompetensi dengan baik dalam hal</v>
      </c>
      <c r="AQ11" s="14">
        <f t="shared" si="20"/>
        <v>79.599999999999994</v>
      </c>
      <c r="AR11" s="23">
        <v>76</v>
      </c>
      <c r="AS11" s="13" t="str">
        <f t="shared" si="15"/>
        <v>Mencapai kompetensi dengan baik dalam hal</v>
      </c>
      <c r="AT11" s="23">
        <v>75</v>
      </c>
      <c r="AU11" s="13" t="str">
        <f t="shared" si="16"/>
        <v>Mencapai kompetensi dengan baik dalam hal</v>
      </c>
      <c r="AV11" s="23"/>
      <c r="AW11" s="18"/>
      <c r="AX11" s="18" t="s">
        <v>80</v>
      </c>
      <c r="AY11" s="23">
        <v>10</v>
      </c>
      <c r="AZ11" s="23">
        <v>1</v>
      </c>
      <c r="BA11" s="23">
        <v>2</v>
      </c>
      <c r="BB11" s="23">
        <v>1</v>
      </c>
      <c r="BC11" s="23" t="s">
        <v>82</v>
      </c>
      <c r="BD11" s="18" t="s">
        <v>83</v>
      </c>
      <c r="BE11" s="23" t="s">
        <v>84</v>
      </c>
      <c r="BF11" s="15" t="str">
        <f t="shared" si="17"/>
        <v>Baik</v>
      </c>
      <c r="BG11" s="23">
        <v>2</v>
      </c>
      <c r="BH11" s="18" t="s">
        <v>125</v>
      </c>
      <c r="BI11" s="18" t="s">
        <v>83</v>
      </c>
      <c r="BJ11" s="7" t="s">
        <v>104</v>
      </c>
      <c r="BK11" s="15" t="str">
        <f t="shared" si="18"/>
        <v>Cukup</v>
      </c>
      <c r="BL11" s="7">
        <v>3</v>
      </c>
      <c r="BM11" s="23" t="s">
        <v>87</v>
      </c>
      <c r="BN11" s="18" t="s">
        <v>83</v>
      </c>
      <c r="BO11" s="23" t="s">
        <v>84</v>
      </c>
      <c r="BP11" s="15" t="str">
        <f t="shared" si="19"/>
        <v>Baik</v>
      </c>
      <c r="BR11" s="20">
        <v>100</v>
      </c>
      <c r="BS11" s="25" t="s">
        <v>120</v>
      </c>
    </row>
    <row r="12" spans="1:74" ht="24.95" customHeight="1" thickTop="1" thickBot="1" x14ac:dyDescent="0.3">
      <c r="A12" s="23">
        <v>11</v>
      </c>
      <c r="B12" s="7">
        <v>2525413</v>
      </c>
      <c r="C12" s="23" t="s">
        <v>126</v>
      </c>
      <c r="D12" s="24" t="s">
        <v>127</v>
      </c>
      <c r="E12" s="23" t="s">
        <v>72</v>
      </c>
      <c r="F12" s="7" t="s">
        <v>73</v>
      </c>
      <c r="G12" s="8" t="s">
        <v>74</v>
      </c>
      <c r="H12" s="9" t="s">
        <v>75</v>
      </c>
      <c r="I12" s="10" t="s">
        <v>76</v>
      </c>
      <c r="J12" s="11" t="s">
        <v>77</v>
      </c>
      <c r="K12" s="11" t="s">
        <v>78</v>
      </c>
      <c r="L12" s="11" t="s">
        <v>79</v>
      </c>
      <c r="M12" s="7">
        <v>82</v>
      </c>
      <c r="N12" s="13" t="str">
        <f t="shared" si="0"/>
        <v>Mencapai kompetensi dengan baik dalam hal</v>
      </c>
      <c r="O12" s="7">
        <v>75</v>
      </c>
      <c r="P12" s="13" t="str">
        <f t="shared" si="1"/>
        <v>Mencapai kompetensi dengan baik dalam hal</v>
      </c>
      <c r="Q12" s="7">
        <v>81</v>
      </c>
      <c r="R12" s="13" t="str">
        <f t="shared" si="2"/>
        <v>Mencapai kompetensi dengan baik dalam hal</v>
      </c>
      <c r="S12" s="7">
        <v>80</v>
      </c>
      <c r="T12" s="13" t="str">
        <f t="shared" si="3"/>
        <v>Mencapai kompetensi dengan baik dalam hal</v>
      </c>
      <c r="U12" s="7">
        <v>75</v>
      </c>
      <c r="V12" s="13" t="str">
        <f t="shared" si="4"/>
        <v>Mencapai kompetensi dengan baik dalam hal</v>
      </c>
      <c r="W12" s="7">
        <v>77</v>
      </c>
      <c r="X12" s="13" t="str">
        <f t="shared" si="5"/>
        <v>Mencapai kompetensi dengan baik dalam hal</v>
      </c>
      <c r="Y12" s="7">
        <v>80</v>
      </c>
      <c r="Z12" s="13" t="str">
        <f t="shared" si="6"/>
        <v>Mencapai kompetensi dengan baik dalam hal</v>
      </c>
      <c r="AA12" s="7">
        <v>78</v>
      </c>
      <c r="AB12" s="13" t="str">
        <f t="shared" si="7"/>
        <v>Mencapai kompetensi dengan baik dalam hal</v>
      </c>
      <c r="AC12" s="7">
        <v>78</v>
      </c>
      <c r="AD12" s="13" t="str">
        <f t="shared" si="8"/>
        <v>Mencapai kompetensi dengan baik dalam hal</v>
      </c>
      <c r="AE12" s="7">
        <v>80</v>
      </c>
      <c r="AF12" s="13" t="str">
        <f t="shared" si="9"/>
        <v>Mencapai kompetensi dengan baik dalam hal</v>
      </c>
      <c r="AG12" s="7">
        <v>76</v>
      </c>
      <c r="AH12" s="13" t="str">
        <f t="shared" si="10"/>
        <v>Mencapai kompetensi dengan baik dalam hal</v>
      </c>
      <c r="AI12" s="7">
        <v>82</v>
      </c>
      <c r="AJ12" s="13" t="str">
        <f t="shared" si="11"/>
        <v>Mencapai kompetensi dengan baik dalam hal</v>
      </c>
      <c r="AK12" s="7">
        <v>82</v>
      </c>
      <c r="AL12" s="13" t="str">
        <f t="shared" si="12"/>
        <v>Mencapai kompetensi dengan baik dalam hal</v>
      </c>
      <c r="AM12" s="7">
        <v>81</v>
      </c>
      <c r="AN12" s="13" t="str">
        <f t="shared" si="13"/>
        <v>Mencapai kompetensi dengan baik dalam hal</v>
      </c>
      <c r="AO12" s="7">
        <v>83</v>
      </c>
      <c r="AP12" s="13" t="str">
        <f t="shared" si="14"/>
        <v>Mencapai kompetensi dengan baik dalam hal</v>
      </c>
      <c r="AQ12" s="14">
        <f t="shared" si="20"/>
        <v>80.8</v>
      </c>
      <c r="AR12" s="7">
        <v>78</v>
      </c>
      <c r="AS12" s="13" t="str">
        <f t="shared" si="15"/>
        <v>Mencapai kompetensi dengan baik dalam hal</v>
      </c>
      <c r="AT12" s="7">
        <v>75</v>
      </c>
      <c r="AU12" s="13" t="str">
        <f t="shared" si="16"/>
        <v>Mencapai kompetensi dengan baik dalam hal</v>
      </c>
      <c r="AV12" s="23"/>
      <c r="AW12" s="17"/>
      <c r="AX12" s="17" t="s">
        <v>80</v>
      </c>
      <c r="AY12" s="23" t="s">
        <v>81</v>
      </c>
      <c r="AZ12" s="23" t="s">
        <v>81</v>
      </c>
      <c r="BA12" s="23" t="s">
        <v>81</v>
      </c>
      <c r="BB12" s="23">
        <v>1</v>
      </c>
      <c r="BC12" s="7" t="s">
        <v>82</v>
      </c>
      <c r="BD12" s="18" t="s">
        <v>83</v>
      </c>
      <c r="BE12" s="7" t="s">
        <v>84</v>
      </c>
      <c r="BF12" s="15" t="str">
        <f t="shared" si="17"/>
        <v>Baik</v>
      </c>
      <c r="BG12" s="23">
        <v>2</v>
      </c>
      <c r="BH12" s="18" t="s">
        <v>125</v>
      </c>
      <c r="BI12" s="18" t="s">
        <v>83</v>
      </c>
      <c r="BJ12" s="7" t="s">
        <v>104</v>
      </c>
      <c r="BK12" s="15" t="str">
        <f t="shared" si="18"/>
        <v>Cukup</v>
      </c>
      <c r="BL12" s="7"/>
      <c r="BM12" s="7"/>
      <c r="BN12" s="23"/>
      <c r="BO12" s="23"/>
      <c r="BP12" s="15"/>
      <c r="BR12" s="22"/>
      <c r="BS12" s="22"/>
    </row>
    <row r="13" spans="1:74" ht="24.95" customHeight="1" thickTop="1" thickBot="1" x14ac:dyDescent="0.3">
      <c r="A13" s="23">
        <v>12</v>
      </c>
      <c r="B13" s="7">
        <v>2525414</v>
      </c>
      <c r="C13" s="23" t="s">
        <v>128</v>
      </c>
      <c r="D13" s="24" t="s">
        <v>129</v>
      </c>
      <c r="E13" s="23" t="s">
        <v>72</v>
      </c>
      <c r="F13" s="7" t="s">
        <v>73</v>
      </c>
      <c r="G13" s="8" t="s">
        <v>74</v>
      </c>
      <c r="H13" s="9" t="s">
        <v>75</v>
      </c>
      <c r="I13" s="10" t="s">
        <v>76</v>
      </c>
      <c r="J13" s="11" t="s">
        <v>77</v>
      </c>
      <c r="K13" s="11" t="s">
        <v>78</v>
      </c>
      <c r="L13" s="11" t="s">
        <v>79</v>
      </c>
      <c r="M13" s="23">
        <v>82</v>
      </c>
      <c r="N13" s="13" t="str">
        <f t="shared" si="0"/>
        <v>Mencapai kompetensi dengan baik dalam hal</v>
      </c>
      <c r="O13" s="23">
        <v>79</v>
      </c>
      <c r="P13" s="13" t="str">
        <f t="shared" si="1"/>
        <v>Mencapai kompetensi dengan baik dalam hal</v>
      </c>
      <c r="Q13" s="23">
        <v>81</v>
      </c>
      <c r="R13" s="13" t="str">
        <f t="shared" si="2"/>
        <v>Mencapai kompetensi dengan baik dalam hal</v>
      </c>
      <c r="S13" s="23">
        <v>85</v>
      </c>
      <c r="T13" s="13" t="str">
        <f t="shared" si="3"/>
        <v>Mencapai kompetensi dengan baik dalam hal</v>
      </c>
      <c r="U13" s="23">
        <v>80</v>
      </c>
      <c r="V13" s="13" t="str">
        <f t="shared" si="4"/>
        <v>Mencapai kompetensi dengan baik dalam hal</v>
      </c>
      <c r="W13" s="23">
        <v>75</v>
      </c>
      <c r="X13" s="13" t="str">
        <f t="shared" si="5"/>
        <v>Mencapai kompetensi dengan baik dalam hal</v>
      </c>
      <c r="Y13" s="23">
        <v>81</v>
      </c>
      <c r="Z13" s="13" t="str">
        <f t="shared" si="6"/>
        <v>Mencapai kompetensi dengan baik dalam hal</v>
      </c>
      <c r="AA13" s="23">
        <v>79</v>
      </c>
      <c r="AB13" s="13" t="str">
        <f t="shared" si="7"/>
        <v>Mencapai kompetensi dengan baik dalam hal</v>
      </c>
      <c r="AC13" s="23">
        <v>80</v>
      </c>
      <c r="AD13" s="13" t="str">
        <f t="shared" si="8"/>
        <v>Mencapai kompetensi dengan baik dalam hal</v>
      </c>
      <c r="AE13" s="23">
        <v>82</v>
      </c>
      <c r="AF13" s="13" t="str">
        <f t="shared" si="9"/>
        <v>Mencapai kompetensi dengan baik dalam hal</v>
      </c>
      <c r="AG13" s="23">
        <v>81</v>
      </c>
      <c r="AH13" s="13" t="str">
        <f t="shared" si="10"/>
        <v>Mencapai kompetensi dengan baik dalam hal</v>
      </c>
      <c r="AI13" s="23">
        <v>83</v>
      </c>
      <c r="AJ13" s="13" t="str">
        <f t="shared" si="11"/>
        <v>Mencapai kompetensi dengan baik dalam hal</v>
      </c>
      <c r="AK13" s="23">
        <v>81</v>
      </c>
      <c r="AL13" s="13" t="str">
        <f t="shared" si="12"/>
        <v>Mencapai kompetensi dengan baik dalam hal</v>
      </c>
      <c r="AM13" s="23">
        <v>83</v>
      </c>
      <c r="AN13" s="13" t="str">
        <f t="shared" si="13"/>
        <v>Mencapai kompetensi dengan baik dalam hal</v>
      </c>
      <c r="AO13" s="23">
        <v>84</v>
      </c>
      <c r="AP13" s="13" t="str">
        <f t="shared" si="14"/>
        <v>Mencapai kompetensi dengan baik dalam hal</v>
      </c>
      <c r="AQ13" s="14">
        <f t="shared" si="20"/>
        <v>82.4</v>
      </c>
      <c r="AR13" s="23">
        <v>80</v>
      </c>
      <c r="AS13" s="13" t="str">
        <f t="shared" si="15"/>
        <v>Mencapai kompetensi dengan baik dalam hal</v>
      </c>
      <c r="AT13" s="23">
        <v>80</v>
      </c>
      <c r="AU13" s="13" t="str">
        <f t="shared" si="16"/>
        <v>Mencapai kompetensi dengan baik dalam hal</v>
      </c>
      <c r="AV13" s="23"/>
      <c r="AW13" s="18"/>
      <c r="AX13" s="18" t="s">
        <v>80</v>
      </c>
      <c r="AY13" s="23">
        <v>1</v>
      </c>
      <c r="AZ13" s="23" t="s">
        <v>81</v>
      </c>
      <c r="BA13" s="23" t="s">
        <v>81</v>
      </c>
      <c r="BB13" s="23">
        <v>1</v>
      </c>
      <c r="BC13" s="23" t="s">
        <v>82</v>
      </c>
      <c r="BD13" s="18" t="s">
        <v>83</v>
      </c>
      <c r="BE13" s="23" t="s">
        <v>86</v>
      </c>
      <c r="BF13" s="15" t="str">
        <f t="shared" si="17"/>
        <v>Sangat baik</v>
      </c>
      <c r="BG13" s="23">
        <v>2</v>
      </c>
      <c r="BH13" s="18" t="s">
        <v>85</v>
      </c>
      <c r="BI13" s="18" t="s">
        <v>83</v>
      </c>
      <c r="BJ13" s="7" t="s">
        <v>84</v>
      </c>
      <c r="BK13" s="15" t="str">
        <f t="shared" si="18"/>
        <v>Baik</v>
      </c>
      <c r="BL13" s="7"/>
      <c r="BM13" s="23"/>
      <c r="BN13" s="23"/>
      <c r="BO13" s="23"/>
      <c r="BP13" s="15"/>
      <c r="BR13" s="22"/>
      <c r="BS13" s="22"/>
    </row>
    <row r="14" spans="1:74" ht="24.95" customHeight="1" thickTop="1" thickBot="1" x14ac:dyDescent="0.3">
      <c r="A14" s="23">
        <v>13</v>
      </c>
      <c r="B14" s="7">
        <v>2525415</v>
      </c>
      <c r="C14" s="23" t="s">
        <v>130</v>
      </c>
      <c r="D14" s="24" t="s">
        <v>131</v>
      </c>
      <c r="E14" s="23" t="s">
        <v>72</v>
      </c>
      <c r="F14" s="7" t="s">
        <v>73</v>
      </c>
      <c r="G14" s="8" t="s">
        <v>74</v>
      </c>
      <c r="H14" s="9" t="s">
        <v>75</v>
      </c>
      <c r="I14" s="10" t="s">
        <v>76</v>
      </c>
      <c r="J14" s="11" t="s">
        <v>77</v>
      </c>
      <c r="K14" s="11" t="s">
        <v>78</v>
      </c>
      <c r="L14" s="11" t="s">
        <v>79</v>
      </c>
      <c r="M14" s="7">
        <v>78</v>
      </c>
      <c r="N14" s="13" t="str">
        <f t="shared" si="0"/>
        <v>Mencapai kompetensi dengan baik dalam hal</v>
      </c>
      <c r="O14" s="7">
        <v>76</v>
      </c>
      <c r="P14" s="13" t="str">
        <f t="shared" si="1"/>
        <v>Mencapai kompetensi dengan baik dalam hal</v>
      </c>
      <c r="Q14" s="7">
        <v>80</v>
      </c>
      <c r="R14" s="13" t="str">
        <f t="shared" si="2"/>
        <v>Mencapai kompetensi dengan baik dalam hal</v>
      </c>
      <c r="S14" s="7">
        <v>84</v>
      </c>
      <c r="T14" s="13" t="str">
        <f t="shared" si="3"/>
        <v>Mencapai kompetensi dengan baik dalam hal</v>
      </c>
      <c r="U14" s="7">
        <v>75</v>
      </c>
      <c r="V14" s="13" t="str">
        <f t="shared" si="4"/>
        <v>Mencapai kompetensi dengan baik dalam hal</v>
      </c>
      <c r="W14" s="7">
        <v>77</v>
      </c>
      <c r="X14" s="13" t="str">
        <f t="shared" si="5"/>
        <v>Mencapai kompetensi dengan baik dalam hal</v>
      </c>
      <c r="Y14" s="7">
        <v>83</v>
      </c>
      <c r="Z14" s="13" t="str">
        <f t="shared" si="6"/>
        <v>Mencapai kompetensi dengan baik dalam hal</v>
      </c>
      <c r="AA14" s="7">
        <v>76</v>
      </c>
      <c r="AB14" s="13" t="str">
        <f t="shared" si="7"/>
        <v>Mencapai kompetensi dengan baik dalam hal</v>
      </c>
      <c r="AC14" s="7">
        <v>78</v>
      </c>
      <c r="AD14" s="13" t="str">
        <f t="shared" si="8"/>
        <v>Mencapai kompetensi dengan baik dalam hal</v>
      </c>
      <c r="AE14" s="7">
        <v>80</v>
      </c>
      <c r="AF14" s="13" t="str">
        <f t="shared" si="9"/>
        <v>Mencapai kompetensi dengan baik dalam hal</v>
      </c>
      <c r="AG14" s="7">
        <v>79</v>
      </c>
      <c r="AH14" s="13" t="str">
        <f t="shared" si="10"/>
        <v>Mencapai kompetensi dengan baik dalam hal</v>
      </c>
      <c r="AI14" s="7">
        <v>79</v>
      </c>
      <c r="AJ14" s="13" t="str">
        <f t="shared" si="11"/>
        <v>Mencapai kompetensi dengan baik dalam hal</v>
      </c>
      <c r="AK14" s="7">
        <v>83</v>
      </c>
      <c r="AL14" s="13" t="str">
        <f t="shared" si="12"/>
        <v>Mencapai kompetensi dengan baik dalam hal</v>
      </c>
      <c r="AM14" s="7">
        <v>80</v>
      </c>
      <c r="AN14" s="13" t="str">
        <f t="shared" si="13"/>
        <v>Mencapai kompetensi dengan baik dalam hal</v>
      </c>
      <c r="AO14" s="7">
        <v>82</v>
      </c>
      <c r="AP14" s="13" t="str">
        <f t="shared" si="14"/>
        <v>Mencapai kompetensi dengan baik dalam hal</v>
      </c>
      <c r="AQ14" s="14">
        <f t="shared" si="20"/>
        <v>80.599999999999994</v>
      </c>
      <c r="AR14" s="7">
        <v>78</v>
      </c>
      <c r="AS14" s="13" t="str">
        <f t="shared" si="15"/>
        <v>Mencapai kompetensi dengan baik dalam hal</v>
      </c>
      <c r="AT14" s="7">
        <v>80</v>
      </c>
      <c r="AU14" s="13" t="str">
        <f t="shared" si="16"/>
        <v>Mencapai kompetensi dengan baik dalam hal</v>
      </c>
      <c r="AV14" s="23"/>
      <c r="AW14" s="17"/>
      <c r="AX14" s="17" t="s">
        <v>80</v>
      </c>
      <c r="AY14" s="23" t="s">
        <v>81</v>
      </c>
      <c r="AZ14" s="23" t="s">
        <v>81</v>
      </c>
      <c r="BA14" s="23" t="s">
        <v>81</v>
      </c>
      <c r="BB14" s="23">
        <v>1</v>
      </c>
      <c r="BC14" s="7" t="s">
        <v>82</v>
      </c>
      <c r="BD14" s="18" t="s">
        <v>83</v>
      </c>
      <c r="BE14" s="7" t="s">
        <v>86</v>
      </c>
      <c r="BF14" s="15" t="str">
        <f t="shared" si="17"/>
        <v>Sangat baik</v>
      </c>
      <c r="BG14" s="23">
        <v>2</v>
      </c>
      <c r="BH14" s="18" t="s">
        <v>99</v>
      </c>
      <c r="BI14" s="18" t="s">
        <v>83</v>
      </c>
      <c r="BJ14" s="7" t="s">
        <v>84</v>
      </c>
      <c r="BK14" s="15" t="str">
        <f t="shared" si="18"/>
        <v>Baik</v>
      </c>
      <c r="BL14" s="7"/>
      <c r="BM14" s="7"/>
      <c r="BN14" s="23"/>
      <c r="BO14" s="23"/>
      <c r="BP14" s="15"/>
    </row>
    <row r="15" spans="1:74" ht="24.95" customHeight="1" thickTop="1" thickBot="1" x14ac:dyDescent="0.3">
      <c r="A15" s="23">
        <v>14</v>
      </c>
      <c r="B15" s="7">
        <v>2525416</v>
      </c>
      <c r="C15" s="23" t="s">
        <v>132</v>
      </c>
      <c r="D15" s="24" t="s">
        <v>133</v>
      </c>
      <c r="E15" s="23" t="s">
        <v>72</v>
      </c>
      <c r="F15" s="7" t="s">
        <v>73</v>
      </c>
      <c r="G15" s="8" t="s">
        <v>74</v>
      </c>
      <c r="H15" s="9" t="s">
        <v>75</v>
      </c>
      <c r="I15" s="10" t="s">
        <v>76</v>
      </c>
      <c r="J15" s="11" t="s">
        <v>77</v>
      </c>
      <c r="K15" s="11" t="s">
        <v>78</v>
      </c>
      <c r="L15" s="11" t="s">
        <v>79</v>
      </c>
      <c r="M15" s="23">
        <v>80</v>
      </c>
      <c r="N15" s="13" t="str">
        <f t="shared" si="0"/>
        <v>Mencapai kompetensi dengan baik dalam hal</v>
      </c>
      <c r="O15" s="23">
        <v>77</v>
      </c>
      <c r="P15" s="13" t="str">
        <f t="shared" si="1"/>
        <v>Mencapai kompetensi dengan baik dalam hal</v>
      </c>
      <c r="Q15" s="23">
        <v>80</v>
      </c>
      <c r="R15" s="13" t="str">
        <f t="shared" si="2"/>
        <v>Mencapai kompetensi dengan baik dalam hal</v>
      </c>
      <c r="S15" s="23">
        <v>81</v>
      </c>
      <c r="T15" s="13" t="str">
        <f t="shared" si="3"/>
        <v>Mencapai kompetensi dengan baik dalam hal</v>
      </c>
      <c r="U15" s="23">
        <v>80</v>
      </c>
      <c r="V15" s="13" t="str">
        <f t="shared" si="4"/>
        <v>Mencapai kompetensi dengan baik dalam hal</v>
      </c>
      <c r="W15" s="23">
        <v>82</v>
      </c>
      <c r="X15" s="13" t="str">
        <f t="shared" si="5"/>
        <v>Mencapai kompetensi dengan baik dalam hal</v>
      </c>
      <c r="Y15" s="23">
        <v>81</v>
      </c>
      <c r="Z15" s="13" t="str">
        <f t="shared" si="6"/>
        <v>Mencapai kompetensi dengan baik dalam hal</v>
      </c>
      <c r="AA15" s="23">
        <v>78</v>
      </c>
      <c r="AB15" s="13" t="str">
        <f t="shared" si="7"/>
        <v>Mencapai kompetensi dengan baik dalam hal</v>
      </c>
      <c r="AC15" s="23">
        <v>78</v>
      </c>
      <c r="AD15" s="13" t="str">
        <f t="shared" si="8"/>
        <v>Mencapai kompetensi dengan baik dalam hal</v>
      </c>
      <c r="AE15" s="23">
        <v>82</v>
      </c>
      <c r="AF15" s="13" t="str">
        <f t="shared" si="9"/>
        <v>Mencapai kompetensi dengan baik dalam hal</v>
      </c>
      <c r="AG15" s="23">
        <v>89</v>
      </c>
      <c r="AH15" s="13" t="str">
        <f t="shared" si="10"/>
        <v>Mencapai kompetensi dengan baik dalam hal</v>
      </c>
      <c r="AI15" s="23">
        <v>86</v>
      </c>
      <c r="AJ15" s="13" t="str">
        <f t="shared" si="11"/>
        <v>Mencapai kompetensi dengan baik dalam hal</v>
      </c>
      <c r="AK15" s="23">
        <v>87</v>
      </c>
      <c r="AL15" s="13" t="str">
        <f t="shared" si="12"/>
        <v>Mencapai kompetensi dengan baik dalam hal</v>
      </c>
      <c r="AM15" s="23">
        <v>89</v>
      </c>
      <c r="AN15" s="13" t="str">
        <f t="shared" si="13"/>
        <v>Mencapai kompetensi dengan baik dalam hal</v>
      </c>
      <c r="AO15" s="23">
        <v>88</v>
      </c>
      <c r="AP15" s="13" t="str">
        <f t="shared" si="14"/>
        <v>Mencapai kompetensi dengan baik dalam hal</v>
      </c>
      <c r="AQ15" s="14">
        <f t="shared" si="20"/>
        <v>87.8</v>
      </c>
      <c r="AR15" s="23">
        <v>78</v>
      </c>
      <c r="AS15" s="13" t="str">
        <f t="shared" si="15"/>
        <v>Mencapai kompetensi dengan baik dalam hal</v>
      </c>
      <c r="AT15" s="23">
        <v>78</v>
      </c>
      <c r="AU15" s="13" t="str">
        <f t="shared" si="16"/>
        <v>Mencapai kompetensi dengan baik dalam hal</v>
      </c>
      <c r="AV15" s="23"/>
      <c r="AW15" s="18"/>
      <c r="AX15" s="18" t="s">
        <v>80</v>
      </c>
      <c r="AY15" s="23">
        <v>1</v>
      </c>
      <c r="AZ15" s="23" t="s">
        <v>81</v>
      </c>
      <c r="BA15" s="23" t="s">
        <v>81</v>
      </c>
      <c r="BB15" s="23">
        <v>1</v>
      </c>
      <c r="BC15" s="23" t="s">
        <v>82</v>
      </c>
      <c r="BD15" s="18" t="s">
        <v>83</v>
      </c>
      <c r="BE15" s="23" t="s">
        <v>86</v>
      </c>
      <c r="BF15" s="15" t="str">
        <f t="shared" si="17"/>
        <v>Sangat baik</v>
      </c>
      <c r="BG15" s="23">
        <v>2</v>
      </c>
      <c r="BH15" s="18" t="s">
        <v>134</v>
      </c>
      <c r="BI15" s="18" t="s">
        <v>83</v>
      </c>
      <c r="BJ15" s="7" t="s">
        <v>84</v>
      </c>
      <c r="BK15" s="15" t="str">
        <f t="shared" si="18"/>
        <v>Baik</v>
      </c>
      <c r="BL15" s="7"/>
      <c r="BM15" s="23"/>
      <c r="BN15" s="23"/>
      <c r="BO15" s="23"/>
      <c r="BP15" s="15"/>
    </row>
    <row r="16" spans="1:74" ht="24.95" customHeight="1" thickTop="1" thickBot="1" x14ac:dyDescent="0.3">
      <c r="A16" s="23">
        <v>15</v>
      </c>
      <c r="B16" s="7">
        <v>2525417</v>
      </c>
      <c r="C16" s="23" t="s">
        <v>135</v>
      </c>
      <c r="D16" s="24" t="s">
        <v>136</v>
      </c>
      <c r="E16" s="23" t="s">
        <v>72</v>
      </c>
      <c r="F16" s="7" t="s">
        <v>73</v>
      </c>
      <c r="G16" s="8" t="s">
        <v>74</v>
      </c>
      <c r="H16" s="9" t="s">
        <v>75</v>
      </c>
      <c r="I16" s="10" t="s">
        <v>76</v>
      </c>
      <c r="J16" s="11" t="s">
        <v>77</v>
      </c>
      <c r="K16" s="11" t="s">
        <v>78</v>
      </c>
      <c r="L16" s="11" t="s">
        <v>79</v>
      </c>
      <c r="M16" s="7">
        <v>83</v>
      </c>
      <c r="N16" s="13" t="str">
        <f t="shared" si="0"/>
        <v>Mencapai kompetensi dengan baik dalam hal</v>
      </c>
      <c r="O16" s="7">
        <v>76</v>
      </c>
      <c r="P16" s="13" t="str">
        <f t="shared" si="1"/>
        <v>Mencapai kompetensi dengan baik dalam hal</v>
      </c>
      <c r="Q16" s="7">
        <v>81</v>
      </c>
      <c r="R16" s="13" t="str">
        <f t="shared" si="2"/>
        <v>Mencapai kompetensi dengan baik dalam hal</v>
      </c>
      <c r="S16" s="7">
        <v>83</v>
      </c>
      <c r="T16" s="13" t="str">
        <f t="shared" si="3"/>
        <v>Mencapai kompetensi dengan baik dalam hal</v>
      </c>
      <c r="U16" s="7">
        <v>81</v>
      </c>
      <c r="V16" s="13" t="str">
        <f t="shared" si="4"/>
        <v>Mencapai kompetensi dengan baik dalam hal</v>
      </c>
      <c r="W16" s="7">
        <v>83</v>
      </c>
      <c r="X16" s="13" t="str">
        <f t="shared" si="5"/>
        <v>Mencapai kompetensi dengan baik dalam hal</v>
      </c>
      <c r="Y16" s="7">
        <v>79</v>
      </c>
      <c r="Z16" s="13" t="str">
        <f t="shared" si="6"/>
        <v>Mencapai kompetensi dengan baik dalam hal</v>
      </c>
      <c r="AA16" s="7">
        <v>81</v>
      </c>
      <c r="AB16" s="13" t="str">
        <f t="shared" si="7"/>
        <v>Mencapai kompetensi dengan baik dalam hal</v>
      </c>
      <c r="AC16" s="7">
        <v>78</v>
      </c>
      <c r="AD16" s="13" t="str">
        <f t="shared" si="8"/>
        <v>Mencapai kompetensi dengan baik dalam hal</v>
      </c>
      <c r="AE16" s="7">
        <v>80</v>
      </c>
      <c r="AF16" s="13" t="str">
        <f t="shared" si="9"/>
        <v>Mencapai kompetensi dengan baik dalam hal</v>
      </c>
      <c r="AG16" s="7">
        <v>93</v>
      </c>
      <c r="AH16" s="13" t="str">
        <f t="shared" si="10"/>
        <v>Mencapai kompetensi dengan sangat baik dalam hal</v>
      </c>
      <c r="AI16" s="7">
        <v>91</v>
      </c>
      <c r="AJ16" s="13" t="str">
        <f t="shared" si="11"/>
        <v>Mencapai kompetensi dengan sangat baik dalam hal</v>
      </c>
      <c r="AK16" s="7">
        <v>89</v>
      </c>
      <c r="AL16" s="13" t="str">
        <f t="shared" si="12"/>
        <v>Mencapai kompetensi dengan baik dalam hal</v>
      </c>
      <c r="AM16" s="7">
        <v>93</v>
      </c>
      <c r="AN16" s="13" t="str">
        <f t="shared" si="13"/>
        <v>Mencapai kompetensi dengan sangat baik dalam hal</v>
      </c>
      <c r="AO16" s="7">
        <v>90</v>
      </c>
      <c r="AP16" s="13" t="str">
        <f t="shared" si="14"/>
        <v>Mencapai kompetensi dengan sangat baik dalam hal</v>
      </c>
      <c r="AQ16" s="14">
        <f t="shared" si="20"/>
        <v>91.2</v>
      </c>
      <c r="AR16" s="7">
        <v>78</v>
      </c>
      <c r="AS16" s="13" t="str">
        <f t="shared" si="15"/>
        <v>Mencapai kompetensi dengan baik dalam hal</v>
      </c>
      <c r="AT16" s="7">
        <v>82</v>
      </c>
      <c r="AU16" s="13" t="str">
        <f t="shared" si="16"/>
        <v>Mencapai kompetensi dengan baik dalam hal</v>
      </c>
      <c r="AV16" s="23"/>
      <c r="AW16" s="17"/>
      <c r="AX16" s="17" t="s">
        <v>80</v>
      </c>
      <c r="AY16" s="23">
        <v>1</v>
      </c>
      <c r="AZ16" s="23" t="s">
        <v>81</v>
      </c>
      <c r="BA16" s="23" t="s">
        <v>81</v>
      </c>
      <c r="BB16" s="23">
        <v>1</v>
      </c>
      <c r="BC16" s="7" t="s">
        <v>82</v>
      </c>
      <c r="BD16" s="18" t="s">
        <v>83</v>
      </c>
      <c r="BE16" s="7" t="s">
        <v>86</v>
      </c>
      <c r="BF16" s="15" t="str">
        <f t="shared" si="17"/>
        <v>Sangat baik</v>
      </c>
      <c r="BG16" s="23">
        <v>2</v>
      </c>
      <c r="BH16" s="18" t="s">
        <v>125</v>
      </c>
      <c r="BI16" s="18" t="s">
        <v>83</v>
      </c>
      <c r="BJ16" s="7" t="s">
        <v>84</v>
      </c>
      <c r="BK16" s="15" t="str">
        <f t="shared" si="18"/>
        <v>Baik</v>
      </c>
      <c r="BL16" s="7"/>
      <c r="BM16" s="7"/>
      <c r="BN16" s="23"/>
      <c r="BO16" s="23"/>
      <c r="BP16" s="15"/>
    </row>
    <row r="17" spans="1:75" ht="24.95" customHeight="1" thickTop="1" thickBot="1" x14ac:dyDescent="0.3">
      <c r="A17" s="23">
        <v>16</v>
      </c>
      <c r="B17" s="7">
        <v>2525419</v>
      </c>
      <c r="C17" s="23" t="s">
        <v>137</v>
      </c>
      <c r="D17" s="24" t="s">
        <v>138</v>
      </c>
      <c r="E17" s="23" t="s">
        <v>72</v>
      </c>
      <c r="F17" s="7" t="s">
        <v>73</v>
      </c>
      <c r="G17" s="8" t="s">
        <v>74</v>
      </c>
      <c r="H17" s="9" t="s">
        <v>75</v>
      </c>
      <c r="I17" s="10" t="s">
        <v>76</v>
      </c>
      <c r="J17" s="11" t="s">
        <v>77</v>
      </c>
      <c r="K17" s="11" t="s">
        <v>78</v>
      </c>
      <c r="L17" s="11" t="s">
        <v>79</v>
      </c>
      <c r="M17" s="23">
        <v>80</v>
      </c>
      <c r="N17" s="13" t="str">
        <f t="shared" si="0"/>
        <v>Mencapai kompetensi dengan baik dalam hal</v>
      </c>
      <c r="O17" s="23">
        <v>79</v>
      </c>
      <c r="P17" s="13" t="str">
        <f t="shared" si="1"/>
        <v>Mencapai kompetensi dengan baik dalam hal</v>
      </c>
      <c r="Q17" s="23">
        <v>79</v>
      </c>
      <c r="R17" s="13" t="str">
        <f t="shared" si="2"/>
        <v>Mencapai kompetensi dengan baik dalam hal</v>
      </c>
      <c r="S17" s="23">
        <v>81</v>
      </c>
      <c r="T17" s="13" t="str">
        <f t="shared" si="3"/>
        <v>Mencapai kompetensi dengan baik dalam hal</v>
      </c>
      <c r="U17" s="23">
        <v>76</v>
      </c>
      <c r="V17" s="13" t="str">
        <f t="shared" si="4"/>
        <v>Mencapai kompetensi dengan baik dalam hal</v>
      </c>
      <c r="W17" s="23">
        <v>76</v>
      </c>
      <c r="X17" s="13" t="str">
        <f t="shared" si="5"/>
        <v>Mencapai kompetensi dengan baik dalam hal</v>
      </c>
      <c r="Y17" s="23">
        <v>78</v>
      </c>
      <c r="Z17" s="13" t="str">
        <f t="shared" si="6"/>
        <v>Mencapai kompetensi dengan baik dalam hal</v>
      </c>
      <c r="AA17" s="23">
        <v>76</v>
      </c>
      <c r="AB17" s="13" t="str">
        <f t="shared" si="7"/>
        <v>Mencapai kompetensi dengan baik dalam hal</v>
      </c>
      <c r="AC17" s="23">
        <v>72</v>
      </c>
      <c r="AD17" s="13" t="str">
        <f t="shared" si="8"/>
        <v>Perlu peningkatan dalam hal</v>
      </c>
      <c r="AE17" s="23">
        <v>80</v>
      </c>
      <c r="AF17" s="13" t="str">
        <f t="shared" si="9"/>
        <v>Mencapai kompetensi dengan baik dalam hal</v>
      </c>
      <c r="AG17" s="23">
        <v>75</v>
      </c>
      <c r="AH17" s="13" t="str">
        <f t="shared" si="10"/>
        <v>Mencapai kompetensi dengan baik dalam hal</v>
      </c>
      <c r="AI17" s="23">
        <v>85</v>
      </c>
      <c r="AJ17" s="13" t="str">
        <f t="shared" si="11"/>
        <v>Mencapai kompetensi dengan baik dalam hal</v>
      </c>
      <c r="AK17" s="23">
        <v>80</v>
      </c>
      <c r="AL17" s="13" t="str">
        <f t="shared" si="12"/>
        <v>Mencapai kompetensi dengan baik dalam hal</v>
      </c>
      <c r="AM17" s="23">
        <v>80</v>
      </c>
      <c r="AN17" s="13" t="str">
        <f t="shared" si="13"/>
        <v>Mencapai kompetensi dengan baik dalam hal</v>
      </c>
      <c r="AO17" s="23">
        <v>82</v>
      </c>
      <c r="AP17" s="13" t="str">
        <f t="shared" si="14"/>
        <v>Mencapai kompetensi dengan baik dalam hal</v>
      </c>
      <c r="AQ17" s="14">
        <f t="shared" si="20"/>
        <v>80.400000000000006</v>
      </c>
      <c r="AR17" s="23">
        <v>72</v>
      </c>
      <c r="AS17" s="13" t="str">
        <f t="shared" si="15"/>
        <v>Perlu peningkatan dalam hal</v>
      </c>
      <c r="AT17" s="23">
        <v>75</v>
      </c>
      <c r="AU17" s="13" t="str">
        <f t="shared" si="16"/>
        <v>Mencapai kompetensi dengan baik dalam hal</v>
      </c>
      <c r="AV17" s="23"/>
      <c r="AW17" s="18"/>
      <c r="AX17" s="18" t="s">
        <v>80</v>
      </c>
      <c r="AY17" s="23" t="s">
        <v>81</v>
      </c>
      <c r="AZ17" s="23" t="s">
        <v>81</v>
      </c>
      <c r="BA17" s="23" t="s">
        <v>81</v>
      </c>
      <c r="BB17" s="23">
        <v>1</v>
      </c>
      <c r="BC17" s="23" t="s">
        <v>82</v>
      </c>
      <c r="BD17" s="18" t="s">
        <v>83</v>
      </c>
      <c r="BE17" s="23" t="s">
        <v>84</v>
      </c>
      <c r="BF17" s="15" t="str">
        <f t="shared" si="17"/>
        <v>Baik</v>
      </c>
      <c r="BG17" s="23">
        <v>2</v>
      </c>
      <c r="BH17" s="18" t="s">
        <v>103</v>
      </c>
      <c r="BI17" s="18" t="s">
        <v>83</v>
      </c>
      <c r="BJ17" s="7" t="s">
        <v>84</v>
      </c>
      <c r="BK17" s="15" t="str">
        <f t="shared" si="18"/>
        <v>Baik</v>
      </c>
      <c r="BL17" s="7"/>
      <c r="BM17" s="23"/>
      <c r="BN17" s="23"/>
      <c r="BO17" s="23"/>
      <c r="BP17" s="15"/>
    </row>
    <row r="18" spans="1:75" ht="24.95" customHeight="1" thickTop="1" thickBot="1" x14ac:dyDescent="0.3">
      <c r="A18" s="23">
        <v>17</v>
      </c>
      <c r="B18" s="7">
        <v>2525420</v>
      </c>
      <c r="C18" s="23" t="s">
        <v>139</v>
      </c>
      <c r="D18" s="24" t="s">
        <v>140</v>
      </c>
      <c r="E18" s="23" t="s">
        <v>72</v>
      </c>
      <c r="F18" s="7" t="s">
        <v>73</v>
      </c>
      <c r="G18" s="8" t="s">
        <v>74</v>
      </c>
      <c r="H18" s="9" t="s">
        <v>75</v>
      </c>
      <c r="I18" s="10" t="s">
        <v>76</v>
      </c>
      <c r="J18" s="11" t="s">
        <v>77</v>
      </c>
      <c r="K18" s="11" t="s">
        <v>78</v>
      </c>
      <c r="L18" s="11" t="s">
        <v>79</v>
      </c>
      <c r="M18" s="7">
        <v>80</v>
      </c>
      <c r="N18" s="13" t="str">
        <f t="shared" si="0"/>
        <v>Mencapai kompetensi dengan baik dalam hal</v>
      </c>
      <c r="O18" s="7">
        <v>77</v>
      </c>
      <c r="P18" s="13" t="str">
        <f t="shared" si="1"/>
        <v>Mencapai kompetensi dengan baik dalam hal</v>
      </c>
      <c r="Q18" s="7">
        <v>79</v>
      </c>
      <c r="R18" s="13" t="str">
        <f t="shared" si="2"/>
        <v>Mencapai kompetensi dengan baik dalam hal</v>
      </c>
      <c r="S18" s="7">
        <v>83</v>
      </c>
      <c r="T18" s="13" t="str">
        <f t="shared" si="3"/>
        <v>Mencapai kompetensi dengan baik dalam hal</v>
      </c>
      <c r="U18" s="7">
        <v>75</v>
      </c>
      <c r="V18" s="13" t="str">
        <f t="shared" si="4"/>
        <v>Mencapai kompetensi dengan baik dalam hal</v>
      </c>
      <c r="W18" s="7">
        <v>75</v>
      </c>
      <c r="X18" s="13" t="str">
        <f t="shared" si="5"/>
        <v>Mencapai kompetensi dengan baik dalam hal</v>
      </c>
      <c r="Y18" s="7">
        <v>77</v>
      </c>
      <c r="Z18" s="13" t="str">
        <f t="shared" si="6"/>
        <v>Mencapai kompetensi dengan baik dalam hal</v>
      </c>
      <c r="AA18" s="7">
        <v>76</v>
      </c>
      <c r="AB18" s="13" t="str">
        <f t="shared" si="7"/>
        <v>Mencapai kompetensi dengan baik dalam hal</v>
      </c>
      <c r="AC18" s="7">
        <v>78</v>
      </c>
      <c r="AD18" s="13" t="str">
        <f t="shared" si="8"/>
        <v>Mencapai kompetensi dengan baik dalam hal</v>
      </c>
      <c r="AE18" s="7">
        <v>78</v>
      </c>
      <c r="AF18" s="13" t="str">
        <f t="shared" si="9"/>
        <v>Mencapai kompetensi dengan baik dalam hal</v>
      </c>
      <c r="AG18" s="7">
        <v>75</v>
      </c>
      <c r="AH18" s="13" t="str">
        <f t="shared" si="10"/>
        <v>Mencapai kompetensi dengan baik dalam hal</v>
      </c>
      <c r="AI18" s="7">
        <v>77</v>
      </c>
      <c r="AJ18" s="13" t="str">
        <f t="shared" si="11"/>
        <v>Mencapai kompetensi dengan baik dalam hal</v>
      </c>
      <c r="AK18" s="7">
        <v>81</v>
      </c>
      <c r="AL18" s="13" t="str">
        <f t="shared" si="12"/>
        <v>Mencapai kompetensi dengan baik dalam hal</v>
      </c>
      <c r="AM18" s="7">
        <v>80</v>
      </c>
      <c r="AN18" s="13" t="str">
        <f t="shared" si="13"/>
        <v>Mencapai kompetensi dengan baik dalam hal</v>
      </c>
      <c r="AO18" s="7">
        <v>81</v>
      </c>
      <c r="AP18" s="13" t="str">
        <f t="shared" si="14"/>
        <v>Mencapai kompetensi dengan baik dalam hal</v>
      </c>
      <c r="AQ18" s="14">
        <f t="shared" si="20"/>
        <v>78.8</v>
      </c>
      <c r="AR18" s="7">
        <v>78</v>
      </c>
      <c r="AS18" s="13" t="str">
        <f t="shared" si="15"/>
        <v>Mencapai kompetensi dengan baik dalam hal</v>
      </c>
      <c r="AT18" s="7">
        <v>75</v>
      </c>
      <c r="AU18" s="13" t="str">
        <f t="shared" si="16"/>
        <v>Mencapai kompetensi dengan baik dalam hal</v>
      </c>
      <c r="AV18" s="23"/>
      <c r="AW18" s="17"/>
      <c r="AX18" s="17" t="s">
        <v>80</v>
      </c>
      <c r="AY18" s="23">
        <v>2</v>
      </c>
      <c r="AZ18" s="23" t="s">
        <v>81</v>
      </c>
      <c r="BA18" s="23" t="s">
        <v>81</v>
      </c>
      <c r="BB18" s="23">
        <v>1</v>
      </c>
      <c r="BC18" s="7" t="s">
        <v>82</v>
      </c>
      <c r="BD18" s="18" t="s">
        <v>83</v>
      </c>
      <c r="BE18" s="7" t="s">
        <v>86</v>
      </c>
      <c r="BF18" s="15" t="str">
        <f t="shared" si="17"/>
        <v>Sangat baik</v>
      </c>
      <c r="BG18" s="23">
        <v>2</v>
      </c>
      <c r="BH18" s="18" t="s">
        <v>141</v>
      </c>
      <c r="BI18" s="18" t="s">
        <v>83</v>
      </c>
      <c r="BJ18" s="7" t="s">
        <v>84</v>
      </c>
      <c r="BK18" s="15" t="str">
        <f t="shared" si="18"/>
        <v>Baik</v>
      </c>
      <c r="BL18" s="7"/>
      <c r="BM18" s="7"/>
      <c r="BN18" s="23"/>
      <c r="BO18" s="23"/>
      <c r="BP18" s="15"/>
    </row>
    <row r="19" spans="1:75" ht="24.95" customHeight="1" thickTop="1" thickBot="1" x14ac:dyDescent="0.3">
      <c r="A19" s="23">
        <v>18</v>
      </c>
      <c r="B19" s="7">
        <v>2525421</v>
      </c>
      <c r="C19" s="23" t="s">
        <v>142</v>
      </c>
      <c r="D19" s="24" t="s">
        <v>143</v>
      </c>
      <c r="E19" s="23" t="s">
        <v>72</v>
      </c>
      <c r="F19" s="7" t="s">
        <v>73</v>
      </c>
      <c r="G19" s="8" t="s">
        <v>74</v>
      </c>
      <c r="H19" s="9" t="s">
        <v>75</v>
      </c>
      <c r="I19" s="10" t="s">
        <v>76</v>
      </c>
      <c r="J19" s="11" t="s">
        <v>77</v>
      </c>
      <c r="K19" s="11" t="s">
        <v>78</v>
      </c>
      <c r="L19" s="11" t="s">
        <v>79</v>
      </c>
      <c r="M19" s="23">
        <v>83</v>
      </c>
      <c r="N19" s="13" t="str">
        <f t="shared" si="0"/>
        <v>Mencapai kompetensi dengan baik dalam hal</v>
      </c>
      <c r="O19" s="23">
        <v>78</v>
      </c>
      <c r="P19" s="13" t="str">
        <f t="shared" si="1"/>
        <v>Mencapai kompetensi dengan baik dalam hal</v>
      </c>
      <c r="Q19" s="23">
        <v>82</v>
      </c>
      <c r="R19" s="13" t="str">
        <f t="shared" si="2"/>
        <v>Mencapai kompetensi dengan baik dalam hal</v>
      </c>
      <c r="S19" s="23">
        <v>85</v>
      </c>
      <c r="T19" s="13" t="str">
        <f t="shared" si="3"/>
        <v>Mencapai kompetensi dengan baik dalam hal</v>
      </c>
      <c r="U19" s="23">
        <v>85</v>
      </c>
      <c r="V19" s="13" t="str">
        <f t="shared" si="4"/>
        <v>Mencapai kompetensi dengan baik dalam hal</v>
      </c>
      <c r="W19" s="23">
        <v>83</v>
      </c>
      <c r="X19" s="13" t="str">
        <f t="shared" si="5"/>
        <v>Mencapai kompetensi dengan baik dalam hal</v>
      </c>
      <c r="Y19" s="23">
        <v>83</v>
      </c>
      <c r="Z19" s="13" t="str">
        <f t="shared" si="6"/>
        <v>Mencapai kompetensi dengan baik dalam hal</v>
      </c>
      <c r="AA19" s="23">
        <v>82</v>
      </c>
      <c r="AB19" s="13" t="str">
        <f t="shared" si="7"/>
        <v>Mencapai kompetensi dengan baik dalam hal</v>
      </c>
      <c r="AC19" s="23">
        <v>89</v>
      </c>
      <c r="AD19" s="13" t="str">
        <f t="shared" si="8"/>
        <v>Mencapai kompetensi dengan baik dalam hal</v>
      </c>
      <c r="AE19" s="23">
        <v>90</v>
      </c>
      <c r="AF19" s="13" t="str">
        <f t="shared" si="9"/>
        <v>Mencapai kompetensi dengan sangat baik dalam hal</v>
      </c>
      <c r="AG19" s="23">
        <v>85</v>
      </c>
      <c r="AH19" s="13" t="str">
        <f t="shared" si="10"/>
        <v>Mencapai kompetensi dengan baik dalam hal</v>
      </c>
      <c r="AI19" s="23">
        <v>84</v>
      </c>
      <c r="AJ19" s="13" t="str">
        <f t="shared" si="11"/>
        <v>Mencapai kompetensi dengan baik dalam hal</v>
      </c>
      <c r="AK19" s="23">
        <v>88</v>
      </c>
      <c r="AL19" s="13" t="str">
        <f t="shared" si="12"/>
        <v>Mencapai kompetensi dengan baik dalam hal</v>
      </c>
      <c r="AM19" s="23">
        <v>88</v>
      </c>
      <c r="AN19" s="13" t="str">
        <f t="shared" si="13"/>
        <v>Mencapai kompetensi dengan baik dalam hal</v>
      </c>
      <c r="AO19" s="23">
        <v>88</v>
      </c>
      <c r="AP19" s="13" t="str">
        <f t="shared" si="14"/>
        <v>Mencapai kompetensi dengan baik dalam hal</v>
      </c>
      <c r="AQ19" s="14">
        <f t="shared" si="20"/>
        <v>86.6</v>
      </c>
      <c r="AR19" s="23">
        <v>89</v>
      </c>
      <c r="AS19" s="13" t="str">
        <f t="shared" si="15"/>
        <v>Mencapai kompetensi dengan baik dalam hal</v>
      </c>
      <c r="AT19" s="23">
        <v>82</v>
      </c>
      <c r="AU19" s="13" t="str">
        <f t="shared" si="16"/>
        <v>Mencapai kompetensi dengan baik dalam hal</v>
      </c>
      <c r="AV19" s="23"/>
      <c r="AW19" s="18"/>
      <c r="AX19" s="18" t="s">
        <v>80</v>
      </c>
      <c r="AY19" s="23" t="s">
        <v>81</v>
      </c>
      <c r="AZ19" s="23" t="s">
        <v>81</v>
      </c>
      <c r="BA19" s="23" t="s">
        <v>81</v>
      </c>
      <c r="BB19" s="23">
        <v>1</v>
      </c>
      <c r="BC19" s="23" t="s">
        <v>82</v>
      </c>
      <c r="BD19" s="18" t="s">
        <v>83</v>
      </c>
      <c r="BE19" s="23" t="s">
        <v>86</v>
      </c>
      <c r="BF19" s="15" t="str">
        <f t="shared" si="17"/>
        <v>Sangat baik</v>
      </c>
      <c r="BG19" s="23">
        <v>2</v>
      </c>
      <c r="BH19" s="18" t="s">
        <v>116</v>
      </c>
      <c r="BI19" s="18" t="s">
        <v>83</v>
      </c>
      <c r="BJ19" s="7" t="s">
        <v>86</v>
      </c>
      <c r="BK19" s="15" t="str">
        <f t="shared" si="18"/>
        <v>Sangat baik</v>
      </c>
      <c r="BL19" s="7"/>
      <c r="BM19" s="23"/>
      <c r="BN19" s="23"/>
      <c r="BO19" s="23"/>
      <c r="BP19" s="15"/>
    </row>
    <row r="20" spans="1:75" ht="24.95" customHeight="1" thickTop="1" thickBot="1" x14ac:dyDescent="0.3">
      <c r="A20" s="23">
        <v>19</v>
      </c>
      <c r="B20" s="7">
        <v>2525422</v>
      </c>
      <c r="C20" s="23" t="s">
        <v>144</v>
      </c>
      <c r="D20" s="24" t="s">
        <v>145</v>
      </c>
      <c r="E20" s="23" t="s">
        <v>72</v>
      </c>
      <c r="F20" s="7" t="s">
        <v>73</v>
      </c>
      <c r="G20" s="8" t="s">
        <v>74</v>
      </c>
      <c r="H20" s="9" t="s">
        <v>75</v>
      </c>
      <c r="I20" s="10" t="s">
        <v>76</v>
      </c>
      <c r="J20" s="11" t="s">
        <v>77</v>
      </c>
      <c r="K20" s="11" t="s">
        <v>78</v>
      </c>
      <c r="L20" s="11" t="s">
        <v>79</v>
      </c>
      <c r="M20" s="7">
        <v>80</v>
      </c>
      <c r="N20" s="13" t="str">
        <f t="shared" si="0"/>
        <v>Mencapai kompetensi dengan baik dalam hal</v>
      </c>
      <c r="O20" s="7">
        <v>81</v>
      </c>
      <c r="P20" s="13" t="str">
        <f t="shared" si="1"/>
        <v>Mencapai kompetensi dengan baik dalam hal</v>
      </c>
      <c r="Q20" s="7">
        <v>82</v>
      </c>
      <c r="R20" s="13" t="str">
        <f t="shared" si="2"/>
        <v>Mencapai kompetensi dengan baik dalam hal</v>
      </c>
      <c r="S20" s="7">
        <v>81</v>
      </c>
      <c r="T20" s="13" t="str">
        <f t="shared" si="3"/>
        <v>Mencapai kompetensi dengan baik dalam hal</v>
      </c>
      <c r="U20" s="7">
        <v>79</v>
      </c>
      <c r="V20" s="13" t="str">
        <f t="shared" si="4"/>
        <v>Mencapai kompetensi dengan baik dalam hal</v>
      </c>
      <c r="W20" s="7">
        <v>78</v>
      </c>
      <c r="X20" s="13" t="str">
        <f t="shared" si="5"/>
        <v>Mencapai kompetensi dengan baik dalam hal</v>
      </c>
      <c r="Y20" s="7">
        <v>79</v>
      </c>
      <c r="Z20" s="13" t="str">
        <f t="shared" si="6"/>
        <v>Mencapai kompetensi dengan baik dalam hal</v>
      </c>
      <c r="AA20" s="7">
        <v>81</v>
      </c>
      <c r="AB20" s="13" t="str">
        <f t="shared" si="7"/>
        <v>Mencapai kompetensi dengan baik dalam hal</v>
      </c>
      <c r="AC20" s="7">
        <v>77</v>
      </c>
      <c r="AD20" s="13" t="str">
        <f t="shared" si="8"/>
        <v>Mencapai kompetensi dengan baik dalam hal</v>
      </c>
      <c r="AE20" s="7">
        <v>80</v>
      </c>
      <c r="AF20" s="13" t="str">
        <f t="shared" si="9"/>
        <v>Mencapai kompetensi dengan baik dalam hal</v>
      </c>
      <c r="AG20" s="7">
        <v>85</v>
      </c>
      <c r="AH20" s="13" t="str">
        <f t="shared" si="10"/>
        <v>Mencapai kompetensi dengan baik dalam hal</v>
      </c>
      <c r="AI20" s="7">
        <v>81</v>
      </c>
      <c r="AJ20" s="13" t="str">
        <f t="shared" si="11"/>
        <v>Mencapai kompetensi dengan baik dalam hal</v>
      </c>
      <c r="AK20" s="7">
        <v>84</v>
      </c>
      <c r="AL20" s="13" t="str">
        <f t="shared" si="12"/>
        <v>Mencapai kompetensi dengan baik dalam hal</v>
      </c>
      <c r="AM20" s="7">
        <v>83</v>
      </c>
      <c r="AN20" s="13" t="str">
        <f t="shared" si="13"/>
        <v>Mencapai kompetensi dengan baik dalam hal</v>
      </c>
      <c r="AO20" s="7">
        <v>85</v>
      </c>
      <c r="AP20" s="13" t="str">
        <f t="shared" si="14"/>
        <v>Mencapai kompetensi dengan baik dalam hal</v>
      </c>
      <c r="AQ20" s="14">
        <f t="shared" si="20"/>
        <v>83.6</v>
      </c>
      <c r="AR20" s="7">
        <v>77</v>
      </c>
      <c r="AS20" s="13" t="str">
        <f t="shared" si="15"/>
        <v>Mencapai kompetensi dengan baik dalam hal</v>
      </c>
      <c r="AT20" s="7">
        <v>79</v>
      </c>
      <c r="AU20" s="13" t="str">
        <f t="shared" si="16"/>
        <v>Mencapai kompetensi dengan baik dalam hal</v>
      </c>
      <c r="AV20" s="23"/>
      <c r="AW20" s="17"/>
      <c r="AX20" s="17" t="s">
        <v>80</v>
      </c>
      <c r="AY20" s="23" t="s">
        <v>81</v>
      </c>
      <c r="AZ20" s="23" t="s">
        <v>81</v>
      </c>
      <c r="BA20" s="23" t="s">
        <v>81</v>
      </c>
      <c r="BB20" s="23">
        <v>1</v>
      </c>
      <c r="BC20" s="7" t="s">
        <v>82</v>
      </c>
      <c r="BD20" s="18" t="s">
        <v>83</v>
      </c>
      <c r="BE20" s="7" t="s">
        <v>86</v>
      </c>
      <c r="BF20" s="15" t="str">
        <f t="shared" si="17"/>
        <v>Sangat baik</v>
      </c>
      <c r="BG20" s="23">
        <v>2</v>
      </c>
      <c r="BH20" s="18" t="s">
        <v>134</v>
      </c>
      <c r="BI20" s="18" t="s">
        <v>83</v>
      </c>
      <c r="BJ20" s="7" t="s">
        <v>84</v>
      </c>
      <c r="BK20" s="15" t="str">
        <f t="shared" si="18"/>
        <v>Baik</v>
      </c>
      <c r="BL20" s="7"/>
      <c r="BM20" s="7"/>
      <c r="BN20" s="23"/>
      <c r="BO20" s="23"/>
      <c r="BP20" s="15"/>
    </row>
    <row r="21" spans="1:75" ht="24.95" customHeight="1" thickTop="1" thickBot="1" x14ac:dyDescent="0.3">
      <c r="A21" s="23">
        <v>20</v>
      </c>
      <c r="B21" s="7">
        <v>2525423</v>
      </c>
      <c r="C21" s="23" t="s">
        <v>146</v>
      </c>
      <c r="D21" s="24" t="s">
        <v>147</v>
      </c>
      <c r="E21" s="23" t="s">
        <v>72</v>
      </c>
      <c r="F21" s="7" t="s">
        <v>73</v>
      </c>
      <c r="G21" s="8" t="s">
        <v>74</v>
      </c>
      <c r="H21" s="9" t="s">
        <v>75</v>
      </c>
      <c r="I21" s="10" t="s">
        <v>76</v>
      </c>
      <c r="J21" s="11" t="s">
        <v>77</v>
      </c>
      <c r="K21" s="11" t="s">
        <v>78</v>
      </c>
      <c r="L21" s="11" t="s">
        <v>79</v>
      </c>
      <c r="M21" s="23">
        <v>80</v>
      </c>
      <c r="N21" s="13" t="str">
        <f t="shared" si="0"/>
        <v>Mencapai kompetensi dengan baik dalam hal</v>
      </c>
      <c r="O21" s="23">
        <v>78</v>
      </c>
      <c r="P21" s="13" t="str">
        <f t="shared" si="1"/>
        <v>Mencapai kompetensi dengan baik dalam hal</v>
      </c>
      <c r="Q21" s="23">
        <v>80</v>
      </c>
      <c r="R21" s="13" t="str">
        <f t="shared" si="2"/>
        <v>Mencapai kompetensi dengan baik dalam hal</v>
      </c>
      <c r="S21" s="23">
        <v>82</v>
      </c>
      <c r="T21" s="13" t="str">
        <f t="shared" si="3"/>
        <v>Mencapai kompetensi dengan baik dalam hal</v>
      </c>
      <c r="U21" s="23">
        <v>75</v>
      </c>
      <c r="V21" s="13" t="str">
        <f t="shared" si="4"/>
        <v>Mencapai kompetensi dengan baik dalam hal</v>
      </c>
      <c r="W21" s="23">
        <v>78</v>
      </c>
      <c r="X21" s="13" t="str">
        <f t="shared" si="5"/>
        <v>Mencapai kompetensi dengan baik dalam hal</v>
      </c>
      <c r="Y21" s="23">
        <v>76</v>
      </c>
      <c r="Z21" s="13" t="str">
        <f t="shared" si="6"/>
        <v>Mencapai kompetensi dengan baik dalam hal</v>
      </c>
      <c r="AA21" s="23">
        <v>79</v>
      </c>
      <c r="AB21" s="13" t="str">
        <f t="shared" si="7"/>
        <v>Mencapai kompetensi dengan baik dalam hal</v>
      </c>
      <c r="AC21" s="23">
        <v>78</v>
      </c>
      <c r="AD21" s="13" t="str">
        <f t="shared" si="8"/>
        <v>Mencapai kompetensi dengan baik dalam hal</v>
      </c>
      <c r="AE21" s="23">
        <v>80</v>
      </c>
      <c r="AF21" s="13" t="str">
        <f t="shared" si="9"/>
        <v>Mencapai kompetensi dengan baik dalam hal</v>
      </c>
      <c r="AG21" s="23">
        <v>75</v>
      </c>
      <c r="AH21" s="13" t="str">
        <f t="shared" si="10"/>
        <v>Mencapai kompetensi dengan baik dalam hal</v>
      </c>
      <c r="AI21" s="23">
        <v>80</v>
      </c>
      <c r="AJ21" s="13" t="str">
        <f t="shared" si="11"/>
        <v>Mencapai kompetensi dengan baik dalam hal</v>
      </c>
      <c r="AK21" s="23">
        <v>83</v>
      </c>
      <c r="AL21" s="13" t="str">
        <f t="shared" si="12"/>
        <v>Mencapai kompetensi dengan baik dalam hal</v>
      </c>
      <c r="AM21" s="23">
        <v>80</v>
      </c>
      <c r="AN21" s="13" t="str">
        <f t="shared" si="13"/>
        <v>Mencapai kompetensi dengan baik dalam hal</v>
      </c>
      <c r="AO21" s="23">
        <v>81</v>
      </c>
      <c r="AP21" s="13" t="str">
        <f t="shared" si="14"/>
        <v>Mencapai kompetensi dengan baik dalam hal</v>
      </c>
      <c r="AQ21" s="14">
        <f t="shared" si="20"/>
        <v>79.8</v>
      </c>
      <c r="AR21" s="23">
        <v>78</v>
      </c>
      <c r="AS21" s="13" t="str">
        <f t="shared" si="15"/>
        <v>Mencapai kompetensi dengan baik dalam hal</v>
      </c>
      <c r="AT21" s="23">
        <v>75</v>
      </c>
      <c r="AU21" s="13" t="str">
        <f t="shared" si="16"/>
        <v>Mencapai kompetensi dengan baik dalam hal</v>
      </c>
      <c r="AV21" s="23"/>
      <c r="AW21" s="18"/>
      <c r="AX21" s="18" t="s">
        <v>80</v>
      </c>
      <c r="AY21" s="23">
        <v>2</v>
      </c>
      <c r="AZ21" s="23" t="s">
        <v>81</v>
      </c>
      <c r="BA21" s="23" t="s">
        <v>81</v>
      </c>
      <c r="BB21" s="23">
        <v>1</v>
      </c>
      <c r="BC21" s="23" t="s">
        <v>82</v>
      </c>
      <c r="BD21" s="18" t="s">
        <v>83</v>
      </c>
      <c r="BE21" s="23" t="s">
        <v>86</v>
      </c>
      <c r="BF21" s="15" t="str">
        <f t="shared" si="17"/>
        <v>Sangat baik</v>
      </c>
      <c r="BG21" s="23">
        <v>2</v>
      </c>
      <c r="BH21" s="18" t="s">
        <v>125</v>
      </c>
      <c r="BI21" s="18" t="s">
        <v>83</v>
      </c>
      <c r="BJ21" s="7" t="s">
        <v>104</v>
      </c>
      <c r="BK21" s="15" t="str">
        <f t="shared" si="18"/>
        <v>Cukup</v>
      </c>
      <c r="BL21" s="7"/>
      <c r="BM21" s="23"/>
      <c r="BN21" s="23"/>
      <c r="BO21" s="23"/>
      <c r="BP21" s="15"/>
    </row>
    <row r="22" spans="1:75" ht="24.95" customHeight="1" thickTop="1" thickBot="1" x14ac:dyDescent="0.3">
      <c r="A22" s="23">
        <v>21</v>
      </c>
      <c r="B22" s="7">
        <v>2525424</v>
      </c>
      <c r="C22" s="23" t="s">
        <v>148</v>
      </c>
      <c r="D22" s="24" t="s">
        <v>149</v>
      </c>
      <c r="E22" s="23" t="s">
        <v>72</v>
      </c>
      <c r="F22" s="7" t="s">
        <v>73</v>
      </c>
      <c r="G22" s="8" t="s">
        <v>74</v>
      </c>
      <c r="H22" s="9" t="s">
        <v>75</v>
      </c>
      <c r="I22" s="10" t="s">
        <v>76</v>
      </c>
      <c r="J22" s="11" t="s">
        <v>77</v>
      </c>
      <c r="K22" s="11" t="s">
        <v>78</v>
      </c>
      <c r="L22" s="11" t="s">
        <v>79</v>
      </c>
      <c r="M22" s="7">
        <v>78</v>
      </c>
      <c r="N22" s="13" t="str">
        <f t="shared" si="0"/>
        <v>Mencapai kompetensi dengan baik dalam hal</v>
      </c>
      <c r="O22" s="7">
        <v>78</v>
      </c>
      <c r="P22" s="13" t="str">
        <f t="shared" si="1"/>
        <v>Mencapai kompetensi dengan baik dalam hal</v>
      </c>
      <c r="Q22" s="7">
        <v>80</v>
      </c>
      <c r="R22" s="13" t="str">
        <f t="shared" si="2"/>
        <v>Mencapai kompetensi dengan baik dalam hal</v>
      </c>
      <c r="S22" s="7">
        <v>80</v>
      </c>
      <c r="T22" s="13" t="str">
        <f t="shared" si="3"/>
        <v>Mencapai kompetensi dengan baik dalam hal</v>
      </c>
      <c r="U22" s="7">
        <v>82</v>
      </c>
      <c r="V22" s="13" t="str">
        <f t="shared" si="4"/>
        <v>Mencapai kompetensi dengan baik dalam hal</v>
      </c>
      <c r="W22" s="7">
        <v>75</v>
      </c>
      <c r="X22" s="13" t="str">
        <f t="shared" si="5"/>
        <v>Mencapai kompetensi dengan baik dalam hal</v>
      </c>
      <c r="Y22" s="7">
        <v>79</v>
      </c>
      <c r="Z22" s="13" t="str">
        <f t="shared" si="6"/>
        <v>Mencapai kompetensi dengan baik dalam hal</v>
      </c>
      <c r="AA22" s="7">
        <v>76</v>
      </c>
      <c r="AB22" s="13" t="str">
        <f t="shared" si="7"/>
        <v>Mencapai kompetensi dengan baik dalam hal</v>
      </c>
      <c r="AC22" s="7">
        <v>76</v>
      </c>
      <c r="AD22" s="13" t="str">
        <f t="shared" si="8"/>
        <v>Mencapai kompetensi dengan baik dalam hal</v>
      </c>
      <c r="AE22" s="7">
        <v>82</v>
      </c>
      <c r="AF22" s="13" t="str">
        <f t="shared" si="9"/>
        <v>Mencapai kompetensi dengan baik dalam hal</v>
      </c>
      <c r="AG22" s="7">
        <v>76</v>
      </c>
      <c r="AH22" s="13" t="str">
        <f t="shared" si="10"/>
        <v>Mencapai kompetensi dengan baik dalam hal</v>
      </c>
      <c r="AI22" s="7">
        <v>78</v>
      </c>
      <c r="AJ22" s="13" t="str">
        <f t="shared" si="11"/>
        <v>Mencapai kompetensi dengan baik dalam hal</v>
      </c>
      <c r="AK22" s="7">
        <v>82</v>
      </c>
      <c r="AL22" s="13" t="str">
        <f t="shared" si="12"/>
        <v>Mencapai kompetensi dengan baik dalam hal</v>
      </c>
      <c r="AM22" s="7">
        <v>80</v>
      </c>
      <c r="AN22" s="13" t="str">
        <f t="shared" si="13"/>
        <v>Mencapai kompetensi dengan baik dalam hal</v>
      </c>
      <c r="AO22" s="7">
        <v>80</v>
      </c>
      <c r="AP22" s="13" t="str">
        <f t="shared" si="14"/>
        <v>Mencapai kompetensi dengan baik dalam hal</v>
      </c>
      <c r="AQ22" s="14">
        <f t="shared" si="20"/>
        <v>79.2</v>
      </c>
      <c r="AR22" s="7">
        <v>76</v>
      </c>
      <c r="AS22" s="13" t="str">
        <f t="shared" si="15"/>
        <v>Mencapai kompetensi dengan baik dalam hal</v>
      </c>
      <c r="AT22" s="7">
        <v>75</v>
      </c>
      <c r="AU22" s="13" t="str">
        <f t="shared" si="16"/>
        <v>Mencapai kompetensi dengan baik dalam hal</v>
      </c>
      <c r="AV22" s="23"/>
      <c r="AW22" s="17"/>
      <c r="AX22" s="17" t="s">
        <v>80</v>
      </c>
      <c r="AY22" s="23" t="s">
        <v>81</v>
      </c>
      <c r="AZ22" s="23" t="s">
        <v>81</v>
      </c>
      <c r="BA22" s="23" t="s">
        <v>81</v>
      </c>
      <c r="BB22" s="23">
        <v>1</v>
      </c>
      <c r="BC22" s="7" t="s">
        <v>82</v>
      </c>
      <c r="BD22" s="18" t="s">
        <v>83</v>
      </c>
      <c r="BE22" s="7" t="s">
        <v>84</v>
      </c>
      <c r="BF22" s="15" t="str">
        <f t="shared" si="17"/>
        <v>Baik</v>
      </c>
      <c r="BG22" s="23">
        <v>2</v>
      </c>
      <c r="BH22" s="18" t="s">
        <v>134</v>
      </c>
      <c r="BI22" s="18" t="s">
        <v>83</v>
      </c>
      <c r="BJ22" s="7" t="s">
        <v>104</v>
      </c>
      <c r="BK22" s="15" t="str">
        <f t="shared" si="18"/>
        <v>Cukup</v>
      </c>
      <c r="BL22" s="7"/>
      <c r="BM22" s="7"/>
      <c r="BN22" s="23"/>
      <c r="BO22" s="23"/>
      <c r="BP22" s="15"/>
    </row>
    <row r="23" spans="1:75" ht="24.95" customHeight="1" thickTop="1" thickBot="1" x14ac:dyDescent="0.3">
      <c r="A23" s="23">
        <v>22</v>
      </c>
      <c r="B23" s="7">
        <v>2525425</v>
      </c>
      <c r="C23" s="23" t="s">
        <v>150</v>
      </c>
      <c r="D23" s="24" t="s">
        <v>151</v>
      </c>
      <c r="E23" s="23" t="s">
        <v>72</v>
      </c>
      <c r="F23" s="7" t="s">
        <v>73</v>
      </c>
      <c r="G23" s="8" t="s">
        <v>74</v>
      </c>
      <c r="H23" s="9" t="s">
        <v>75</v>
      </c>
      <c r="I23" s="10" t="s">
        <v>76</v>
      </c>
      <c r="J23" s="11" t="s">
        <v>77</v>
      </c>
      <c r="K23" s="11" t="s">
        <v>78</v>
      </c>
      <c r="L23" s="11" t="s">
        <v>79</v>
      </c>
      <c r="M23" s="23">
        <v>80</v>
      </c>
      <c r="N23" s="13" t="str">
        <f t="shared" si="0"/>
        <v>Mencapai kompetensi dengan baik dalam hal</v>
      </c>
      <c r="O23" s="23">
        <v>76</v>
      </c>
      <c r="P23" s="13" t="str">
        <f t="shared" si="1"/>
        <v>Mencapai kompetensi dengan baik dalam hal</v>
      </c>
      <c r="Q23" s="23">
        <v>81</v>
      </c>
      <c r="R23" s="13" t="str">
        <f t="shared" si="2"/>
        <v>Mencapai kompetensi dengan baik dalam hal</v>
      </c>
      <c r="S23" s="23">
        <v>82</v>
      </c>
      <c r="T23" s="13" t="str">
        <f t="shared" si="3"/>
        <v>Mencapai kompetensi dengan baik dalam hal</v>
      </c>
      <c r="U23" s="23">
        <v>77</v>
      </c>
      <c r="V23" s="13" t="str">
        <f t="shared" si="4"/>
        <v>Mencapai kompetensi dengan baik dalam hal</v>
      </c>
      <c r="W23" s="23">
        <v>75</v>
      </c>
      <c r="X23" s="13" t="str">
        <f t="shared" si="5"/>
        <v>Mencapai kompetensi dengan baik dalam hal</v>
      </c>
      <c r="Y23" s="23">
        <v>80</v>
      </c>
      <c r="Z23" s="13" t="str">
        <f t="shared" si="6"/>
        <v>Mencapai kompetensi dengan baik dalam hal</v>
      </c>
      <c r="AA23" s="23">
        <v>78</v>
      </c>
      <c r="AB23" s="13" t="str">
        <f t="shared" si="7"/>
        <v>Mencapai kompetensi dengan baik dalam hal</v>
      </c>
      <c r="AC23" s="23">
        <v>78</v>
      </c>
      <c r="AD23" s="13" t="str">
        <f t="shared" si="8"/>
        <v>Mencapai kompetensi dengan baik dalam hal</v>
      </c>
      <c r="AE23" s="23">
        <v>80</v>
      </c>
      <c r="AF23" s="13" t="str">
        <f t="shared" si="9"/>
        <v>Mencapai kompetensi dengan baik dalam hal</v>
      </c>
      <c r="AG23" s="23">
        <v>75</v>
      </c>
      <c r="AH23" s="13" t="str">
        <f t="shared" si="10"/>
        <v>Mencapai kompetensi dengan baik dalam hal</v>
      </c>
      <c r="AI23" s="23">
        <v>79</v>
      </c>
      <c r="AJ23" s="13" t="str">
        <f t="shared" si="11"/>
        <v>Mencapai kompetensi dengan baik dalam hal</v>
      </c>
      <c r="AK23" s="23">
        <v>81</v>
      </c>
      <c r="AL23" s="13" t="str">
        <f t="shared" si="12"/>
        <v>Mencapai kompetensi dengan baik dalam hal</v>
      </c>
      <c r="AM23" s="23">
        <v>80</v>
      </c>
      <c r="AN23" s="13" t="str">
        <f t="shared" si="13"/>
        <v>Mencapai kompetensi dengan baik dalam hal</v>
      </c>
      <c r="AO23" s="23">
        <v>81</v>
      </c>
      <c r="AP23" s="13" t="str">
        <f t="shared" si="14"/>
        <v>Mencapai kompetensi dengan baik dalam hal</v>
      </c>
      <c r="AQ23" s="14">
        <f t="shared" si="20"/>
        <v>79.2</v>
      </c>
      <c r="AR23" s="23">
        <v>78</v>
      </c>
      <c r="AS23" s="13" t="str">
        <f t="shared" si="15"/>
        <v>Mencapai kompetensi dengan baik dalam hal</v>
      </c>
      <c r="AT23" s="23">
        <v>75</v>
      </c>
      <c r="AU23" s="13" t="str">
        <f t="shared" si="16"/>
        <v>Mencapai kompetensi dengan baik dalam hal</v>
      </c>
      <c r="AV23" s="23"/>
      <c r="AW23" s="18"/>
      <c r="AX23" s="18" t="s">
        <v>80</v>
      </c>
      <c r="AY23" s="23">
        <v>1</v>
      </c>
      <c r="AZ23" s="23" t="s">
        <v>81</v>
      </c>
      <c r="BA23" s="23" t="s">
        <v>81</v>
      </c>
      <c r="BB23" s="23">
        <v>1</v>
      </c>
      <c r="BC23" s="23" t="s">
        <v>82</v>
      </c>
      <c r="BD23" s="18" t="s">
        <v>83</v>
      </c>
      <c r="BE23" s="23" t="s">
        <v>84</v>
      </c>
      <c r="BF23" s="15" t="str">
        <f t="shared" si="17"/>
        <v>Baik</v>
      </c>
      <c r="BG23" s="23">
        <v>2</v>
      </c>
      <c r="BH23" s="18" t="s">
        <v>108</v>
      </c>
      <c r="BI23" s="18" t="s">
        <v>83</v>
      </c>
      <c r="BJ23" s="7" t="s">
        <v>86</v>
      </c>
      <c r="BK23" s="15" t="str">
        <f t="shared" si="18"/>
        <v>Sangat baik</v>
      </c>
      <c r="BL23" s="7"/>
      <c r="BM23" s="23"/>
      <c r="BN23" s="23"/>
      <c r="BO23" s="23"/>
      <c r="BP23" s="15"/>
    </row>
    <row r="24" spans="1:75" ht="24.95" customHeight="1" thickTop="1" thickBot="1" x14ac:dyDescent="0.3">
      <c r="A24" s="23">
        <v>23</v>
      </c>
      <c r="B24" s="7">
        <v>2525426</v>
      </c>
      <c r="C24" s="23" t="s">
        <v>152</v>
      </c>
      <c r="D24" s="24" t="s">
        <v>153</v>
      </c>
      <c r="E24" s="23" t="s">
        <v>72</v>
      </c>
      <c r="F24" s="7" t="s">
        <v>73</v>
      </c>
      <c r="G24" s="8" t="s">
        <v>74</v>
      </c>
      <c r="H24" s="9" t="s">
        <v>75</v>
      </c>
      <c r="I24" s="10" t="s">
        <v>76</v>
      </c>
      <c r="J24" s="11" t="s">
        <v>77</v>
      </c>
      <c r="K24" s="11" t="s">
        <v>78</v>
      </c>
      <c r="L24" s="11" t="s">
        <v>79</v>
      </c>
      <c r="M24" s="7">
        <v>82</v>
      </c>
      <c r="N24" s="13" t="str">
        <f t="shared" si="0"/>
        <v>Mencapai kompetensi dengan baik dalam hal</v>
      </c>
      <c r="O24" s="7">
        <v>78</v>
      </c>
      <c r="P24" s="13" t="str">
        <f t="shared" si="1"/>
        <v>Mencapai kompetensi dengan baik dalam hal</v>
      </c>
      <c r="Q24" s="7">
        <v>81</v>
      </c>
      <c r="R24" s="13" t="str">
        <f t="shared" si="2"/>
        <v>Mencapai kompetensi dengan baik dalam hal</v>
      </c>
      <c r="S24" s="7">
        <v>80</v>
      </c>
      <c r="T24" s="13" t="str">
        <f t="shared" si="3"/>
        <v>Mencapai kompetensi dengan baik dalam hal</v>
      </c>
      <c r="U24" s="7">
        <v>78</v>
      </c>
      <c r="V24" s="13" t="str">
        <f t="shared" si="4"/>
        <v>Mencapai kompetensi dengan baik dalam hal</v>
      </c>
      <c r="W24" s="7">
        <v>75</v>
      </c>
      <c r="X24" s="13" t="str">
        <f t="shared" si="5"/>
        <v>Mencapai kompetensi dengan baik dalam hal</v>
      </c>
      <c r="Y24" s="7">
        <v>83</v>
      </c>
      <c r="Z24" s="13" t="str">
        <f t="shared" si="6"/>
        <v>Mencapai kompetensi dengan baik dalam hal</v>
      </c>
      <c r="AA24" s="7">
        <v>80</v>
      </c>
      <c r="AB24" s="13" t="str">
        <f t="shared" si="7"/>
        <v>Mencapai kompetensi dengan baik dalam hal</v>
      </c>
      <c r="AC24" s="7">
        <v>78</v>
      </c>
      <c r="AD24" s="13" t="str">
        <f t="shared" si="8"/>
        <v>Mencapai kompetensi dengan baik dalam hal</v>
      </c>
      <c r="AE24" s="7">
        <v>84</v>
      </c>
      <c r="AF24" s="13" t="str">
        <f t="shared" si="9"/>
        <v>Mencapai kompetensi dengan baik dalam hal</v>
      </c>
      <c r="AG24" s="7">
        <v>88</v>
      </c>
      <c r="AH24" s="13" t="str">
        <f t="shared" si="10"/>
        <v>Mencapai kompetensi dengan baik dalam hal</v>
      </c>
      <c r="AI24" s="7">
        <v>90</v>
      </c>
      <c r="AJ24" s="13" t="str">
        <f t="shared" si="11"/>
        <v>Mencapai kompetensi dengan sangat baik dalam hal</v>
      </c>
      <c r="AK24" s="7">
        <v>86</v>
      </c>
      <c r="AL24" s="13" t="str">
        <f t="shared" si="12"/>
        <v>Mencapai kompetensi dengan baik dalam hal</v>
      </c>
      <c r="AM24" s="7">
        <v>89</v>
      </c>
      <c r="AN24" s="13" t="str">
        <f t="shared" si="13"/>
        <v>Mencapai kompetensi dengan baik dalam hal</v>
      </c>
      <c r="AO24" s="7">
        <v>86</v>
      </c>
      <c r="AP24" s="13" t="str">
        <f t="shared" si="14"/>
        <v>Mencapai kompetensi dengan baik dalam hal</v>
      </c>
      <c r="AQ24" s="14">
        <f t="shared" si="20"/>
        <v>87.8</v>
      </c>
      <c r="AR24" s="7">
        <v>78</v>
      </c>
      <c r="AS24" s="13" t="str">
        <f t="shared" si="15"/>
        <v>Mencapai kompetensi dengan baik dalam hal</v>
      </c>
      <c r="AT24" s="7">
        <v>75</v>
      </c>
      <c r="AU24" s="13" t="str">
        <f t="shared" si="16"/>
        <v>Mencapai kompetensi dengan baik dalam hal</v>
      </c>
      <c r="AV24" s="23"/>
      <c r="AW24" s="17"/>
      <c r="AX24" s="17" t="s">
        <v>80</v>
      </c>
      <c r="AY24" s="23" t="s">
        <v>81</v>
      </c>
      <c r="AZ24" s="23" t="s">
        <v>81</v>
      </c>
      <c r="BA24" s="23" t="s">
        <v>81</v>
      </c>
      <c r="BB24" s="23">
        <v>1</v>
      </c>
      <c r="BC24" s="7" t="s">
        <v>82</v>
      </c>
      <c r="BD24" s="18" t="s">
        <v>83</v>
      </c>
      <c r="BE24" s="7" t="s">
        <v>86</v>
      </c>
      <c r="BF24" s="15" t="str">
        <f t="shared" si="17"/>
        <v>Sangat baik</v>
      </c>
      <c r="BG24" s="23">
        <v>2</v>
      </c>
      <c r="BH24" s="18" t="s">
        <v>119</v>
      </c>
      <c r="BI24" s="18" t="s">
        <v>83</v>
      </c>
      <c r="BJ24" s="7" t="s">
        <v>84</v>
      </c>
      <c r="BK24" s="15" t="str">
        <f t="shared" si="18"/>
        <v>Baik</v>
      </c>
      <c r="BL24" s="7"/>
      <c r="BM24" s="7"/>
      <c r="BN24" s="23"/>
      <c r="BO24" s="23"/>
      <c r="BP24" s="15"/>
    </row>
    <row r="25" spans="1:75" ht="24.95" customHeight="1" thickTop="1" thickBot="1" x14ac:dyDescent="0.3">
      <c r="A25" s="23">
        <v>24</v>
      </c>
      <c r="B25" s="7">
        <v>2525427</v>
      </c>
      <c r="C25" s="23" t="s">
        <v>154</v>
      </c>
      <c r="D25" s="24" t="s">
        <v>155</v>
      </c>
      <c r="E25" s="23" t="s">
        <v>72</v>
      </c>
      <c r="F25" s="7" t="s">
        <v>73</v>
      </c>
      <c r="G25" s="8" t="s">
        <v>74</v>
      </c>
      <c r="H25" s="9" t="s">
        <v>75</v>
      </c>
      <c r="I25" s="10" t="s">
        <v>76</v>
      </c>
      <c r="J25" s="11" t="s">
        <v>77</v>
      </c>
      <c r="K25" s="11" t="s">
        <v>78</v>
      </c>
      <c r="L25" s="11" t="s">
        <v>79</v>
      </c>
      <c r="M25" s="23">
        <v>80</v>
      </c>
      <c r="N25" s="13" t="str">
        <f t="shared" si="0"/>
        <v>Mencapai kompetensi dengan baik dalam hal</v>
      </c>
      <c r="O25" s="23">
        <v>77</v>
      </c>
      <c r="P25" s="13" t="str">
        <f t="shared" si="1"/>
        <v>Mencapai kompetensi dengan baik dalam hal</v>
      </c>
      <c r="Q25" s="23">
        <v>80</v>
      </c>
      <c r="R25" s="13" t="str">
        <f t="shared" si="2"/>
        <v>Mencapai kompetensi dengan baik dalam hal</v>
      </c>
      <c r="S25" s="23">
        <v>80</v>
      </c>
      <c r="T25" s="13" t="str">
        <f t="shared" si="3"/>
        <v>Mencapai kompetensi dengan baik dalam hal</v>
      </c>
      <c r="U25" s="23">
        <v>77</v>
      </c>
      <c r="V25" s="13" t="str">
        <f t="shared" si="4"/>
        <v>Mencapai kompetensi dengan baik dalam hal</v>
      </c>
      <c r="W25" s="23">
        <v>75</v>
      </c>
      <c r="X25" s="13" t="str">
        <f t="shared" si="5"/>
        <v>Mencapai kompetensi dengan baik dalam hal</v>
      </c>
      <c r="Y25" s="23">
        <v>82</v>
      </c>
      <c r="Z25" s="13" t="str">
        <f t="shared" si="6"/>
        <v>Mencapai kompetensi dengan baik dalam hal</v>
      </c>
      <c r="AA25" s="23">
        <v>79</v>
      </c>
      <c r="AB25" s="13" t="str">
        <f t="shared" si="7"/>
        <v>Mencapai kompetensi dengan baik dalam hal</v>
      </c>
      <c r="AC25" s="23">
        <v>78</v>
      </c>
      <c r="AD25" s="13" t="str">
        <f t="shared" si="8"/>
        <v>Mencapai kompetensi dengan baik dalam hal</v>
      </c>
      <c r="AE25" s="23">
        <v>80</v>
      </c>
      <c r="AF25" s="13" t="str">
        <f t="shared" si="9"/>
        <v>Mencapai kompetensi dengan baik dalam hal</v>
      </c>
      <c r="AG25" s="23">
        <v>81</v>
      </c>
      <c r="AH25" s="13" t="str">
        <f t="shared" si="10"/>
        <v>Mencapai kompetensi dengan baik dalam hal</v>
      </c>
      <c r="AI25" s="23">
        <v>78</v>
      </c>
      <c r="AJ25" s="13" t="str">
        <f t="shared" si="11"/>
        <v>Mencapai kompetensi dengan baik dalam hal</v>
      </c>
      <c r="AK25" s="23">
        <v>84</v>
      </c>
      <c r="AL25" s="13" t="str">
        <f t="shared" si="12"/>
        <v>Mencapai kompetensi dengan baik dalam hal</v>
      </c>
      <c r="AM25" s="23">
        <v>83</v>
      </c>
      <c r="AN25" s="13" t="str">
        <f t="shared" si="13"/>
        <v>Mencapai kompetensi dengan baik dalam hal</v>
      </c>
      <c r="AO25" s="23">
        <v>83</v>
      </c>
      <c r="AP25" s="13" t="str">
        <f t="shared" si="14"/>
        <v>Mencapai kompetensi dengan baik dalam hal</v>
      </c>
      <c r="AQ25" s="14">
        <f t="shared" si="20"/>
        <v>81.8</v>
      </c>
      <c r="AR25" s="23">
        <v>78</v>
      </c>
      <c r="AS25" s="13" t="str">
        <f t="shared" si="15"/>
        <v>Mencapai kompetensi dengan baik dalam hal</v>
      </c>
      <c r="AT25" s="23">
        <v>80</v>
      </c>
      <c r="AU25" s="13" t="str">
        <f t="shared" si="16"/>
        <v>Mencapai kompetensi dengan baik dalam hal</v>
      </c>
      <c r="AV25" s="23"/>
      <c r="AW25" s="18"/>
      <c r="AX25" s="18" t="s">
        <v>80</v>
      </c>
      <c r="AY25" s="23" t="s">
        <v>81</v>
      </c>
      <c r="AZ25" s="23" t="s">
        <v>81</v>
      </c>
      <c r="BA25" s="23" t="s">
        <v>81</v>
      </c>
      <c r="BB25" s="23">
        <v>1</v>
      </c>
      <c r="BC25" s="23" t="s">
        <v>82</v>
      </c>
      <c r="BD25" s="18" t="s">
        <v>83</v>
      </c>
      <c r="BE25" s="23" t="s">
        <v>86</v>
      </c>
      <c r="BF25" s="15" t="str">
        <f t="shared" si="17"/>
        <v>Sangat baik</v>
      </c>
      <c r="BG25" s="23">
        <v>2</v>
      </c>
      <c r="BH25" s="18" t="s">
        <v>108</v>
      </c>
      <c r="BI25" s="18" t="s">
        <v>83</v>
      </c>
      <c r="BJ25" s="7" t="s">
        <v>86</v>
      </c>
      <c r="BK25" s="15" t="str">
        <f t="shared" si="18"/>
        <v>Sangat baik</v>
      </c>
      <c r="BL25" s="7"/>
      <c r="BM25" s="23"/>
      <c r="BN25" s="23"/>
      <c r="BO25" s="23"/>
      <c r="BP25" s="15"/>
    </row>
    <row r="26" spans="1:75" s="36" customFormat="1" ht="24.95" customHeight="1" thickTop="1" thickBot="1" x14ac:dyDescent="0.3">
      <c r="A26" s="26">
        <v>25</v>
      </c>
      <c r="B26" s="27">
        <v>2525428</v>
      </c>
      <c r="C26" s="26" t="s">
        <v>156</v>
      </c>
      <c r="D26" s="28" t="s">
        <v>157</v>
      </c>
      <c r="E26" s="26" t="s">
        <v>72</v>
      </c>
      <c r="F26" s="27" t="s">
        <v>73</v>
      </c>
      <c r="G26" s="29" t="s">
        <v>74</v>
      </c>
      <c r="H26" s="30" t="s">
        <v>75</v>
      </c>
      <c r="I26" s="31" t="s">
        <v>76</v>
      </c>
      <c r="J26" s="32" t="s">
        <v>77</v>
      </c>
      <c r="K26" s="32" t="s">
        <v>158</v>
      </c>
      <c r="L26" s="32" t="s">
        <v>159</v>
      </c>
      <c r="M26" s="27">
        <v>87</v>
      </c>
      <c r="N26" s="33" t="str">
        <f t="shared" si="0"/>
        <v>Mencapai kompetensi dengan baik dalam hal</v>
      </c>
      <c r="O26" s="27">
        <v>79</v>
      </c>
      <c r="P26" s="33" t="str">
        <f t="shared" si="1"/>
        <v>Mencapai kompetensi dengan baik dalam hal</v>
      </c>
      <c r="Q26" s="27">
        <v>79</v>
      </c>
      <c r="R26" s="33" t="str">
        <f t="shared" si="2"/>
        <v>Mencapai kompetensi dengan baik dalam hal</v>
      </c>
      <c r="S26" s="27">
        <v>83</v>
      </c>
      <c r="T26" s="33" t="str">
        <f t="shared" si="3"/>
        <v>Mencapai kompetensi dengan baik dalam hal</v>
      </c>
      <c r="U26" s="27">
        <v>76</v>
      </c>
      <c r="V26" s="33" t="str">
        <f t="shared" si="4"/>
        <v>Mencapai kompetensi dengan baik dalam hal</v>
      </c>
      <c r="W26" s="27">
        <v>75</v>
      </c>
      <c r="X26" s="33" t="str">
        <f t="shared" si="5"/>
        <v>Mencapai kompetensi dengan baik dalam hal</v>
      </c>
      <c r="Y26" s="27">
        <v>83</v>
      </c>
      <c r="Z26" s="33" t="str">
        <f t="shared" si="6"/>
        <v>Mencapai kompetensi dengan baik dalam hal</v>
      </c>
      <c r="AA26" s="27">
        <v>77</v>
      </c>
      <c r="AB26" s="33" t="str">
        <f t="shared" si="7"/>
        <v>Mencapai kompetensi dengan baik dalam hal</v>
      </c>
      <c r="AC26" s="27">
        <v>78</v>
      </c>
      <c r="AD26" s="33" t="str">
        <f t="shared" si="8"/>
        <v>Mencapai kompetensi dengan baik dalam hal</v>
      </c>
      <c r="AE26" s="27">
        <v>83</v>
      </c>
      <c r="AF26" s="33" t="str">
        <f t="shared" si="9"/>
        <v>Mencapai kompetensi dengan baik dalam hal</v>
      </c>
      <c r="AG26" s="27">
        <v>81</v>
      </c>
      <c r="AH26" s="33" t="str">
        <f t="shared" si="10"/>
        <v>Mencapai kompetensi dengan baik dalam hal</v>
      </c>
      <c r="AI26" s="27">
        <v>83</v>
      </c>
      <c r="AJ26" s="33" t="str">
        <f t="shared" si="11"/>
        <v>Mencapai kompetensi dengan baik dalam hal</v>
      </c>
      <c r="AK26" s="27">
        <v>86</v>
      </c>
      <c r="AL26" s="33" t="str">
        <f t="shared" si="12"/>
        <v>Mencapai kompetensi dengan baik dalam hal</v>
      </c>
      <c r="AM26" s="27">
        <v>80</v>
      </c>
      <c r="AN26" s="33" t="str">
        <f t="shared" si="13"/>
        <v>Mencapai kompetensi dengan baik dalam hal</v>
      </c>
      <c r="AO26" s="27">
        <v>84</v>
      </c>
      <c r="AP26" s="33" t="str">
        <f t="shared" si="14"/>
        <v>Mencapai kompetensi dengan baik dalam hal</v>
      </c>
      <c r="AQ26" s="14">
        <f t="shared" si="20"/>
        <v>82.8</v>
      </c>
      <c r="AR26" s="27">
        <v>78</v>
      </c>
      <c r="AS26" s="33" t="str">
        <f t="shared" si="15"/>
        <v>Mencapai kompetensi dengan baik dalam hal</v>
      </c>
      <c r="AT26" s="27">
        <v>70</v>
      </c>
      <c r="AU26" s="33" t="str">
        <f t="shared" si="16"/>
        <v>Perlu peningkatan dalam hal</v>
      </c>
      <c r="AV26" s="26"/>
      <c r="AW26" s="34"/>
      <c r="AX26" s="34" t="s">
        <v>80</v>
      </c>
      <c r="AY26" s="26" t="s">
        <v>81</v>
      </c>
      <c r="AZ26" s="26">
        <v>3</v>
      </c>
      <c r="BA26" s="26" t="s">
        <v>81</v>
      </c>
      <c r="BB26" s="26">
        <v>1</v>
      </c>
      <c r="BC26" s="27" t="s">
        <v>82</v>
      </c>
      <c r="BD26" s="35" t="s">
        <v>83</v>
      </c>
      <c r="BE26" s="27" t="s">
        <v>84</v>
      </c>
      <c r="BF26" s="33" t="str">
        <f t="shared" si="17"/>
        <v>Baik</v>
      </c>
      <c r="BG26" s="26">
        <v>2</v>
      </c>
      <c r="BH26" s="35" t="s">
        <v>125</v>
      </c>
      <c r="BI26" s="35" t="s">
        <v>83</v>
      </c>
      <c r="BJ26" s="27" t="s">
        <v>104</v>
      </c>
      <c r="BK26" s="15" t="str">
        <f t="shared" si="18"/>
        <v>Cukup</v>
      </c>
      <c r="BL26" s="27"/>
      <c r="BM26" s="27"/>
      <c r="BN26" s="26"/>
      <c r="BO26" s="26"/>
      <c r="BP26" s="15"/>
      <c r="BU26" s="37"/>
      <c r="BV26" s="37"/>
      <c r="BW26" s="37"/>
    </row>
    <row r="27" spans="1:75" ht="24.95" customHeight="1" thickTop="1" thickBot="1" x14ac:dyDescent="0.3">
      <c r="A27" s="23">
        <v>26</v>
      </c>
      <c r="B27" s="7">
        <v>2525429</v>
      </c>
      <c r="C27" s="23" t="s">
        <v>160</v>
      </c>
      <c r="D27" s="24" t="s">
        <v>161</v>
      </c>
      <c r="E27" s="23" t="s">
        <v>72</v>
      </c>
      <c r="F27" s="7" t="s">
        <v>73</v>
      </c>
      <c r="G27" s="8" t="s">
        <v>74</v>
      </c>
      <c r="H27" s="9" t="s">
        <v>75</v>
      </c>
      <c r="I27" s="10" t="s">
        <v>76</v>
      </c>
      <c r="J27" s="11" t="s">
        <v>77</v>
      </c>
      <c r="K27" s="11" t="s">
        <v>78</v>
      </c>
      <c r="L27" s="11" t="s">
        <v>79</v>
      </c>
      <c r="M27" s="23">
        <v>80</v>
      </c>
      <c r="N27" s="13" t="str">
        <f t="shared" si="0"/>
        <v>Mencapai kompetensi dengan baik dalam hal</v>
      </c>
      <c r="O27" s="23">
        <v>76</v>
      </c>
      <c r="P27" s="13" t="str">
        <f t="shared" si="1"/>
        <v>Mencapai kompetensi dengan baik dalam hal</v>
      </c>
      <c r="Q27" s="23">
        <v>79</v>
      </c>
      <c r="R27" s="13" t="str">
        <f t="shared" si="2"/>
        <v>Mencapai kompetensi dengan baik dalam hal</v>
      </c>
      <c r="S27" s="23">
        <v>81</v>
      </c>
      <c r="T27" s="13" t="str">
        <f t="shared" si="3"/>
        <v>Mencapai kompetensi dengan baik dalam hal</v>
      </c>
      <c r="U27" s="23">
        <v>75</v>
      </c>
      <c r="V27" s="13" t="str">
        <f t="shared" si="4"/>
        <v>Mencapai kompetensi dengan baik dalam hal</v>
      </c>
      <c r="W27" s="23">
        <v>75</v>
      </c>
      <c r="X27" s="13" t="str">
        <f t="shared" si="5"/>
        <v>Mencapai kompetensi dengan baik dalam hal</v>
      </c>
      <c r="Y27" s="23">
        <v>83</v>
      </c>
      <c r="Z27" s="13" t="str">
        <f t="shared" si="6"/>
        <v>Mencapai kompetensi dengan baik dalam hal</v>
      </c>
      <c r="AA27" s="23">
        <v>80</v>
      </c>
      <c r="AB27" s="13" t="str">
        <f t="shared" si="7"/>
        <v>Mencapai kompetensi dengan baik dalam hal</v>
      </c>
      <c r="AC27" s="23">
        <v>78</v>
      </c>
      <c r="AD27" s="13" t="str">
        <f t="shared" si="8"/>
        <v>Mencapai kompetensi dengan baik dalam hal</v>
      </c>
      <c r="AE27" s="23">
        <v>80</v>
      </c>
      <c r="AF27" s="13" t="str">
        <f t="shared" si="9"/>
        <v>Mencapai kompetensi dengan baik dalam hal</v>
      </c>
      <c r="AG27" s="23">
        <v>75</v>
      </c>
      <c r="AH27" s="13" t="str">
        <f t="shared" si="10"/>
        <v>Mencapai kompetensi dengan baik dalam hal</v>
      </c>
      <c r="AI27" s="23">
        <v>76</v>
      </c>
      <c r="AJ27" s="13" t="str">
        <f t="shared" si="11"/>
        <v>Mencapai kompetensi dengan baik dalam hal</v>
      </c>
      <c r="AK27" s="23">
        <v>82</v>
      </c>
      <c r="AL27" s="13" t="str">
        <f t="shared" si="12"/>
        <v>Mencapai kompetensi dengan baik dalam hal</v>
      </c>
      <c r="AM27" s="23">
        <v>80</v>
      </c>
      <c r="AN27" s="13" t="str">
        <f t="shared" si="13"/>
        <v>Mencapai kompetensi dengan baik dalam hal</v>
      </c>
      <c r="AO27" s="23">
        <v>80</v>
      </c>
      <c r="AP27" s="13" t="str">
        <f t="shared" si="14"/>
        <v>Mencapai kompetensi dengan baik dalam hal</v>
      </c>
      <c r="AQ27" s="14">
        <f t="shared" si="20"/>
        <v>78.599999999999994</v>
      </c>
      <c r="AR27" s="23">
        <v>78</v>
      </c>
      <c r="AS27" s="13" t="str">
        <f t="shared" si="15"/>
        <v>Mencapai kompetensi dengan baik dalam hal</v>
      </c>
      <c r="AT27" s="23">
        <v>76</v>
      </c>
      <c r="AU27" s="13" t="str">
        <f t="shared" si="16"/>
        <v>Mencapai kompetensi dengan baik dalam hal</v>
      </c>
      <c r="AV27" s="23"/>
      <c r="AW27" s="18"/>
      <c r="AX27" s="18" t="s">
        <v>80</v>
      </c>
      <c r="AY27" s="23">
        <v>3</v>
      </c>
      <c r="AZ27" s="23" t="s">
        <v>81</v>
      </c>
      <c r="BA27" s="23" t="s">
        <v>81</v>
      </c>
      <c r="BB27" s="23">
        <v>1</v>
      </c>
      <c r="BC27" s="23" t="s">
        <v>82</v>
      </c>
      <c r="BD27" s="18" t="s">
        <v>83</v>
      </c>
      <c r="BE27" s="23" t="s">
        <v>86</v>
      </c>
      <c r="BF27" s="15" t="str">
        <f t="shared" si="17"/>
        <v>Sangat baik</v>
      </c>
      <c r="BG27" s="23">
        <v>2</v>
      </c>
      <c r="BH27" s="18" t="s">
        <v>162</v>
      </c>
      <c r="BI27" s="18" t="s">
        <v>83</v>
      </c>
      <c r="BJ27" s="7" t="s">
        <v>86</v>
      </c>
      <c r="BK27" s="15" t="str">
        <f t="shared" si="18"/>
        <v>Sangat baik</v>
      </c>
      <c r="BL27" s="7"/>
      <c r="BM27" s="23"/>
      <c r="BN27" s="23"/>
      <c r="BO27" s="23"/>
      <c r="BP27" s="15"/>
    </row>
    <row r="28" spans="1:75" ht="24.95" customHeight="1" thickTop="1" thickBot="1" x14ac:dyDescent="0.3">
      <c r="A28" s="23">
        <v>27</v>
      </c>
      <c r="B28" s="7">
        <v>2525430</v>
      </c>
      <c r="C28" s="23" t="s">
        <v>163</v>
      </c>
      <c r="D28" s="24" t="s">
        <v>164</v>
      </c>
      <c r="E28" s="23" t="s">
        <v>72</v>
      </c>
      <c r="F28" s="7" t="s">
        <v>73</v>
      </c>
      <c r="G28" s="8" t="s">
        <v>74</v>
      </c>
      <c r="H28" s="9" t="s">
        <v>75</v>
      </c>
      <c r="I28" s="10" t="s">
        <v>76</v>
      </c>
      <c r="J28" s="11" t="s">
        <v>77</v>
      </c>
      <c r="K28" s="11" t="s">
        <v>78</v>
      </c>
      <c r="L28" s="11" t="s">
        <v>79</v>
      </c>
      <c r="M28" s="7">
        <v>80</v>
      </c>
      <c r="N28" s="13" t="str">
        <f t="shared" si="0"/>
        <v>Mencapai kompetensi dengan baik dalam hal</v>
      </c>
      <c r="O28" s="7">
        <v>77</v>
      </c>
      <c r="P28" s="13" t="str">
        <f t="shared" si="1"/>
        <v>Mencapai kompetensi dengan baik dalam hal</v>
      </c>
      <c r="Q28" s="7">
        <v>79</v>
      </c>
      <c r="R28" s="13" t="str">
        <f t="shared" si="2"/>
        <v>Mencapai kompetensi dengan baik dalam hal</v>
      </c>
      <c r="S28" s="7">
        <v>80</v>
      </c>
      <c r="T28" s="13" t="str">
        <f t="shared" si="3"/>
        <v>Mencapai kompetensi dengan baik dalam hal</v>
      </c>
      <c r="U28" s="7">
        <v>80</v>
      </c>
      <c r="V28" s="13" t="str">
        <f t="shared" si="4"/>
        <v>Mencapai kompetensi dengan baik dalam hal</v>
      </c>
      <c r="W28" s="7">
        <v>83</v>
      </c>
      <c r="X28" s="13" t="str">
        <f t="shared" si="5"/>
        <v>Mencapai kompetensi dengan baik dalam hal</v>
      </c>
      <c r="Y28" s="7">
        <v>77</v>
      </c>
      <c r="Z28" s="13" t="str">
        <f t="shared" si="6"/>
        <v>Mencapai kompetensi dengan baik dalam hal</v>
      </c>
      <c r="AA28" s="7">
        <v>81</v>
      </c>
      <c r="AB28" s="13" t="str">
        <f t="shared" si="7"/>
        <v>Mencapai kompetensi dengan baik dalam hal</v>
      </c>
      <c r="AC28" s="7">
        <v>78</v>
      </c>
      <c r="AD28" s="13" t="str">
        <f t="shared" si="8"/>
        <v>Mencapai kompetensi dengan baik dalam hal</v>
      </c>
      <c r="AE28" s="7">
        <v>77</v>
      </c>
      <c r="AF28" s="13" t="str">
        <f t="shared" si="9"/>
        <v>Mencapai kompetensi dengan baik dalam hal</v>
      </c>
      <c r="AG28" s="7">
        <v>82</v>
      </c>
      <c r="AH28" s="13" t="str">
        <f t="shared" si="10"/>
        <v>Mencapai kompetensi dengan baik dalam hal</v>
      </c>
      <c r="AI28" s="7">
        <v>86</v>
      </c>
      <c r="AJ28" s="13" t="str">
        <f t="shared" si="11"/>
        <v>Mencapai kompetensi dengan baik dalam hal</v>
      </c>
      <c r="AK28" s="7">
        <v>85</v>
      </c>
      <c r="AL28" s="13" t="str">
        <f t="shared" si="12"/>
        <v>Mencapai kompetensi dengan baik dalam hal</v>
      </c>
      <c r="AM28" s="7">
        <v>86</v>
      </c>
      <c r="AN28" s="13" t="str">
        <f t="shared" si="13"/>
        <v>Mencapai kompetensi dengan baik dalam hal</v>
      </c>
      <c r="AO28" s="7">
        <v>84</v>
      </c>
      <c r="AP28" s="13" t="str">
        <f t="shared" si="14"/>
        <v>Mencapai kompetensi dengan baik dalam hal</v>
      </c>
      <c r="AQ28" s="14">
        <f t="shared" si="20"/>
        <v>84.6</v>
      </c>
      <c r="AR28" s="7">
        <v>78</v>
      </c>
      <c r="AS28" s="13" t="str">
        <f t="shared" si="15"/>
        <v>Mencapai kompetensi dengan baik dalam hal</v>
      </c>
      <c r="AT28" s="7">
        <v>76</v>
      </c>
      <c r="AU28" s="13" t="str">
        <f t="shared" si="16"/>
        <v>Mencapai kompetensi dengan baik dalam hal</v>
      </c>
      <c r="AV28" s="23"/>
      <c r="AW28" s="17"/>
      <c r="AX28" s="17" t="s">
        <v>80</v>
      </c>
      <c r="AY28" s="23">
        <v>5</v>
      </c>
      <c r="AZ28" s="23" t="s">
        <v>81</v>
      </c>
      <c r="BA28" s="23" t="s">
        <v>81</v>
      </c>
      <c r="BB28" s="23">
        <v>1</v>
      </c>
      <c r="BC28" s="7" t="s">
        <v>82</v>
      </c>
      <c r="BD28" s="18" t="s">
        <v>83</v>
      </c>
      <c r="BE28" s="7" t="s">
        <v>84</v>
      </c>
      <c r="BF28" s="15" t="str">
        <f t="shared" si="17"/>
        <v>Baik</v>
      </c>
      <c r="BG28" s="23">
        <v>2</v>
      </c>
      <c r="BH28" s="18" t="s">
        <v>85</v>
      </c>
      <c r="BI28" s="18" t="s">
        <v>83</v>
      </c>
      <c r="BJ28" s="7" t="s">
        <v>86</v>
      </c>
      <c r="BK28" s="15" t="str">
        <f t="shared" si="18"/>
        <v>Sangat baik</v>
      </c>
      <c r="BL28" s="7">
        <v>3</v>
      </c>
      <c r="BM28" s="7" t="s">
        <v>87</v>
      </c>
      <c r="BN28" s="18" t="s">
        <v>83</v>
      </c>
      <c r="BO28" s="23" t="s">
        <v>86</v>
      </c>
      <c r="BP28" s="15" t="str">
        <f t="shared" si="19"/>
        <v>Sangat baik</v>
      </c>
    </row>
    <row r="29" spans="1:75" ht="24.95" customHeight="1" thickTop="1" thickBot="1" x14ac:dyDescent="0.3">
      <c r="A29" s="23">
        <v>28</v>
      </c>
      <c r="B29" s="7">
        <v>2525431</v>
      </c>
      <c r="C29" s="23" t="s">
        <v>165</v>
      </c>
      <c r="D29" s="24" t="s">
        <v>166</v>
      </c>
      <c r="E29" s="23" t="s">
        <v>72</v>
      </c>
      <c r="F29" s="7" t="s">
        <v>73</v>
      </c>
      <c r="G29" s="8" t="s">
        <v>74</v>
      </c>
      <c r="H29" s="9" t="s">
        <v>75</v>
      </c>
      <c r="I29" s="10" t="s">
        <v>76</v>
      </c>
      <c r="J29" s="11" t="s">
        <v>77</v>
      </c>
      <c r="K29" s="11" t="s">
        <v>78</v>
      </c>
      <c r="L29" s="11" t="s">
        <v>79</v>
      </c>
      <c r="M29" s="23">
        <v>79</v>
      </c>
      <c r="N29" s="13" t="str">
        <f t="shared" si="0"/>
        <v>Mencapai kompetensi dengan baik dalam hal</v>
      </c>
      <c r="O29" s="23">
        <v>76</v>
      </c>
      <c r="P29" s="13" t="str">
        <f t="shared" si="1"/>
        <v>Mencapai kompetensi dengan baik dalam hal</v>
      </c>
      <c r="Q29" s="23">
        <v>79</v>
      </c>
      <c r="R29" s="13" t="str">
        <f t="shared" si="2"/>
        <v>Mencapai kompetensi dengan baik dalam hal</v>
      </c>
      <c r="S29" s="23">
        <v>84</v>
      </c>
      <c r="T29" s="13" t="str">
        <f t="shared" si="3"/>
        <v>Mencapai kompetensi dengan baik dalam hal</v>
      </c>
      <c r="U29" s="23">
        <v>75</v>
      </c>
      <c r="V29" s="13" t="str">
        <f t="shared" si="4"/>
        <v>Mencapai kompetensi dengan baik dalam hal</v>
      </c>
      <c r="W29" s="23">
        <v>75</v>
      </c>
      <c r="X29" s="13" t="str">
        <f t="shared" si="5"/>
        <v>Mencapai kompetensi dengan baik dalam hal</v>
      </c>
      <c r="Y29" s="23">
        <v>81</v>
      </c>
      <c r="Z29" s="13" t="str">
        <f t="shared" si="6"/>
        <v>Mencapai kompetensi dengan baik dalam hal</v>
      </c>
      <c r="AA29" s="23">
        <v>78</v>
      </c>
      <c r="AB29" s="13" t="str">
        <f t="shared" si="7"/>
        <v>Mencapai kompetensi dengan baik dalam hal</v>
      </c>
      <c r="AC29" s="23">
        <v>82</v>
      </c>
      <c r="AD29" s="13" t="str">
        <f t="shared" si="8"/>
        <v>Mencapai kompetensi dengan baik dalam hal</v>
      </c>
      <c r="AE29" s="23">
        <v>78</v>
      </c>
      <c r="AF29" s="13" t="str">
        <f t="shared" si="9"/>
        <v>Mencapai kompetensi dengan baik dalam hal</v>
      </c>
      <c r="AG29" s="23">
        <v>81</v>
      </c>
      <c r="AH29" s="13" t="str">
        <f t="shared" si="10"/>
        <v>Mencapai kompetensi dengan baik dalam hal</v>
      </c>
      <c r="AI29" s="23">
        <v>84</v>
      </c>
      <c r="AJ29" s="13" t="str">
        <f t="shared" si="11"/>
        <v>Mencapai kompetensi dengan baik dalam hal</v>
      </c>
      <c r="AK29" s="23">
        <v>85</v>
      </c>
      <c r="AL29" s="13" t="str">
        <f t="shared" si="12"/>
        <v>Mencapai kompetensi dengan baik dalam hal</v>
      </c>
      <c r="AM29" s="23">
        <v>86</v>
      </c>
      <c r="AN29" s="13" t="str">
        <f t="shared" si="13"/>
        <v>Mencapai kompetensi dengan baik dalam hal</v>
      </c>
      <c r="AO29" s="23">
        <v>83</v>
      </c>
      <c r="AP29" s="13" t="str">
        <f t="shared" si="14"/>
        <v>Mencapai kompetensi dengan baik dalam hal</v>
      </c>
      <c r="AQ29" s="14">
        <f t="shared" si="20"/>
        <v>83.8</v>
      </c>
      <c r="AR29" s="23">
        <v>82</v>
      </c>
      <c r="AS29" s="13" t="str">
        <f t="shared" si="15"/>
        <v>Mencapai kompetensi dengan baik dalam hal</v>
      </c>
      <c r="AT29" s="23">
        <v>75</v>
      </c>
      <c r="AU29" s="13" t="str">
        <f t="shared" si="16"/>
        <v>Mencapai kompetensi dengan baik dalam hal</v>
      </c>
      <c r="AV29" s="23"/>
      <c r="AW29" s="18"/>
      <c r="AX29" s="18" t="s">
        <v>80</v>
      </c>
      <c r="AY29" s="23">
        <v>1</v>
      </c>
      <c r="AZ29" s="23" t="s">
        <v>81</v>
      </c>
      <c r="BA29" s="23" t="s">
        <v>81</v>
      </c>
      <c r="BB29" s="23">
        <v>1</v>
      </c>
      <c r="BC29" s="23" t="s">
        <v>82</v>
      </c>
      <c r="BD29" s="18" t="s">
        <v>83</v>
      </c>
      <c r="BE29" s="23" t="s">
        <v>110</v>
      </c>
      <c r="BF29" s="15" t="str">
        <f t="shared" si="17"/>
        <v>Kurang</v>
      </c>
      <c r="BG29" s="23">
        <v>2</v>
      </c>
      <c r="BH29" s="18" t="s">
        <v>167</v>
      </c>
      <c r="BI29" s="18" t="s">
        <v>83</v>
      </c>
      <c r="BJ29" s="7" t="s">
        <v>84</v>
      </c>
      <c r="BK29" s="15" t="str">
        <f t="shared" si="18"/>
        <v>Baik</v>
      </c>
      <c r="BL29" s="7"/>
      <c r="BM29" s="23"/>
      <c r="BN29" s="23"/>
      <c r="BO29" s="23"/>
      <c r="BP29" s="15"/>
    </row>
    <row r="30" spans="1:75" ht="24.95" customHeight="1" thickTop="1" thickBot="1" x14ac:dyDescent="0.3">
      <c r="A30" s="23">
        <v>29</v>
      </c>
      <c r="B30" s="7">
        <v>2525432</v>
      </c>
      <c r="C30" s="23" t="s">
        <v>168</v>
      </c>
      <c r="D30" s="24" t="s">
        <v>169</v>
      </c>
      <c r="E30" s="23" t="s">
        <v>72</v>
      </c>
      <c r="F30" s="7" t="s">
        <v>73</v>
      </c>
      <c r="G30" s="8" t="s">
        <v>74</v>
      </c>
      <c r="H30" s="9" t="s">
        <v>75</v>
      </c>
      <c r="I30" s="10" t="s">
        <v>76</v>
      </c>
      <c r="J30" s="11" t="s">
        <v>77</v>
      </c>
      <c r="K30" s="11" t="s">
        <v>78</v>
      </c>
      <c r="L30" s="11" t="s">
        <v>79</v>
      </c>
      <c r="M30" s="7">
        <v>78</v>
      </c>
      <c r="N30" s="13" t="str">
        <f t="shared" si="0"/>
        <v>Mencapai kompetensi dengan baik dalam hal</v>
      </c>
      <c r="O30" s="7">
        <v>77</v>
      </c>
      <c r="P30" s="13" t="str">
        <f t="shared" si="1"/>
        <v>Mencapai kompetensi dengan baik dalam hal</v>
      </c>
      <c r="Q30" s="7">
        <v>79</v>
      </c>
      <c r="R30" s="13" t="str">
        <f t="shared" si="2"/>
        <v>Mencapai kompetensi dengan baik dalam hal</v>
      </c>
      <c r="S30" s="7">
        <v>81</v>
      </c>
      <c r="T30" s="13" t="str">
        <f t="shared" si="3"/>
        <v>Mencapai kompetensi dengan baik dalam hal</v>
      </c>
      <c r="U30" s="7">
        <v>75</v>
      </c>
      <c r="V30" s="13" t="str">
        <f t="shared" si="4"/>
        <v>Mencapai kompetensi dengan baik dalam hal</v>
      </c>
      <c r="W30" s="7">
        <v>75</v>
      </c>
      <c r="X30" s="13" t="str">
        <f t="shared" si="5"/>
        <v>Mencapai kompetensi dengan baik dalam hal</v>
      </c>
      <c r="Y30" s="7">
        <v>78</v>
      </c>
      <c r="Z30" s="13" t="str">
        <f t="shared" si="6"/>
        <v>Mencapai kompetensi dengan baik dalam hal</v>
      </c>
      <c r="AA30" s="7">
        <v>77</v>
      </c>
      <c r="AB30" s="13" t="str">
        <f t="shared" si="7"/>
        <v>Mencapai kompetensi dengan baik dalam hal</v>
      </c>
      <c r="AC30" s="7">
        <v>78</v>
      </c>
      <c r="AD30" s="13" t="str">
        <f t="shared" si="8"/>
        <v>Mencapai kompetensi dengan baik dalam hal</v>
      </c>
      <c r="AE30" s="7">
        <v>78</v>
      </c>
      <c r="AF30" s="13" t="str">
        <f t="shared" si="9"/>
        <v>Mencapai kompetensi dengan baik dalam hal</v>
      </c>
      <c r="AG30" s="7">
        <v>81</v>
      </c>
      <c r="AH30" s="13" t="str">
        <f t="shared" si="10"/>
        <v>Mencapai kompetensi dengan baik dalam hal</v>
      </c>
      <c r="AI30" s="7">
        <v>79</v>
      </c>
      <c r="AJ30" s="13" t="str">
        <f t="shared" si="11"/>
        <v>Mencapai kompetensi dengan baik dalam hal</v>
      </c>
      <c r="AK30" s="7">
        <v>81</v>
      </c>
      <c r="AL30" s="13" t="str">
        <f t="shared" si="12"/>
        <v>Mencapai kompetensi dengan baik dalam hal</v>
      </c>
      <c r="AM30" s="7">
        <v>80</v>
      </c>
      <c r="AN30" s="13" t="str">
        <f t="shared" si="13"/>
        <v>Mencapai kompetensi dengan baik dalam hal</v>
      </c>
      <c r="AO30" s="7">
        <v>81</v>
      </c>
      <c r="AP30" s="13" t="str">
        <f t="shared" si="14"/>
        <v>Mencapai kompetensi dengan baik dalam hal</v>
      </c>
      <c r="AQ30" s="14">
        <f t="shared" si="20"/>
        <v>80.400000000000006</v>
      </c>
      <c r="AR30" s="7">
        <v>78</v>
      </c>
      <c r="AS30" s="13" t="str">
        <f t="shared" si="15"/>
        <v>Mencapai kompetensi dengan baik dalam hal</v>
      </c>
      <c r="AT30" s="7">
        <v>75</v>
      </c>
      <c r="AU30" s="13" t="str">
        <f t="shared" si="16"/>
        <v>Mencapai kompetensi dengan baik dalam hal</v>
      </c>
      <c r="AV30" s="23"/>
      <c r="AW30" s="17"/>
      <c r="AX30" s="17" t="s">
        <v>80</v>
      </c>
      <c r="AY30" s="23" t="s">
        <v>81</v>
      </c>
      <c r="AZ30" s="23" t="s">
        <v>81</v>
      </c>
      <c r="BA30" s="23" t="s">
        <v>81</v>
      </c>
      <c r="BB30" s="23">
        <v>1</v>
      </c>
      <c r="BC30" s="7" t="s">
        <v>82</v>
      </c>
      <c r="BD30" s="18" t="s">
        <v>83</v>
      </c>
      <c r="BE30" s="7" t="s">
        <v>84</v>
      </c>
      <c r="BF30" s="15" t="str">
        <f t="shared" si="17"/>
        <v>Baik</v>
      </c>
      <c r="BG30" s="23">
        <v>2</v>
      </c>
      <c r="BH30" s="18" t="s">
        <v>170</v>
      </c>
      <c r="BI30" s="18" t="s">
        <v>83</v>
      </c>
      <c r="BJ30" s="7" t="s">
        <v>84</v>
      </c>
      <c r="BK30" s="15" t="str">
        <f t="shared" si="18"/>
        <v>Baik</v>
      </c>
      <c r="BL30" s="7"/>
      <c r="BM30" s="7"/>
      <c r="BN30" s="23"/>
      <c r="BO30" s="23"/>
      <c r="BP30" s="15"/>
    </row>
    <row r="31" spans="1:75" ht="24.95" customHeight="1" thickTop="1" thickBot="1" x14ac:dyDescent="0.3">
      <c r="A31" s="23">
        <v>30</v>
      </c>
      <c r="B31" s="7">
        <v>2525433</v>
      </c>
      <c r="C31" s="23" t="s">
        <v>171</v>
      </c>
      <c r="D31" s="24" t="s">
        <v>172</v>
      </c>
      <c r="E31" s="23" t="s">
        <v>72</v>
      </c>
      <c r="F31" s="7" t="s">
        <v>73</v>
      </c>
      <c r="G31" s="8" t="s">
        <v>74</v>
      </c>
      <c r="H31" s="9" t="s">
        <v>75</v>
      </c>
      <c r="I31" s="10" t="s">
        <v>76</v>
      </c>
      <c r="J31" s="11" t="s">
        <v>77</v>
      </c>
      <c r="K31" s="11" t="s">
        <v>78</v>
      </c>
      <c r="L31" s="11" t="s">
        <v>79</v>
      </c>
      <c r="M31" s="23">
        <v>78</v>
      </c>
      <c r="N31" s="13" t="str">
        <f t="shared" si="0"/>
        <v>Mencapai kompetensi dengan baik dalam hal</v>
      </c>
      <c r="O31" s="23">
        <v>76</v>
      </c>
      <c r="P31" s="13" t="str">
        <f t="shared" si="1"/>
        <v>Mencapai kompetensi dengan baik dalam hal</v>
      </c>
      <c r="Q31" s="23">
        <v>80</v>
      </c>
      <c r="R31" s="13" t="str">
        <f t="shared" si="2"/>
        <v>Mencapai kompetensi dengan baik dalam hal</v>
      </c>
      <c r="S31" s="23">
        <v>80</v>
      </c>
      <c r="T31" s="13" t="str">
        <f t="shared" si="3"/>
        <v>Mencapai kompetensi dengan baik dalam hal</v>
      </c>
      <c r="U31" s="23">
        <v>75</v>
      </c>
      <c r="V31" s="13" t="str">
        <f t="shared" si="4"/>
        <v>Mencapai kompetensi dengan baik dalam hal</v>
      </c>
      <c r="W31" s="23">
        <v>79</v>
      </c>
      <c r="X31" s="13" t="str">
        <f t="shared" si="5"/>
        <v>Mencapai kompetensi dengan baik dalam hal</v>
      </c>
      <c r="Y31" s="23">
        <v>81</v>
      </c>
      <c r="Z31" s="13" t="str">
        <f t="shared" si="6"/>
        <v>Mencapai kompetensi dengan baik dalam hal</v>
      </c>
      <c r="AA31" s="23">
        <v>76</v>
      </c>
      <c r="AB31" s="13" t="str">
        <f t="shared" si="7"/>
        <v>Mencapai kompetensi dengan baik dalam hal</v>
      </c>
      <c r="AC31" s="23">
        <v>78</v>
      </c>
      <c r="AD31" s="13" t="str">
        <f t="shared" si="8"/>
        <v>Mencapai kompetensi dengan baik dalam hal</v>
      </c>
      <c r="AE31" s="23">
        <v>82</v>
      </c>
      <c r="AF31" s="13" t="str">
        <f t="shared" si="9"/>
        <v>Mencapai kompetensi dengan baik dalam hal</v>
      </c>
      <c r="AG31" s="23">
        <v>79</v>
      </c>
      <c r="AH31" s="13" t="str">
        <f t="shared" si="10"/>
        <v>Mencapai kompetensi dengan baik dalam hal</v>
      </c>
      <c r="AI31" s="23">
        <v>75</v>
      </c>
      <c r="AJ31" s="13" t="str">
        <f t="shared" si="11"/>
        <v>Mencapai kompetensi dengan baik dalam hal</v>
      </c>
      <c r="AK31" s="23">
        <v>80</v>
      </c>
      <c r="AL31" s="13" t="str">
        <f t="shared" si="12"/>
        <v>Mencapai kompetensi dengan baik dalam hal</v>
      </c>
      <c r="AM31" s="23">
        <v>80</v>
      </c>
      <c r="AN31" s="13" t="str">
        <f t="shared" si="13"/>
        <v>Mencapai kompetensi dengan baik dalam hal</v>
      </c>
      <c r="AO31" s="23">
        <v>81</v>
      </c>
      <c r="AP31" s="13" t="str">
        <f t="shared" si="14"/>
        <v>Mencapai kompetensi dengan baik dalam hal</v>
      </c>
      <c r="AQ31" s="14">
        <f t="shared" si="20"/>
        <v>79</v>
      </c>
      <c r="AR31" s="23">
        <v>78</v>
      </c>
      <c r="AS31" s="13" t="str">
        <f t="shared" si="15"/>
        <v>Mencapai kompetensi dengan baik dalam hal</v>
      </c>
      <c r="AT31" s="23">
        <v>75</v>
      </c>
      <c r="AU31" s="13" t="str">
        <f t="shared" si="16"/>
        <v>Mencapai kompetensi dengan baik dalam hal</v>
      </c>
      <c r="AV31" s="23"/>
      <c r="AW31" s="18"/>
      <c r="AX31" s="18" t="s">
        <v>80</v>
      </c>
      <c r="AY31" s="23" t="s">
        <v>81</v>
      </c>
      <c r="AZ31" s="23" t="s">
        <v>81</v>
      </c>
      <c r="BA31" s="23" t="s">
        <v>81</v>
      </c>
      <c r="BB31" s="23">
        <v>1</v>
      </c>
      <c r="BC31" s="23" t="s">
        <v>82</v>
      </c>
      <c r="BD31" s="18" t="s">
        <v>83</v>
      </c>
      <c r="BE31" s="23" t="s">
        <v>86</v>
      </c>
      <c r="BF31" s="15" t="str">
        <f t="shared" si="17"/>
        <v>Sangat baik</v>
      </c>
      <c r="BG31" s="23">
        <v>2</v>
      </c>
      <c r="BH31" s="18" t="s">
        <v>170</v>
      </c>
      <c r="BI31" s="18" t="s">
        <v>83</v>
      </c>
      <c r="BJ31" s="7" t="s">
        <v>84</v>
      </c>
      <c r="BK31" s="15" t="str">
        <f t="shared" si="18"/>
        <v>Baik</v>
      </c>
      <c r="BL31" s="7"/>
      <c r="BM31" s="23"/>
      <c r="BN31" s="23"/>
      <c r="BO31" s="23"/>
      <c r="BP31" s="15"/>
    </row>
    <row r="32" spans="1:75" ht="24.95" customHeight="1" thickTop="1" thickBot="1" x14ac:dyDescent="0.3">
      <c r="A32" s="23">
        <v>31</v>
      </c>
      <c r="B32" s="7">
        <v>2525434</v>
      </c>
      <c r="C32" s="23" t="s">
        <v>173</v>
      </c>
      <c r="D32" s="24" t="s">
        <v>174</v>
      </c>
      <c r="E32" s="23" t="s">
        <v>72</v>
      </c>
      <c r="F32" s="7" t="s">
        <v>73</v>
      </c>
      <c r="G32" s="8" t="s">
        <v>74</v>
      </c>
      <c r="H32" s="9" t="s">
        <v>75</v>
      </c>
      <c r="I32" s="10" t="s">
        <v>76</v>
      </c>
      <c r="J32" s="11" t="s">
        <v>77</v>
      </c>
      <c r="K32" s="11" t="s">
        <v>78</v>
      </c>
      <c r="L32" s="11" t="s">
        <v>79</v>
      </c>
      <c r="M32" s="7">
        <v>78</v>
      </c>
      <c r="N32" s="13" t="str">
        <f t="shared" si="0"/>
        <v>Mencapai kompetensi dengan baik dalam hal</v>
      </c>
      <c r="O32" s="7">
        <v>76</v>
      </c>
      <c r="P32" s="13" t="str">
        <f t="shared" si="1"/>
        <v>Mencapai kompetensi dengan baik dalam hal</v>
      </c>
      <c r="Q32" s="7">
        <v>79</v>
      </c>
      <c r="R32" s="13" t="str">
        <f t="shared" si="2"/>
        <v>Mencapai kompetensi dengan baik dalam hal</v>
      </c>
      <c r="S32" s="7">
        <v>80</v>
      </c>
      <c r="T32" s="13" t="str">
        <f t="shared" si="3"/>
        <v>Mencapai kompetensi dengan baik dalam hal</v>
      </c>
      <c r="U32" s="7">
        <v>70</v>
      </c>
      <c r="V32" s="13" t="str">
        <f t="shared" si="4"/>
        <v>Perlu peningkatan dalam hal</v>
      </c>
      <c r="W32" s="7">
        <v>77</v>
      </c>
      <c r="X32" s="13" t="str">
        <f t="shared" si="5"/>
        <v>Mencapai kompetensi dengan baik dalam hal</v>
      </c>
      <c r="Y32" s="7">
        <v>81</v>
      </c>
      <c r="Z32" s="13" t="str">
        <f t="shared" si="6"/>
        <v>Mencapai kompetensi dengan baik dalam hal</v>
      </c>
      <c r="AA32" s="7">
        <v>78</v>
      </c>
      <c r="AB32" s="13" t="str">
        <f t="shared" si="7"/>
        <v>Mencapai kompetensi dengan baik dalam hal</v>
      </c>
      <c r="AC32" s="7">
        <v>78</v>
      </c>
      <c r="AD32" s="13" t="str">
        <f t="shared" si="8"/>
        <v>Mencapai kompetensi dengan baik dalam hal</v>
      </c>
      <c r="AE32" s="7">
        <v>75</v>
      </c>
      <c r="AF32" s="13" t="str">
        <f t="shared" si="9"/>
        <v>Mencapai kompetensi dengan baik dalam hal</v>
      </c>
      <c r="AG32" s="7">
        <v>86</v>
      </c>
      <c r="AH32" s="13" t="str">
        <f t="shared" si="10"/>
        <v>Mencapai kompetensi dengan baik dalam hal</v>
      </c>
      <c r="AI32" s="7">
        <v>87</v>
      </c>
      <c r="AJ32" s="13" t="str">
        <f t="shared" si="11"/>
        <v>Mencapai kompetensi dengan baik dalam hal</v>
      </c>
      <c r="AK32" s="7">
        <v>79</v>
      </c>
      <c r="AL32" s="13" t="str">
        <f t="shared" si="12"/>
        <v>Mencapai kompetensi dengan baik dalam hal</v>
      </c>
      <c r="AM32" s="7">
        <v>86</v>
      </c>
      <c r="AN32" s="13" t="str">
        <f t="shared" si="13"/>
        <v>Mencapai kompetensi dengan baik dalam hal</v>
      </c>
      <c r="AO32" s="7">
        <v>80</v>
      </c>
      <c r="AP32" s="13" t="str">
        <f t="shared" si="14"/>
        <v>Mencapai kompetensi dengan baik dalam hal</v>
      </c>
      <c r="AQ32" s="14">
        <f t="shared" si="20"/>
        <v>83.6</v>
      </c>
      <c r="AR32" s="7">
        <v>78</v>
      </c>
      <c r="AS32" s="13" t="str">
        <f t="shared" si="15"/>
        <v>Mencapai kompetensi dengan baik dalam hal</v>
      </c>
      <c r="AT32" s="7">
        <v>79</v>
      </c>
      <c r="AU32" s="13" t="str">
        <f t="shared" si="16"/>
        <v>Mencapai kompetensi dengan baik dalam hal</v>
      </c>
      <c r="AV32" s="23"/>
      <c r="AW32" s="17"/>
      <c r="AX32" s="17" t="s">
        <v>80</v>
      </c>
      <c r="AY32" s="23">
        <v>4</v>
      </c>
      <c r="AZ32" s="23" t="s">
        <v>81</v>
      </c>
      <c r="BA32" s="23">
        <v>1</v>
      </c>
      <c r="BB32" s="23">
        <v>1</v>
      </c>
      <c r="BC32" s="7" t="s">
        <v>82</v>
      </c>
      <c r="BD32" s="18" t="s">
        <v>83</v>
      </c>
      <c r="BE32" s="7" t="s">
        <v>86</v>
      </c>
      <c r="BF32" s="15" t="str">
        <f t="shared" si="17"/>
        <v>Sangat baik</v>
      </c>
      <c r="BG32" s="23">
        <v>2</v>
      </c>
      <c r="BH32" s="18" t="s">
        <v>125</v>
      </c>
      <c r="BI32" s="18" t="s">
        <v>83</v>
      </c>
      <c r="BJ32" s="7" t="s">
        <v>84</v>
      </c>
      <c r="BK32" s="15" t="str">
        <f t="shared" si="18"/>
        <v>Baik</v>
      </c>
      <c r="BL32" s="7">
        <v>3</v>
      </c>
      <c r="BM32" s="7" t="s">
        <v>87</v>
      </c>
      <c r="BN32" s="18" t="s">
        <v>83</v>
      </c>
      <c r="BO32" s="23" t="s">
        <v>84</v>
      </c>
      <c r="BP32" s="15" t="str">
        <f t="shared" si="19"/>
        <v>Baik</v>
      </c>
    </row>
    <row r="33" spans="1:68" ht="24.95" customHeight="1" thickTop="1" thickBot="1" x14ac:dyDescent="0.3">
      <c r="A33" s="23">
        <v>32</v>
      </c>
      <c r="B33" s="7">
        <v>2525436</v>
      </c>
      <c r="C33" s="23" t="s">
        <v>175</v>
      </c>
      <c r="D33" s="24" t="s">
        <v>176</v>
      </c>
      <c r="E33" s="23" t="s">
        <v>72</v>
      </c>
      <c r="F33" s="7" t="s">
        <v>73</v>
      </c>
      <c r="G33" s="8" t="s">
        <v>74</v>
      </c>
      <c r="H33" s="9" t="s">
        <v>75</v>
      </c>
      <c r="I33" s="10" t="s">
        <v>76</v>
      </c>
      <c r="J33" s="11" t="s">
        <v>77</v>
      </c>
      <c r="K33" s="11" t="s">
        <v>78</v>
      </c>
      <c r="L33" s="11" t="s">
        <v>79</v>
      </c>
      <c r="M33" s="23">
        <v>80</v>
      </c>
      <c r="N33" s="13" t="str">
        <f t="shared" si="0"/>
        <v>Mencapai kompetensi dengan baik dalam hal</v>
      </c>
      <c r="O33" s="23">
        <v>78</v>
      </c>
      <c r="P33" s="13" t="str">
        <f t="shared" si="1"/>
        <v>Mencapai kompetensi dengan baik dalam hal</v>
      </c>
      <c r="Q33" s="23">
        <v>81</v>
      </c>
      <c r="R33" s="13" t="str">
        <f t="shared" si="2"/>
        <v>Mencapai kompetensi dengan baik dalam hal</v>
      </c>
      <c r="S33" s="23">
        <v>83</v>
      </c>
      <c r="T33" s="13" t="str">
        <f t="shared" si="3"/>
        <v>Mencapai kompetensi dengan baik dalam hal</v>
      </c>
      <c r="U33" s="23">
        <v>81</v>
      </c>
      <c r="V33" s="13" t="str">
        <f t="shared" si="4"/>
        <v>Mencapai kompetensi dengan baik dalam hal</v>
      </c>
      <c r="W33" s="23">
        <v>85</v>
      </c>
      <c r="X33" s="13" t="str">
        <f t="shared" si="5"/>
        <v>Mencapai kompetensi dengan baik dalam hal</v>
      </c>
      <c r="Y33" s="23">
        <v>81</v>
      </c>
      <c r="Z33" s="13" t="str">
        <f t="shared" si="6"/>
        <v>Mencapai kompetensi dengan baik dalam hal</v>
      </c>
      <c r="AA33" s="23">
        <v>80</v>
      </c>
      <c r="AB33" s="13" t="str">
        <f t="shared" si="7"/>
        <v>Mencapai kompetensi dengan baik dalam hal</v>
      </c>
      <c r="AC33" s="23">
        <v>79</v>
      </c>
      <c r="AD33" s="13" t="str">
        <f t="shared" si="8"/>
        <v>Mencapai kompetensi dengan baik dalam hal</v>
      </c>
      <c r="AE33" s="23">
        <v>82</v>
      </c>
      <c r="AF33" s="13" t="str">
        <f t="shared" si="9"/>
        <v>Mencapai kompetensi dengan baik dalam hal</v>
      </c>
      <c r="AG33" s="23">
        <v>82</v>
      </c>
      <c r="AH33" s="13" t="str">
        <f t="shared" si="10"/>
        <v>Mencapai kompetensi dengan baik dalam hal</v>
      </c>
      <c r="AI33" s="23">
        <v>79</v>
      </c>
      <c r="AJ33" s="13" t="str">
        <f t="shared" si="11"/>
        <v>Mencapai kompetensi dengan baik dalam hal</v>
      </c>
      <c r="AK33" s="23">
        <v>84</v>
      </c>
      <c r="AL33" s="13" t="str">
        <f t="shared" si="12"/>
        <v>Mencapai kompetensi dengan baik dalam hal</v>
      </c>
      <c r="AM33" s="23">
        <v>81</v>
      </c>
      <c r="AN33" s="13" t="str">
        <f t="shared" si="13"/>
        <v>Mencapai kompetensi dengan baik dalam hal</v>
      </c>
      <c r="AO33" s="23">
        <v>83</v>
      </c>
      <c r="AP33" s="13" t="str">
        <f t="shared" si="14"/>
        <v>Mencapai kompetensi dengan baik dalam hal</v>
      </c>
      <c r="AQ33" s="14">
        <f t="shared" si="20"/>
        <v>81.8</v>
      </c>
      <c r="AR33" s="23">
        <v>79</v>
      </c>
      <c r="AS33" s="13" t="str">
        <f t="shared" si="15"/>
        <v>Mencapai kompetensi dengan baik dalam hal</v>
      </c>
      <c r="AT33" s="23">
        <v>82</v>
      </c>
      <c r="AU33" s="13" t="str">
        <f t="shared" si="16"/>
        <v>Mencapai kompetensi dengan baik dalam hal</v>
      </c>
      <c r="AV33" s="23"/>
      <c r="AW33" s="18"/>
      <c r="AX33" s="18" t="s">
        <v>80</v>
      </c>
      <c r="AY33" s="23" t="s">
        <v>81</v>
      </c>
      <c r="AZ33" s="23" t="s">
        <v>81</v>
      </c>
      <c r="BA33" s="23" t="s">
        <v>81</v>
      </c>
      <c r="BB33" s="23">
        <v>1</v>
      </c>
      <c r="BC33" s="23" t="s">
        <v>82</v>
      </c>
      <c r="BD33" s="18" t="s">
        <v>83</v>
      </c>
      <c r="BE33" s="23" t="s">
        <v>86</v>
      </c>
      <c r="BF33" s="15" t="str">
        <f t="shared" si="17"/>
        <v>Sangat baik</v>
      </c>
      <c r="BG33" s="23">
        <v>2</v>
      </c>
      <c r="BH33" s="18" t="s">
        <v>170</v>
      </c>
      <c r="BI33" s="18" t="s">
        <v>83</v>
      </c>
      <c r="BJ33" s="7" t="s">
        <v>86</v>
      </c>
      <c r="BK33" s="15" t="str">
        <f t="shared" si="18"/>
        <v>Sangat baik</v>
      </c>
      <c r="BL33" s="7"/>
      <c r="BM33" s="23"/>
      <c r="BN33" s="23"/>
      <c r="BO33" s="23"/>
      <c r="BP33" s="15"/>
    </row>
    <row r="34" spans="1:68" ht="24.95" customHeight="1" thickTop="1" thickBot="1" x14ac:dyDescent="0.3">
      <c r="A34" s="23">
        <v>33</v>
      </c>
      <c r="B34" s="7">
        <v>2525437</v>
      </c>
      <c r="C34" s="23" t="s">
        <v>177</v>
      </c>
      <c r="D34" s="24" t="s">
        <v>178</v>
      </c>
      <c r="E34" s="23" t="s">
        <v>72</v>
      </c>
      <c r="F34" s="7" t="s">
        <v>73</v>
      </c>
      <c r="G34" s="8" t="s">
        <v>74</v>
      </c>
      <c r="H34" s="9" t="s">
        <v>75</v>
      </c>
      <c r="I34" s="10" t="s">
        <v>76</v>
      </c>
      <c r="J34" s="11" t="s">
        <v>77</v>
      </c>
      <c r="K34" s="11" t="s">
        <v>78</v>
      </c>
      <c r="L34" s="11" t="s">
        <v>79</v>
      </c>
      <c r="M34" s="7">
        <v>79</v>
      </c>
      <c r="N34" s="13" t="str">
        <f t="shared" si="0"/>
        <v>Mencapai kompetensi dengan baik dalam hal</v>
      </c>
      <c r="O34" s="7">
        <v>78</v>
      </c>
      <c r="P34" s="13" t="str">
        <f t="shared" si="1"/>
        <v>Mencapai kompetensi dengan baik dalam hal</v>
      </c>
      <c r="Q34" s="7">
        <v>80</v>
      </c>
      <c r="R34" s="13" t="str">
        <f t="shared" si="2"/>
        <v>Mencapai kompetensi dengan baik dalam hal</v>
      </c>
      <c r="S34" s="7">
        <v>81</v>
      </c>
      <c r="T34" s="13" t="str">
        <f t="shared" si="3"/>
        <v>Mencapai kompetensi dengan baik dalam hal</v>
      </c>
      <c r="U34" s="7">
        <v>78</v>
      </c>
      <c r="V34" s="13" t="str">
        <f t="shared" si="4"/>
        <v>Mencapai kompetensi dengan baik dalam hal</v>
      </c>
      <c r="W34" s="7">
        <v>77</v>
      </c>
      <c r="X34" s="13" t="str">
        <f t="shared" si="5"/>
        <v>Mencapai kompetensi dengan baik dalam hal</v>
      </c>
      <c r="Y34" s="7">
        <v>81</v>
      </c>
      <c r="Z34" s="13" t="str">
        <f t="shared" si="6"/>
        <v>Mencapai kompetensi dengan baik dalam hal</v>
      </c>
      <c r="AA34" s="7">
        <v>78</v>
      </c>
      <c r="AB34" s="13" t="str">
        <f t="shared" si="7"/>
        <v>Mencapai kompetensi dengan baik dalam hal</v>
      </c>
      <c r="AC34" s="7">
        <v>78</v>
      </c>
      <c r="AD34" s="13" t="str">
        <f t="shared" si="8"/>
        <v>Mencapai kompetensi dengan baik dalam hal</v>
      </c>
      <c r="AE34" s="7">
        <v>82</v>
      </c>
      <c r="AF34" s="13" t="str">
        <f t="shared" si="9"/>
        <v>Mencapai kompetensi dengan baik dalam hal</v>
      </c>
      <c r="AG34" s="7">
        <v>83</v>
      </c>
      <c r="AH34" s="13" t="str">
        <f t="shared" si="10"/>
        <v>Mencapai kompetensi dengan baik dalam hal</v>
      </c>
      <c r="AI34" s="7">
        <v>84</v>
      </c>
      <c r="AJ34" s="13" t="str">
        <f t="shared" si="11"/>
        <v>Mencapai kompetensi dengan baik dalam hal</v>
      </c>
      <c r="AK34" s="7">
        <v>84</v>
      </c>
      <c r="AL34" s="13" t="str">
        <f t="shared" si="12"/>
        <v>Mencapai kompetensi dengan baik dalam hal</v>
      </c>
      <c r="AM34" s="7">
        <v>81</v>
      </c>
      <c r="AN34" s="13" t="str">
        <f t="shared" si="13"/>
        <v>Mencapai kompetensi dengan baik dalam hal</v>
      </c>
      <c r="AO34" s="7">
        <v>85</v>
      </c>
      <c r="AP34" s="13" t="str">
        <f t="shared" si="14"/>
        <v>Mencapai kompetensi dengan baik dalam hal</v>
      </c>
      <c r="AQ34" s="14">
        <f t="shared" si="20"/>
        <v>83.4</v>
      </c>
      <c r="AR34" s="7">
        <v>78</v>
      </c>
      <c r="AS34" s="13" t="str">
        <f t="shared" si="15"/>
        <v>Mencapai kompetensi dengan baik dalam hal</v>
      </c>
      <c r="AT34" s="7">
        <v>80</v>
      </c>
      <c r="AU34" s="13" t="str">
        <f t="shared" si="16"/>
        <v>Mencapai kompetensi dengan baik dalam hal</v>
      </c>
      <c r="AV34" s="23"/>
      <c r="AW34" s="17"/>
      <c r="AX34" s="17" t="s">
        <v>80</v>
      </c>
      <c r="AY34" s="23" t="s">
        <v>81</v>
      </c>
      <c r="AZ34" s="23" t="s">
        <v>81</v>
      </c>
      <c r="BA34" s="23" t="s">
        <v>81</v>
      </c>
      <c r="BB34" s="23">
        <v>1</v>
      </c>
      <c r="BC34" s="7" t="s">
        <v>82</v>
      </c>
      <c r="BD34" s="18" t="s">
        <v>83</v>
      </c>
      <c r="BE34" s="7" t="s">
        <v>86</v>
      </c>
      <c r="BF34" s="15" t="str">
        <f t="shared" si="17"/>
        <v>Sangat baik</v>
      </c>
      <c r="BG34" s="23">
        <v>2</v>
      </c>
      <c r="BH34" s="18" t="s">
        <v>179</v>
      </c>
      <c r="BI34" s="18" t="s">
        <v>83</v>
      </c>
      <c r="BJ34" s="7" t="s">
        <v>86</v>
      </c>
      <c r="BK34" s="15" t="str">
        <f t="shared" si="18"/>
        <v>Sangat baik</v>
      </c>
      <c r="BL34" s="7"/>
      <c r="BM34" s="7"/>
      <c r="BN34" s="23"/>
      <c r="BO34" s="23"/>
      <c r="BP34" s="15"/>
    </row>
    <row r="35" spans="1:68" ht="24.95" customHeight="1" thickTop="1" thickBot="1" x14ac:dyDescent="0.3">
      <c r="A35" s="23">
        <v>34</v>
      </c>
      <c r="B35" s="7">
        <v>2525438</v>
      </c>
      <c r="C35" s="23" t="s">
        <v>180</v>
      </c>
      <c r="D35" s="24" t="s">
        <v>181</v>
      </c>
      <c r="E35" s="23" t="s">
        <v>72</v>
      </c>
      <c r="F35" s="7" t="s">
        <v>73</v>
      </c>
      <c r="G35" s="8" t="s">
        <v>74</v>
      </c>
      <c r="H35" s="9" t="s">
        <v>75</v>
      </c>
      <c r="I35" s="10" t="s">
        <v>76</v>
      </c>
      <c r="J35" s="11" t="s">
        <v>77</v>
      </c>
      <c r="K35" s="11" t="s">
        <v>78</v>
      </c>
      <c r="L35" s="11" t="s">
        <v>79</v>
      </c>
      <c r="M35" s="23">
        <v>78</v>
      </c>
      <c r="N35" s="13" t="str">
        <f t="shared" si="0"/>
        <v>Mencapai kompetensi dengan baik dalam hal</v>
      </c>
      <c r="O35" s="23">
        <v>78</v>
      </c>
      <c r="P35" s="13" t="str">
        <f t="shared" si="1"/>
        <v>Mencapai kompetensi dengan baik dalam hal</v>
      </c>
      <c r="Q35" s="23">
        <v>79</v>
      </c>
      <c r="R35" s="13" t="str">
        <f t="shared" si="2"/>
        <v>Mencapai kompetensi dengan baik dalam hal</v>
      </c>
      <c r="S35" s="23">
        <v>84</v>
      </c>
      <c r="T35" s="13" t="str">
        <f t="shared" si="3"/>
        <v>Mencapai kompetensi dengan baik dalam hal</v>
      </c>
      <c r="U35" s="23">
        <v>75</v>
      </c>
      <c r="V35" s="13" t="str">
        <f t="shared" si="4"/>
        <v>Mencapai kompetensi dengan baik dalam hal</v>
      </c>
      <c r="W35" s="23">
        <v>75</v>
      </c>
      <c r="X35" s="13" t="str">
        <f t="shared" si="5"/>
        <v>Mencapai kompetensi dengan baik dalam hal</v>
      </c>
      <c r="Y35" s="23">
        <v>76</v>
      </c>
      <c r="Z35" s="13" t="str">
        <f t="shared" si="6"/>
        <v>Mencapai kompetensi dengan baik dalam hal</v>
      </c>
      <c r="AA35" s="23">
        <v>77</v>
      </c>
      <c r="AB35" s="13" t="str">
        <f t="shared" si="7"/>
        <v>Mencapai kompetensi dengan baik dalam hal</v>
      </c>
      <c r="AC35" s="23">
        <v>76</v>
      </c>
      <c r="AD35" s="13" t="str">
        <f t="shared" si="8"/>
        <v>Mencapai kompetensi dengan baik dalam hal</v>
      </c>
      <c r="AE35" s="23">
        <v>80</v>
      </c>
      <c r="AF35" s="13" t="str">
        <f t="shared" si="9"/>
        <v>Mencapai kompetensi dengan baik dalam hal</v>
      </c>
      <c r="AG35" s="23">
        <v>82</v>
      </c>
      <c r="AH35" s="13" t="str">
        <f t="shared" si="10"/>
        <v>Mencapai kompetensi dengan baik dalam hal</v>
      </c>
      <c r="AI35" s="23">
        <v>82</v>
      </c>
      <c r="AJ35" s="13" t="str">
        <f t="shared" si="11"/>
        <v>Mencapai kompetensi dengan baik dalam hal</v>
      </c>
      <c r="AK35" s="23">
        <v>81</v>
      </c>
      <c r="AL35" s="13" t="str">
        <f t="shared" si="12"/>
        <v>Mencapai kompetensi dengan baik dalam hal</v>
      </c>
      <c r="AM35" s="23">
        <v>80</v>
      </c>
      <c r="AN35" s="13" t="str">
        <f t="shared" si="13"/>
        <v>Mencapai kompetensi dengan baik dalam hal</v>
      </c>
      <c r="AO35" s="23">
        <v>80</v>
      </c>
      <c r="AP35" s="13" t="str">
        <f t="shared" si="14"/>
        <v>Mencapai kompetensi dengan baik dalam hal</v>
      </c>
      <c r="AQ35" s="14">
        <f t="shared" si="20"/>
        <v>81</v>
      </c>
      <c r="AR35" s="23">
        <v>76</v>
      </c>
      <c r="AS35" s="13" t="str">
        <f t="shared" si="15"/>
        <v>Mencapai kompetensi dengan baik dalam hal</v>
      </c>
      <c r="AT35" s="23">
        <v>75</v>
      </c>
      <c r="AU35" s="13" t="str">
        <f t="shared" si="16"/>
        <v>Mencapai kompetensi dengan baik dalam hal</v>
      </c>
      <c r="AV35" s="23"/>
      <c r="AW35" s="18"/>
      <c r="AX35" s="18" t="s">
        <v>80</v>
      </c>
      <c r="AY35" s="23">
        <v>1</v>
      </c>
      <c r="AZ35" s="23" t="s">
        <v>81</v>
      </c>
      <c r="BA35" s="23" t="s">
        <v>81</v>
      </c>
      <c r="BB35" s="23">
        <v>1</v>
      </c>
      <c r="BC35" s="23" t="s">
        <v>82</v>
      </c>
      <c r="BD35" s="18" t="s">
        <v>83</v>
      </c>
      <c r="BE35" s="23" t="s">
        <v>84</v>
      </c>
      <c r="BF35" s="15" t="str">
        <f t="shared" si="17"/>
        <v>Baik</v>
      </c>
      <c r="BG35" s="23">
        <v>2</v>
      </c>
      <c r="BH35" s="18" t="s">
        <v>99</v>
      </c>
      <c r="BI35" s="18" t="s">
        <v>83</v>
      </c>
      <c r="BJ35" s="7" t="s">
        <v>84</v>
      </c>
      <c r="BK35" s="15" t="str">
        <f t="shared" si="18"/>
        <v>Baik</v>
      </c>
      <c r="BL35" s="7"/>
      <c r="BM35" s="23"/>
      <c r="BN35" s="23"/>
      <c r="BO35" s="23"/>
      <c r="BP35" s="15"/>
    </row>
    <row r="36" spans="1:68" ht="11.25" customHeight="1" thickTop="1" thickBot="1" x14ac:dyDescent="0.3">
      <c r="A36" s="38"/>
      <c r="B36" s="39"/>
      <c r="C36" s="38"/>
      <c r="D36" s="40"/>
      <c r="E36" s="38"/>
      <c r="F36" s="39"/>
      <c r="G36" s="41"/>
      <c r="H36" s="42"/>
      <c r="I36" s="43"/>
      <c r="J36" s="44"/>
      <c r="K36" s="44"/>
      <c r="L36" s="44"/>
      <c r="M36" s="38"/>
      <c r="N36" s="13"/>
      <c r="O36" s="38"/>
      <c r="P36" s="13"/>
      <c r="Q36" s="38"/>
      <c r="R36" s="13"/>
      <c r="S36" s="38"/>
      <c r="T36" s="13"/>
      <c r="U36" s="38"/>
      <c r="V36" s="13"/>
      <c r="W36" s="38"/>
      <c r="X36" s="13"/>
      <c r="Y36" s="38"/>
      <c r="Z36" s="13"/>
      <c r="AA36" s="38"/>
      <c r="AB36" s="13"/>
      <c r="AC36" s="38"/>
      <c r="AD36" s="13"/>
      <c r="AE36" s="38"/>
      <c r="AF36" s="13"/>
      <c r="AG36" s="38"/>
      <c r="AH36" s="13"/>
      <c r="AI36" s="38"/>
      <c r="AJ36" s="13"/>
      <c r="AK36" s="38"/>
      <c r="AL36" s="13"/>
      <c r="AM36" s="38"/>
      <c r="AN36" s="13"/>
      <c r="AO36" s="38"/>
      <c r="AP36" s="13"/>
      <c r="AQ36" s="45"/>
      <c r="AR36" s="38"/>
      <c r="AS36" s="13"/>
      <c r="AT36" s="38"/>
      <c r="AU36" s="13"/>
      <c r="AV36" s="38"/>
      <c r="AW36" s="46"/>
      <c r="AX36" s="46"/>
      <c r="AY36" s="38"/>
      <c r="AZ36" s="47"/>
      <c r="BA36" s="38"/>
      <c r="BB36" s="38"/>
      <c r="BC36" s="38"/>
      <c r="BD36" s="46"/>
      <c r="BE36" s="38"/>
      <c r="BF36" s="15"/>
      <c r="BG36" s="38"/>
      <c r="BH36" s="46"/>
      <c r="BI36" s="46"/>
      <c r="BJ36" s="39"/>
      <c r="BK36" s="15"/>
      <c r="BL36" s="39"/>
      <c r="BM36" s="38"/>
      <c r="BN36" s="38"/>
      <c r="BO36" s="38"/>
      <c r="BP36" s="38"/>
    </row>
    <row r="37" spans="1:68" ht="15.75" thickTop="1" x14ac:dyDescent="0.25"/>
  </sheetData>
  <conditionalFormatting sqref="BF2:BF36 M2:AQ36 AT2:AU36 BK2:BK36">
    <cfRule type="cellIs" dxfId="115" priority="10" operator="lessThan">
      <formula>70</formula>
    </cfRule>
  </conditionalFormatting>
  <conditionalFormatting sqref="M2:AO36 AT2:AT36">
    <cfRule type="cellIs" dxfId="114" priority="9" operator="lessThan">
      <formula>75</formula>
    </cfRule>
  </conditionalFormatting>
  <conditionalFormatting sqref="BE2:BE35">
    <cfRule type="cellIs" dxfId="113" priority="6" operator="lessThan">
      <formula>70</formula>
    </cfRule>
  </conditionalFormatting>
  <conditionalFormatting sqref="BE2:BE35">
    <cfRule type="cellIs" dxfId="112" priority="5" operator="lessThan">
      <formula>75</formula>
    </cfRule>
  </conditionalFormatting>
  <conditionalFormatting sqref="BC2:BC35">
    <cfRule type="cellIs" dxfId="111" priority="8" operator="lessThan">
      <formula>70</formula>
    </cfRule>
  </conditionalFormatting>
  <conditionalFormatting sqref="BC2:BC35">
    <cfRule type="cellIs" dxfId="110" priority="7" operator="lessThan">
      <formula>75</formula>
    </cfRule>
  </conditionalFormatting>
  <conditionalFormatting sqref="AR2:AS36">
    <cfRule type="cellIs" dxfId="109" priority="4" operator="lessThan">
      <formula>70</formula>
    </cfRule>
  </conditionalFormatting>
  <conditionalFormatting sqref="AR2:AS36">
    <cfRule type="cellIs" dxfId="108" priority="3" operator="lessThan">
      <formula>75</formula>
    </cfRule>
  </conditionalFormatting>
  <conditionalFormatting sqref="M2:AT35">
    <cfRule type="cellIs" dxfId="107" priority="2" operator="lessThan">
      <formula>75</formula>
    </cfRule>
  </conditionalFormatting>
  <conditionalFormatting sqref="BP2:BP35">
    <cfRule type="cellIs" dxfId="106" priority="1" operator="lessThan">
      <formula>70</formula>
    </cfRule>
  </conditionalFormatting>
  <printOptions horizontalCentered="1"/>
  <pageMargins left="0.19685039370078741" right="0.19685039370078741" top="0" bottom="0.39370078740157483" header="0.31496062992125984" footer="0.31496062992125984"/>
  <pageSetup paperSize="25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39"/>
  <sheetViews>
    <sheetView zoomScale="85" zoomScaleNormal="85" workbookViewId="0">
      <pane xSplit="10" ySplit="1" topLeftCell="O25" activePane="bottomRight" state="frozen"/>
      <selection pane="topRight" activeCell="K1" sqref="K1"/>
      <selection pane="bottomLeft" activeCell="A2" sqref="A2"/>
      <selection pane="bottomRight" sqref="A1:BK38"/>
    </sheetView>
  </sheetViews>
  <sheetFormatPr defaultColWidth="9.140625" defaultRowHeight="15" x14ac:dyDescent="0.25"/>
  <cols>
    <col min="1" max="1" width="3.5703125" style="22" bestFit="1" customWidth="1"/>
    <col min="2" max="2" width="12" style="22" customWidth="1"/>
    <col min="3" max="3" width="11.28515625" style="22" bestFit="1" customWidth="1"/>
    <col min="4" max="4" width="40.7109375" style="19" customWidth="1"/>
    <col min="5" max="5" width="9.140625" style="22"/>
    <col min="6" max="6" width="43.140625" style="22" customWidth="1"/>
    <col min="7" max="7" width="26" style="19" customWidth="1"/>
    <col min="8" max="8" width="25.85546875" style="19" customWidth="1"/>
    <col min="9" max="9" width="8.140625" style="22" customWidth="1"/>
    <col min="10" max="10" width="9.85546875" style="19" customWidth="1"/>
    <col min="11" max="11" width="9.140625" style="22"/>
    <col min="12" max="12" width="36.85546875" style="22" hidden="1" customWidth="1"/>
    <col min="13" max="13" width="9.140625" style="22"/>
    <col min="14" max="14" width="28" style="22" hidden="1" customWidth="1"/>
    <col min="15" max="15" width="9.140625" style="22"/>
    <col min="16" max="16" width="28" style="22" hidden="1" customWidth="1"/>
    <col min="17" max="17" width="13.42578125" style="22" bestFit="1" customWidth="1"/>
    <col min="18" max="18" width="28" style="22" hidden="1" customWidth="1"/>
    <col min="19" max="19" width="9.140625" style="22"/>
    <col min="20" max="20" width="28" style="22" hidden="1" customWidth="1"/>
    <col min="21" max="21" width="9.140625" style="22"/>
    <col min="22" max="22" width="28" style="22" hidden="1" customWidth="1"/>
    <col min="23" max="23" width="9.140625" style="22"/>
    <col min="24" max="24" width="28" style="22" hidden="1" customWidth="1"/>
    <col min="25" max="25" width="9.140625" style="22"/>
    <col min="26" max="26" width="28" style="22" hidden="1" customWidth="1"/>
    <col min="27" max="27" width="9.140625" style="22"/>
    <col min="28" max="28" width="28" style="22" hidden="1" customWidth="1"/>
    <col min="29" max="29" width="9.140625" style="22"/>
    <col min="30" max="30" width="28" style="22" hidden="1" customWidth="1"/>
    <col min="31" max="31" width="0" style="22" hidden="1" customWidth="1"/>
    <col min="32" max="32" width="28" style="22" hidden="1" customWidth="1"/>
    <col min="33" max="33" width="0" style="22" hidden="1" customWidth="1"/>
    <col min="34" max="34" width="28" style="22" hidden="1" customWidth="1"/>
    <col min="35" max="35" width="0" style="22" hidden="1" customWidth="1"/>
    <col min="36" max="36" width="28" style="22" hidden="1" customWidth="1"/>
    <col min="37" max="37" width="0" style="22" hidden="1" customWidth="1"/>
    <col min="38" max="38" width="28" style="22" hidden="1" customWidth="1"/>
    <col min="39" max="39" width="4.140625" style="22" hidden="1" customWidth="1"/>
    <col min="40" max="40" width="28" style="22" hidden="1" customWidth="1"/>
    <col min="41" max="41" width="9.140625" style="37"/>
    <col min="42" max="42" width="14.42578125" style="22" bestFit="1" customWidth="1"/>
    <col min="43" max="43" width="28" style="22" hidden="1" customWidth="1"/>
    <col min="44" max="44" width="9.140625" style="22"/>
    <col min="45" max="45" width="28" style="22" hidden="1" customWidth="1"/>
    <col min="46" max="48" width="9.140625" style="19"/>
    <col min="49" max="49" width="0" style="19" hidden="1" customWidth="1"/>
    <col min="50" max="50" width="9" style="19" bestFit="1" customWidth="1"/>
    <col min="51" max="51" width="19.28515625" style="19" hidden="1" customWidth="1"/>
    <col min="52" max="52" width="4.5703125" style="19" bestFit="1" customWidth="1"/>
    <col min="53" max="53" width="17.85546875" style="19" customWidth="1"/>
    <col min="54" max="54" width="0" style="19" hidden="1" customWidth="1"/>
    <col min="55" max="55" width="17.5703125" style="19" bestFit="1" customWidth="1"/>
    <col min="56" max="56" width="26.5703125" style="19" hidden="1" customWidth="1"/>
    <col min="57" max="57" width="4.28515625" style="19" bestFit="1" customWidth="1"/>
    <col min="58" max="58" width="18.5703125" style="19" bestFit="1" customWidth="1"/>
    <col min="59" max="59" width="3.42578125" style="19" hidden="1" customWidth="1"/>
    <col min="60" max="60" width="14.5703125" style="19" bestFit="1" customWidth="1"/>
    <col min="61" max="61" width="11.140625" style="19" hidden="1" customWidth="1"/>
    <col min="62" max="62" width="4.42578125" style="19" bestFit="1" customWidth="1"/>
    <col min="63" max="63" width="11.140625" style="19" bestFit="1" customWidth="1"/>
    <col min="64" max="68" width="9.140625" style="19"/>
    <col min="69" max="69" width="36.5703125" style="19" bestFit="1" customWidth="1"/>
    <col min="70" max="71" width="9.140625" style="19"/>
    <col min="72" max="72" width="31.7109375" style="19" bestFit="1" customWidth="1"/>
    <col min="73" max="16384" width="9.140625" style="19"/>
  </cols>
  <sheetData>
    <row r="1" spans="1:72" s="5" customFormat="1" ht="25.5" customHeight="1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2" t="s">
        <v>182</v>
      </c>
      <c r="AF1" s="2" t="s">
        <v>183</v>
      </c>
      <c r="AG1" s="2" t="s">
        <v>184</v>
      </c>
      <c r="AH1" s="2" t="s">
        <v>185</v>
      </c>
      <c r="AI1" s="2" t="s">
        <v>40</v>
      </c>
      <c r="AJ1" s="2" t="s">
        <v>186</v>
      </c>
      <c r="AK1" s="2" t="s">
        <v>36</v>
      </c>
      <c r="AL1" s="2" t="s">
        <v>187</v>
      </c>
      <c r="AM1" s="2" t="s">
        <v>188</v>
      </c>
      <c r="AN1" s="2" t="s">
        <v>189</v>
      </c>
      <c r="AO1" s="50" t="s">
        <v>190</v>
      </c>
      <c r="AP1" s="2" t="s">
        <v>191</v>
      </c>
      <c r="AQ1" s="2" t="s">
        <v>192</v>
      </c>
      <c r="AR1" s="2" t="s">
        <v>45</v>
      </c>
      <c r="AS1" s="2" t="s">
        <v>46</v>
      </c>
      <c r="AT1" s="2" t="s">
        <v>50</v>
      </c>
      <c r="AU1" s="1" t="s">
        <v>51</v>
      </c>
      <c r="AV1" s="1" t="s">
        <v>52</v>
      </c>
      <c r="AW1" s="2" t="s">
        <v>53</v>
      </c>
      <c r="AX1" s="2" t="s">
        <v>54</v>
      </c>
      <c r="AY1" s="2" t="s">
        <v>55</v>
      </c>
      <c r="AZ1" s="2" t="s">
        <v>56</v>
      </c>
      <c r="BA1" s="2" t="s">
        <v>57</v>
      </c>
      <c r="BB1" s="2" t="s">
        <v>58</v>
      </c>
      <c r="BC1" s="2" t="s">
        <v>59</v>
      </c>
      <c r="BD1" s="2" t="s">
        <v>60</v>
      </c>
      <c r="BE1" s="2" t="s">
        <v>61</v>
      </c>
      <c r="BF1" s="2" t="s">
        <v>62</v>
      </c>
      <c r="BG1" s="2" t="s">
        <v>63</v>
      </c>
      <c r="BH1" s="2" t="s">
        <v>64</v>
      </c>
      <c r="BI1" s="2" t="s">
        <v>65</v>
      </c>
      <c r="BJ1" s="2" t="s">
        <v>66</v>
      </c>
      <c r="BK1" s="2" t="s">
        <v>67</v>
      </c>
      <c r="BL1" s="51"/>
      <c r="BM1" s="51"/>
      <c r="BN1" s="51"/>
      <c r="BP1" s="52" t="s">
        <v>68</v>
      </c>
      <c r="BQ1" s="52"/>
      <c r="BS1" s="5" t="s">
        <v>69</v>
      </c>
    </row>
    <row r="2" spans="1:72" ht="24.95" customHeight="1" thickTop="1" thickBot="1" x14ac:dyDescent="0.3">
      <c r="A2" s="7">
        <v>1</v>
      </c>
      <c r="B2" s="7">
        <v>2525439</v>
      </c>
      <c r="C2" s="7" t="s">
        <v>193</v>
      </c>
      <c r="D2" s="17" t="s">
        <v>194</v>
      </c>
      <c r="E2" s="7" t="s">
        <v>195</v>
      </c>
      <c r="F2" s="7" t="s">
        <v>196</v>
      </c>
      <c r="G2" s="8" t="s">
        <v>197</v>
      </c>
      <c r="H2" s="9" t="s">
        <v>198</v>
      </c>
      <c r="I2" s="10" t="s">
        <v>76</v>
      </c>
      <c r="J2" s="11" t="s">
        <v>77</v>
      </c>
      <c r="K2" s="7">
        <v>83</v>
      </c>
      <c r="L2" s="15" t="str">
        <f t="shared" ref="L2:L37" si="0">VLOOKUP(K2,grades1,2,TRUE)</f>
        <v>Mencapai kompetensi dengan baik dalam hal</v>
      </c>
      <c r="M2" s="7">
        <v>80</v>
      </c>
      <c r="N2" s="15" t="str">
        <f t="shared" ref="N2:N37" si="1">VLOOKUP(M2,grades1,2,TRUE)</f>
        <v>Mencapai kompetensi dengan baik dalam hal</v>
      </c>
      <c r="O2" s="7">
        <v>82</v>
      </c>
      <c r="P2" s="15" t="str">
        <f t="shared" ref="P2:P37" si="2">VLOOKUP(O2,grades1,2,TRUE)</f>
        <v>Mencapai kompetensi dengan baik dalam hal</v>
      </c>
      <c r="Q2" s="7">
        <v>82</v>
      </c>
      <c r="R2" s="15" t="str">
        <f t="shared" ref="R2:R37" si="3">VLOOKUP(Q2,grades1,2,TRUE)</f>
        <v>Mencapai kompetensi dengan baik dalam hal</v>
      </c>
      <c r="S2" s="7">
        <v>86</v>
      </c>
      <c r="T2" s="15" t="str">
        <f t="shared" ref="T2:T37" si="4">VLOOKUP(S2,grades1,2,TRUE)</f>
        <v>Mencapai kompetensi dengan baik dalam hal</v>
      </c>
      <c r="U2" s="7">
        <v>81</v>
      </c>
      <c r="V2" s="15" t="str">
        <f t="shared" ref="V2:V37" si="5">VLOOKUP(U2,grades1,2,TRUE)</f>
        <v>Mencapai kompetensi dengan baik dalam hal</v>
      </c>
      <c r="W2" s="7">
        <v>83</v>
      </c>
      <c r="X2" s="15" t="str">
        <f t="shared" ref="X2:X37" si="6">VLOOKUP(W2,grades1,2,TRUE)</f>
        <v>Mencapai kompetensi dengan baik dalam hal</v>
      </c>
      <c r="Y2" s="7">
        <v>83</v>
      </c>
      <c r="Z2" s="15" t="str">
        <f t="shared" ref="Z2:Z37" si="7">VLOOKUP(Y2,grades1,2,TRUE)</f>
        <v>Mencapai kompetensi dengan baik dalam hal</v>
      </c>
      <c r="AA2" s="7">
        <v>85</v>
      </c>
      <c r="AB2" s="15" t="str">
        <f t="shared" ref="AB2:AB37" si="8">VLOOKUP(AA2,grades1,2,TRUE)</f>
        <v>Mencapai kompetensi dengan baik dalam hal</v>
      </c>
      <c r="AC2" s="7">
        <v>80</v>
      </c>
      <c r="AD2" s="15" t="str">
        <f t="shared" ref="AD2:AD37" si="9">VLOOKUP(AC2,grades1,2,TRUE)</f>
        <v>Mencapai kompetensi dengan baik dalam hal</v>
      </c>
      <c r="AE2" s="7">
        <v>89</v>
      </c>
      <c r="AF2" s="15" t="str">
        <f t="shared" ref="AF2:AF37" si="10">VLOOKUP(AE2,grades1,2,TRUE)</f>
        <v>Mencapai kompetensi dengan baik dalam hal</v>
      </c>
      <c r="AG2" s="7">
        <v>90</v>
      </c>
      <c r="AH2" s="15" t="str">
        <f t="shared" ref="AH2:AH37" si="11">VLOOKUP(AG2,grades1,2,TRUE)</f>
        <v>Mencapai kompetensi dengan sangat baik dalam hal</v>
      </c>
      <c r="AI2" s="7">
        <v>90</v>
      </c>
      <c r="AJ2" s="15" t="str">
        <f t="shared" ref="AJ2:AJ37" si="12">VLOOKUP(AI2,grades1,2,TRUE)</f>
        <v>Mencapai kompetensi dengan sangat baik dalam hal</v>
      </c>
      <c r="AK2" s="7">
        <v>88</v>
      </c>
      <c r="AL2" s="15" t="str">
        <f t="shared" ref="AL2:AL37" si="13">VLOOKUP(AK2,grades1,2,TRUE)</f>
        <v>Mencapai kompetensi dengan baik dalam hal</v>
      </c>
      <c r="AM2" s="7">
        <v>93</v>
      </c>
      <c r="AN2" s="15" t="str">
        <f t="shared" ref="AN2:AN37" si="14">VLOOKUP(AM2,grades1,2,TRUE)</f>
        <v>Mencapai kompetensi dengan sangat baik dalam hal</v>
      </c>
      <c r="AO2" s="53">
        <f>AVERAGE(AM2,AK2,AI2,AG2,AE2)</f>
        <v>90</v>
      </c>
      <c r="AP2" s="7">
        <v>85</v>
      </c>
      <c r="AQ2" s="15" t="str">
        <f t="shared" ref="AQ2:AQ37" si="15">VLOOKUP(AP2,grades1,2,TRUE)</f>
        <v>Mencapai kompetensi dengan baik dalam hal</v>
      </c>
      <c r="AR2" s="7">
        <v>82</v>
      </c>
      <c r="AS2" s="15" t="str">
        <f t="shared" ref="AS2:AS37" si="16">VLOOKUP(AR2,grades1,2,TRUE)</f>
        <v>Mencapai kompetensi dengan baik dalam hal</v>
      </c>
      <c r="AT2" s="16" t="s">
        <v>81</v>
      </c>
      <c r="AU2" s="7" t="s">
        <v>81</v>
      </c>
      <c r="AV2" s="7" t="s">
        <v>81</v>
      </c>
      <c r="AW2" s="7">
        <v>1</v>
      </c>
      <c r="AX2" s="12" t="s">
        <v>82</v>
      </c>
      <c r="AY2" s="17" t="s">
        <v>83</v>
      </c>
      <c r="AZ2" s="12" t="s">
        <v>86</v>
      </c>
      <c r="BA2" s="15" t="str">
        <f t="shared" ref="BA2:BA37" si="17">VLOOKUP(AZ2,grades4,2,TRUE)</f>
        <v>Sangat baik</v>
      </c>
      <c r="BB2" s="7">
        <v>2</v>
      </c>
      <c r="BC2" s="17" t="s">
        <v>85</v>
      </c>
      <c r="BD2" s="18" t="s">
        <v>83</v>
      </c>
      <c r="BE2" s="7" t="s">
        <v>86</v>
      </c>
      <c r="BF2" s="15" t="str">
        <f t="shared" ref="BF2:BF37" si="18">VLOOKUP(BE2,grades4,2,TRUE)</f>
        <v>Sangat baik</v>
      </c>
      <c r="BG2" s="7">
        <v>3</v>
      </c>
      <c r="BH2" s="7" t="s">
        <v>87</v>
      </c>
      <c r="BI2" s="7" t="s">
        <v>83</v>
      </c>
      <c r="BJ2" s="7" t="s">
        <v>84</v>
      </c>
      <c r="BK2" s="15" t="str">
        <f>VLOOKUP(BJ2,grades4,2,TRUE)</f>
        <v>Baik</v>
      </c>
      <c r="BL2" s="54"/>
      <c r="BM2" s="54"/>
      <c r="BN2" s="54"/>
      <c r="BP2" s="55" t="s">
        <v>88</v>
      </c>
      <c r="BQ2" s="55" t="s">
        <v>89</v>
      </c>
      <c r="BS2" s="20" t="s">
        <v>88</v>
      </c>
      <c r="BT2" s="20" t="s">
        <v>89</v>
      </c>
    </row>
    <row r="3" spans="1:72" ht="24.95" customHeight="1" thickTop="1" thickBot="1" x14ac:dyDescent="0.3">
      <c r="A3" s="23">
        <v>2</v>
      </c>
      <c r="B3" s="7">
        <v>2525440</v>
      </c>
      <c r="C3" s="7" t="s">
        <v>199</v>
      </c>
      <c r="D3" s="17" t="s">
        <v>200</v>
      </c>
      <c r="E3" s="23" t="s">
        <v>195</v>
      </c>
      <c r="F3" s="7" t="s">
        <v>196</v>
      </c>
      <c r="G3" s="8" t="s">
        <v>197</v>
      </c>
      <c r="H3" s="9" t="s">
        <v>198</v>
      </c>
      <c r="I3" s="10" t="s">
        <v>76</v>
      </c>
      <c r="J3" s="11" t="s">
        <v>77</v>
      </c>
      <c r="K3" s="7">
        <v>83</v>
      </c>
      <c r="L3" s="15" t="str">
        <f t="shared" si="0"/>
        <v>Mencapai kompetensi dengan baik dalam hal</v>
      </c>
      <c r="M3" s="7">
        <v>83</v>
      </c>
      <c r="N3" s="15" t="str">
        <f t="shared" si="1"/>
        <v>Mencapai kompetensi dengan baik dalam hal</v>
      </c>
      <c r="O3" s="7">
        <v>81</v>
      </c>
      <c r="P3" s="15" t="str">
        <f t="shared" si="2"/>
        <v>Mencapai kompetensi dengan baik dalam hal</v>
      </c>
      <c r="Q3" s="7">
        <v>83</v>
      </c>
      <c r="R3" s="15" t="str">
        <f t="shared" si="3"/>
        <v>Mencapai kompetensi dengan baik dalam hal</v>
      </c>
      <c r="S3" s="7">
        <v>85</v>
      </c>
      <c r="T3" s="15" t="str">
        <f t="shared" si="4"/>
        <v>Mencapai kompetensi dengan baik dalam hal</v>
      </c>
      <c r="U3" s="7">
        <v>83</v>
      </c>
      <c r="V3" s="15" t="str">
        <f t="shared" si="5"/>
        <v>Mencapai kompetensi dengan baik dalam hal</v>
      </c>
      <c r="W3" s="7">
        <v>83</v>
      </c>
      <c r="X3" s="15" t="str">
        <f t="shared" si="6"/>
        <v>Mencapai kompetensi dengan baik dalam hal</v>
      </c>
      <c r="Y3" s="7">
        <v>80</v>
      </c>
      <c r="Z3" s="15" t="str">
        <f t="shared" si="7"/>
        <v>Mencapai kompetensi dengan baik dalam hal</v>
      </c>
      <c r="AA3" s="7">
        <v>82</v>
      </c>
      <c r="AB3" s="15" t="str">
        <f t="shared" si="8"/>
        <v>Mencapai kompetensi dengan baik dalam hal</v>
      </c>
      <c r="AC3" s="7">
        <v>82</v>
      </c>
      <c r="AD3" s="15" t="str">
        <f t="shared" si="9"/>
        <v>Mencapai kompetensi dengan baik dalam hal</v>
      </c>
      <c r="AE3" s="7">
        <v>92</v>
      </c>
      <c r="AF3" s="15" t="str">
        <f t="shared" si="10"/>
        <v>Mencapai kompetensi dengan sangat baik dalam hal</v>
      </c>
      <c r="AG3" s="7">
        <v>85</v>
      </c>
      <c r="AH3" s="15" t="str">
        <f t="shared" si="11"/>
        <v>Mencapai kompetensi dengan baik dalam hal</v>
      </c>
      <c r="AI3" s="7">
        <v>88</v>
      </c>
      <c r="AJ3" s="15" t="str">
        <f t="shared" si="12"/>
        <v>Mencapai kompetensi dengan baik dalam hal</v>
      </c>
      <c r="AK3" s="7">
        <v>85</v>
      </c>
      <c r="AL3" s="15" t="str">
        <f t="shared" si="13"/>
        <v>Mencapai kompetensi dengan baik dalam hal</v>
      </c>
      <c r="AM3" s="7">
        <v>90</v>
      </c>
      <c r="AN3" s="15" t="str">
        <f t="shared" si="14"/>
        <v>Mencapai kompetensi dengan sangat baik dalam hal</v>
      </c>
      <c r="AO3" s="53">
        <f t="shared" ref="AO3:AO37" si="19">AVERAGE(AM3,AK3,AI3,AG3,AE3)</f>
        <v>88</v>
      </c>
      <c r="AP3" s="7">
        <v>82</v>
      </c>
      <c r="AQ3" s="15" t="str">
        <f t="shared" si="15"/>
        <v>Mencapai kompetensi dengan baik dalam hal</v>
      </c>
      <c r="AR3" s="7">
        <v>82</v>
      </c>
      <c r="AS3" s="15" t="str">
        <f t="shared" si="16"/>
        <v>Mencapai kompetensi dengan baik dalam hal</v>
      </c>
      <c r="AT3" s="7" t="s">
        <v>81</v>
      </c>
      <c r="AU3" s="7" t="s">
        <v>81</v>
      </c>
      <c r="AV3" s="7" t="s">
        <v>81</v>
      </c>
      <c r="AW3" s="23">
        <v>1</v>
      </c>
      <c r="AX3" s="23" t="s">
        <v>82</v>
      </c>
      <c r="AY3" s="18" t="s">
        <v>83</v>
      </c>
      <c r="AZ3" s="23" t="s">
        <v>84</v>
      </c>
      <c r="BA3" s="15" t="str">
        <f t="shared" si="17"/>
        <v>Baik</v>
      </c>
      <c r="BB3" s="23">
        <v>2</v>
      </c>
      <c r="BC3" s="18" t="s">
        <v>162</v>
      </c>
      <c r="BD3" s="18" t="s">
        <v>83</v>
      </c>
      <c r="BE3" s="7" t="s">
        <v>86</v>
      </c>
      <c r="BF3" s="15" t="str">
        <f t="shared" si="18"/>
        <v>Sangat baik</v>
      </c>
      <c r="BG3" s="7"/>
      <c r="BH3" s="23"/>
      <c r="BI3" s="23"/>
      <c r="BJ3" s="23"/>
      <c r="BK3" s="15"/>
      <c r="BL3" s="54"/>
      <c r="BM3" s="54"/>
      <c r="BN3" s="54"/>
      <c r="BP3" s="55">
        <v>0</v>
      </c>
      <c r="BQ3" s="56" t="s">
        <v>95</v>
      </c>
      <c r="BS3" s="20" t="s">
        <v>86</v>
      </c>
      <c r="BT3" s="25" t="s">
        <v>96</v>
      </c>
    </row>
    <row r="4" spans="1:72" ht="24.95" customHeight="1" thickTop="1" thickBot="1" x14ac:dyDescent="0.3">
      <c r="A4" s="23">
        <v>3</v>
      </c>
      <c r="B4" s="7">
        <v>2525441</v>
      </c>
      <c r="C4" s="7" t="s">
        <v>201</v>
      </c>
      <c r="D4" s="17" t="s">
        <v>202</v>
      </c>
      <c r="E4" s="23" t="s">
        <v>195</v>
      </c>
      <c r="F4" s="7" t="s">
        <v>196</v>
      </c>
      <c r="G4" s="8" t="s">
        <v>197</v>
      </c>
      <c r="H4" s="9" t="s">
        <v>198</v>
      </c>
      <c r="I4" s="10" t="s">
        <v>76</v>
      </c>
      <c r="J4" s="11" t="s">
        <v>77</v>
      </c>
      <c r="K4" s="7">
        <v>80</v>
      </c>
      <c r="L4" s="15" t="str">
        <f t="shared" si="0"/>
        <v>Mencapai kompetensi dengan baik dalam hal</v>
      </c>
      <c r="M4" s="7">
        <v>79</v>
      </c>
      <c r="N4" s="15" t="str">
        <f t="shared" si="1"/>
        <v>Mencapai kompetensi dengan baik dalam hal</v>
      </c>
      <c r="O4" s="7">
        <v>81</v>
      </c>
      <c r="P4" s="15" t="str">
        <f t="shared" si="2"/>
        <v>Mencapai kompetensi dengan baik dalam hal</v>
      </c>
      <c r="Q4" s="7">
        <v>80</v>
      </c>
      <c r="R4" s="15" t="str">
        <f t="shared" si="3"/>
        <v>Mencapai kompetensi dengan baik dalam hal</v>
      </c>
      <c r="S4" s="7">
        <v>83</v>
      </c>
      <c r="T4" s="15" t="str">
        <f t="shared" si="4"/>
        <v>Mencapai kompetensi dengan baik dalam hal</v>
      </c>
      <c r="U4" s="7">
        <v>85</v>
      </c>
      <c r="V4" s="15" t="str">
        <f t="shared" si="5"/>
        <v>Mencapai kompetensi dengan baik dalam hal</v>
      </c>
      <c r="W4" s="7">
        <v>78</v>
      </c>
      <c r="X4" s="15" t="str">
        <f t="shared" si="6"/>
        <v>Mencapai kompetensi dengan baik dalam hal</v>
      </c>
      <c r="Y4" s="7">
        <v>78</v>
      </c>
      <c r="Z4" s="15" t="str">
        <f t="shared" si="7"/>
        <v>Mencapai kompetensi dengan baik dalam hal</v>
      </c>
      <c r="AA4" s="7">
        <v>78</v>
      </c>
      <c r="AB4" s="15" t="str">
        <f t="shared" si="8"/>
        <v>Mencapai kompetensi dengan baik dalam hal</v>
      </c>
      <c r="AC4" s="7">
        <v>82</v>
      </c>
      <c r="AD4" s="15" t="str">
        <f t="shared" si="9"/>
        <v>Mencapai kompetensi dengan baik dalam hal</v>
      </c>
      <c r="AE4" s="7">
        <v>85</v>
      </c>
      <c r="AF4" s="15" t="str">
        <f t="shared" si="10"/>
        <v>Mencapai kompetensi dengan baik dalam hal</v>
      </c>
      <c r="AG4" s="7">
        <v>87</v>
      </c>
      <c r="AH4" s="15" t="str">
        <f t="shared" si="11"/>
        <v>Mencapai kompetensi dengan baik dalam hal</v>
      </c>
      <c r="AI4" s="7">
        <v>84</v>
      </c>
      <c r="AJ4" s="15" t="str">
        <f t="shared" si="12"/>
        <v>Mencapai kompetensi dengan baik dalam hal</v>
      </c>
      <c r="AK4" s="7">
        <v>85</v>
      </c>
      <c r="AL4" s="15" t="str">
        <f t="shared" si="13"/>
        <v>Mencapai kompetensi dengan baik dalam hal</v>
      </c>
      <c r="AM4" s="7">
        <v>81</v>
      </c>
      <c r="AN4" s="15" t="str">
        <f t="shared" si="14"/>
        <v>Mencapai kompetensi dengan baik dalam hal</v>
      </c>
      <c r="AO4" s="53">
        <f t="shared" si="19"/>
        <v>84.4</v>
      </c>
      <c r="AP4" s="7">
        <v>78</v>
      </c>
      <c r="AQ4" s="15" t="str">
        <f t="shared" si="15"/>
        <v>Mencapai kompetensi dengan baik dalam hal</v>
      </c>
      <c r="AR4" s="7">
        <v>80</v>
      </c>
      <c r="AS4" s="15" t="str">
        <f t="shared" si="16"/>
        <v>Mencapai kompetensi dengan baik dalam hal</v>
      </c>
      <c r="AT4" s="7" t="s">
        <v>81</v>
      </c>
      <c r="AU4" s="7" t="s">
        <v>81</v>
      </c>
      <c r="AV4" s="7" t="s">
        <v>81</v>
      </c>
      <c r="AW4" s="23">
        <v>1</v>
      </c>
      <c r="AX4" s="7" t="s">
        <v>82</v>
      </c>
      <c r="AY4" s="18" t="s">
        <v>83</v>
      </c>
      <c r="AZ4" s="7" t="s">
        <v>86</v>
      </c>
      <c r="BA4" s="15" t="str">
        <f t="shared" si="17"/>
        <v>Sangat baik</v>
      </c>
      <c r="BB4" s="23">
        <v>2</v>
      </c>
      <c r="BC4" s="18" t="s">
        <v>108</v>
      </c>
      <c r="BD4" s="18" t="s">
        <v>83</v>
      </c>
      <c r="BE4" s="7" t="s">
        <v>86</v>
      </c>
      <c r="BF4" s="15" t="str">
        <f t="shared" si="18"/>
        <v>Sangat baik</v>
      </c>
      <c r="BG4" s="7"/>
      <c r="BH4" s="7"/>
      <c r="BI4" s="23"/>
      <c r="BJ4" s="23"/>
      <c r="BK4" s="15"/>
      <c r="BL4" s="54"/>
      <c r="BM4" s="54"/>
      <c r="BN4" s="54"/>
      <c r="BP4" s="55">
        <v>60</v>
      </c>
      <c r="BQ4" s="56" t="s">
        <v>95</v>
      </c>
      <c r="BS4" s="20" t="s">
        <v>84</v>
      </c>
      <c r="BT4" s="25" t="s">
        <v>100</v>
      </c>
    </row>
    <row r="5" spans="1:72" ht="24.95" customHeight="1" thickTop="1" thickBot="1" x14ac:dyDescent="0.3">
      <c r="A5" s="23">
        <v>4</v>
      </c>
      <c r="B5" s="7">
        <v>2525442</v>
      </c>
      <c r="C5" s="7" t="s">
        <v>203</v>
      </c>
      <c r="D5" s="17" t="s">
        <v>204</v>
      </c>
      <c r="E5" s="23" t="s">
        <v>195</v>
      </c>
      <c r="F5" s="7" t="s">
        <v>196</v>
      </c>
      <c r="G5" s="8" t="s">
        <v>197</v>
      </c>
      <c r="H5" s="9" t="s">
        <v>198</v>
      </c>
      <c r="I5" s="10" t="s">
        <v>76</v>
      </c>
      <c r="J5" s="11" t="s">
        <v>77</v>
      </c>
      <c r="K5" s="7">
        <v>80</v>
      </c>
      <c r="L5" s="15" t="str">
        <f t="shared" si="0"/>
        <v>Mencapai kompetensi dengan baik dalam hal</v>
      </c>
      <c r="M5" s="7">
        <v>81</v>
      </c>
      <c r="N5" s="15" t="str">
        <f t="shared" si="1"/>
        <v>Mencapai kompetensi dengan baik dalam hal</v>
      </c>
      <c r="O5" s="7">
        <v>81</v>
      </c>
      <c r="P5" s="15" t="str">
        <f t="shared" si="2"/>
        <v>Mencapai kompetensi dengan baik dalam hal</v>
      </c>
      <c r="Q5" s="7">
        <v>81</v>
      </c>
      <c r="R5" s="15" t="str">
        <f t="shared" si="3"/>
        <v>Mencapai kompetensi dengan baik dalam hal</v>
      </c>
      <c r="S5" s="7">
        <v>84</v>
      </c>
      <c r="T5" s="15" t="str">
        <f t="shared" si="4"/>
        <v>Mencapai kompetensi dengan baik dalam hal</v>
      </c>
      <c r="U5" s="7">
        <v>84</v>
      </c>
      <c r="V5" s="15" t="str">
        <f t="shared" si="5"/>
        <v>Mencapai kompetensi dengan baik dalam hal</v>
      </c>
      <c r="W5" s="7">
        <v>80</v>
      </c>
      <c r="X5" s="15" t="str">
        <f t="shared" si="6"/>
        <v>Mencapai kompetensi dengan baik dalam hal</v>
      </c>
      <c r="Y5" s="7">
        <v>79</v>
      </c>
      <c r="Z5" s="15" t="str">
        <f t="shared" si="7"/>
        <v>Mencapai kompetensi dengan baik dalam hal</v>
      </c>
      <c r="AA5" s="7">
        <v>78</v>
      </c>
      <c r="AB5" s="15" t="str">
        <f t="shared" si="8"/>
        <v>Mencapai kompetensi dengan baik dalam hal</v>
      </c>
      <c r="AC5" s="7">
        <v>80</v>
      </c>
      <c r="AD5" s="15" t="str">
        <f t="shared" si="9"/>
        <v>Mencapai kompetensi dengan baik dalam hal</v>
      </c>
      <c r="AE5" s="7">
        <v>91</v>
      </c>
      <c r="AF5" s="15" t="str">
        <f t="shared" si="10"/>
        <v>Mencapai kompetensi dengan sangat baik dalam hal</v>
      </c>
      <c r="AG5" s="7">
        <v>88</v>
      </c>
      <c r="AH5" s="15" t="str">
        <f t="shared" si="11"/>
        <v>Mencapai kompetensi dengan baik dalam hal</v>
      </c>
      <c r="AI5" s="7">
        <v>85</v>
      </c>
      <c r="AJ5" s="15" t="str">
        <f t="shared" si="12"/>
        <v>Mencapai kompetensi dengan baik dalam hal</v>
      </c>
      <c r="AK5" s="7">
        <v>85</v>
      </c>
      <c r="AL5" s="15" t="str">
        <f t="shared" si="13"/>
        <v>Mencapai kompetensi dengan baik dalam hal</v>
      </c>
      <c r="AM5" s="7">
        <v>82</v>
      </c>
      <c r="AN5" s="15" t="str">
        <f t="shared" si="14"/>
        <v>Mencapai kompetensi dengan baik dalam hal</v>
      </c>
      <c r="AO5" s="53">
        <f t="shared" si="19"/>
        <v>86.2</v>
      </c>
      <c r="AP5" s="7">
        <v>78</v>
      </c>
      <c r="AQ5" s="15" t="str">
        <f t="shared" si="15"/>
        <v>Mencapai kompetensi dengan baik dalam hal</v>
      </c>
      <c r="AR5" s="7">
        <v>76</v>
      </c>
      <c r="AS5" s="15" t="str">
        <f t="shared" si="16"/>
        <v>Mencapai kompetensi dengan baik dalam hal</v>
      </c>
      <c r="AT5" s="7" t="s">
        <v>81</v>
      </c>
      <c r="AU5" s="7" t="s">
        <v>81</v>
      </c>
      <c r="AV5" s="7" t="s">
        <v>81</v>
      </c>
      <c r="AW5" s="23">
        <v>1</v>
      </c>
      <c r="AX5" s="23" t="s">
        <v>82</v>
      </c>
      <c r="AY5" s="18" t="s">
        <v>83</v>
      </c>
      <c r="AZ5" s="23" t="s">
        <v>86</v>
      </c>
      <c r="BA5" s="15" t="str">
        <f t="shared" si="17"/>
        <v>Sangat baik</v>
      </c>
      <c r="BB5" s="23">
        <v>2</v>
      </c>
      <c r="BC5" s="18" t="s">
        <v>205</v>
      </c>
      <c r="BD5" s="18" t="s">
        <v>83</v>
      </c>
      <c r="BE5" s="7" t="s">
        <v>86</v>
      </c>
      <c r="BF5" s="15" t="str">
        <f t="shared" si="18"/>
        <v>Sangat baik</v>
      </c>
      <c r="BG5" s="7"/>
      <c r="BH5" s="23"/>
      <c r="BI5" s="23"/>
      <c r="BJ5" s="23"/>
      <c r="BK5" s="15"/>
      <c r="BL5" s="54"/>
      <c r="BM5" s="54"/>
      <c r="BN5" s="54"/>
      <c r="BP5" s="55">
        <v>70</v>
      </c>
      <c r="BQ5" s="56" t="s">
        <v>95</v>
      </c>
      <c r="BS5" s="20" t="s">
        <v>104</v>
      </c>
      <c r="BT5" s="25" t="s">
        <v>105</v>
      </c>
    </row>
    <row r="6" spans="1:72" ht="24.95" customHeight="1" thickTop="1" thickBot="1" x14ac:dyDescent="0.3">
      <c r="A6" s="23">
        <v>5</v>
      </c>
      <c r="B6" s="7">
        <v>2525443</v>
      </c>
      <c r="C6" s="7" t="s">
        <v>206</v>
      </c>
      <c r="D6" s="17" t="s">
        <v>207</v>
      </c>
      <c r="E6" s="23" t="s">
        <v>195</v>
      </c>
      <c r="F6" s="7" t="s">
        <v>196</v>
      </c>
      <c r="G6" s="8" t="s">
        <v>197</v>
      </c>
      <c r="H6" s="9" t="s">
        <v>198</v>
      </c>
      <c r="I6" s="10" t="s">
        <v>76</v>
      </c>
      <c r="J6" s="11" t="s">
        <v>77</v>
      </c>
      <c r="K6" s="7">
        <v>82</v>
      </c>
      <c r="L6" s="15" t="str">
        <f t="shared" si="0"/>
        <v>Mencapai kompetensi dengan baik dalam hal</v>
      </c>
      <c r="M6" s="7">
        <v>81</v>
      </c>
      <c r="N6" s="15" t="str">
        <f t="shared" si="1"/>
        <v>Mencapai kompetensi dengan baik dalam hal</v>
      </c>
      <c r="O6" s="7">
        <v>82</v>
      </c>
      <c r="P6" s="15" t="str">
        <f t="shared" si="2"/>
        <v>Mencapai kompetensi dengan baik dalam hal</v>
      </c>
      <c r="Q6" s="7">
        <v>85</v>
      </c>
      <c r="R6" s="15" t="str">
        <f t="shared" si="3"/>
        <v>Mencapai kompetensi dengan baik dalam hal</v>
      </c>
      <c r="S6" s="7">
        <v>87</v>
      </c>
      <c r="T6" s="15" t="str">
        <f t="shared" si="4"/>
        <v>Mencapai kompetensi dengan baik dalam hal</v>
      </c>
      <c r="U6" s="7">
        <v>82</v>
      </c>
      <c r="V6" s="15" t="str">
        <f t="shared" si="5"/>
        <v>Mencapai kompetensi dengan baik dalam hal</v>
      </c>
      <c r="W6" s="7">
        <v>81</v>
      </c>
      <c r="X6" s="15" t="str">
        <f t="shared" si="6"/>
        <v>Mencapai kompetensi dengan baik dalam hal</v>
      </c>
      <c r="Y6" s="7">
        <v>79</v>
      </c>
      <c r="Z6" s="15" t="str">
        <f t="shared" si="7"/>
        <v>Mencapai kompetensi dengan baik dalam hal</v>
      </c>
      <c r="AA6" s="7">
        <v>80</v>
      </c>
      <c r="AB6" s="15" t="str">
        <f t="shared" si="8"/>
        <v>Mencapai kompetensi dengan baik dalam hal</v>
      </c>
      <c r="AC6" s="7">
        <v>85</v>
      </c>
      <c r="AD6" s="15" t="str">
        <f t="shared" si="9"/>
        <v>Mencapai kompetensi dengan baik dalam hal</v>
      </c>
      <c r="AE6" s="7">
        <v>85</v>
      </c>
      <c r="AF6" s="15" t="str">
        <f t="shared" si="10"/>
        <v>Mencapai kompetensi dengan baik dalam hal</v>
      </c>
      <c r="AG6" s="7">
        <v>81</v>
      </c>
      <c r="AH6" s="15" t="str">
        <f t="shared" si="11"/>
        <v>Mencapai kompetensi dengan baik dalam hal</v>
      </c>
      <c r="AI6" s="7">
        <v>85</v>
      </c>
      <c r="AJ6" s="15" t="str">
        <f t="shared" si="12"/>
        <v>Mencapai kompetensi dengan baik dalam hal</v>
      </c>
      <c r="AK6" s="7">
        <v>85</v>
      </c>
      <c r="AL6" s="15" t="str">
        <f t="shared" si="13"/>
        <v>Mencapai kompetensi dengan baik dalam hal</v>
      </c>
      <c r="AM6" s="7">
        <v>86</v>
      </c>
      <c r="AN6" s="15" t="str">
        <f t="shared" si="14"/>
        <v>Mencapai kompetensi dengan baik dalam hal</v>
      </c>
      <c r="AO6" s="53">
        <f t="shared" si="19"/>
        <v>84.4</v>
      </c>
      <c r="AP6" s="7">
        <v>80</v>
      </c>
      <c r="AQ6" s="15" t="str">
        <f t="shared" si="15"/>
        <v>Mencapai kompetensi dengan baik dalam hal</v>
      </c>
      <c r="AR6" s="7">
        <v>82</v>
      </c>
      <c r="AS6" s="15" t="str">
        <f t="shared" si="16"/>
        <v>Mencapai kompetensi dengan baik dalam hal</v>
      </c>
      <c r="AT6" s="7" t="s">
        <v>81</v>
      </c>
      <c r="AU6" s="7" t="s">
        <v>81</v>
      </c>
      <c r="AV6" s="7" t="s">
        <v>81</v>
      </c>
      <c r="AW6" s="23">
        <v>1</v>
      </c>
      <c r="AX6" s="7" t="s">
        <v>82</v>
      </c>
      <c r="AY6" s="18" t="s">
        <v>83</v>
      </c>
      <c r="AZ6" s="7" t="s">
        <v>84</v>
      </c>
      <c r="BA6" s="15" t="str">
        <f t="shared" si="17"/>
        <v>Baik</v>
      </c>
      <c r="BB6" s="23">
        <v>2</v>
      </c>
      <c r="BC6" s="18" t="s">
        <v>108</v>
      </c>
      <c r="BD6" s="18" t="s">
        <v>83</v>
      </c>
      <c r="BE6" s="7" t="s">
        <v>86</v>
      </c>
      <c r="BF6" s="15" t="str">
        <f t="shared" si="18"/>
        <v>Sangat baik</v>
      </c>
      <c r="BG6" s="7"/>
      <c r="BH6" s="7"/>
      <c r="BI6" s="23"/>
      <c r="BJ6" s="23"/>
      <c r="BK6" s="15"/>
      <c r="BL6" s="54"/>
      <c r="BM6" s="54"/>
      <c r="BN6" s="54"/>
      <c r="BP6" s="55">
        <v>75</v>
      </c>
      <c r="BQ6" s="56" t="s">
        <v>109</v>
      </c>
      <c r="BS6" s="20" t="s">
        <v>110</v>
      </c>
      <c r="BT6" s="25" t="s">
        <v>111</v>
      </c>
    </row>
    <row r="7" spans="1:72" ht="24.95" customHeight="1" thickTop="1" thickBot="1" x14ac:dyDescent="0.3">
      <c r="A7" s="23">
        <v>6</v>
      </c>
      <c r="B7" s="7">
        <v>2525444</v>
      </c>
      <c r="C7" s="7" t="s">
        <v>208</v>
      </c>
      <c r="D7" s="17" t="s">
        <v>209</v>
      </c>
      <c r="E7" s="23" t="s">
        <v>195</v>
      </c>
      <c r="F7" s="7" t="s">
        <v>196</v>
      </c>
      <c r="G7" s="8" t="s">
        <v>197</v>
      </c>
      <c r="H7" s="9" t="s">
        <v>198</v>
      </c>
      <c r="I7" s="10" t="s">
        <v>76</v>
      </c>
      <c r="J7" s="11" t="s">
        <v>77</v>
      </c>
      <c r="K7" s="7">
        <v>80</v>
      </c>
      <c r="L7" s="15" t="str">
        <f t="shared" si="0"/>
        <v>Mencapai kompetensi dengan baik dalam hal</v>
      </c>
      <c r="M7" s="7">
        <v>83</v>
      </c>
      <c r="N7" s="15" t="str">
        <f t="shared" si="1"/>
        <v>Mencapai kompetensi dengan baik dalam hal</v>
      </c>
      <c r="O7" s="7">
        <v>82</v>
      </c>
      <c r="P7" s="15" t="str">
        <f t="shared" si="2"/>
        <v>Mencapai kompetensi dengan baik dalam hal</v>
      </c>
      <c r="Q7" s="7">
        <v>83</v>
      </c>
      <c r="R7" s="15" t="str">
        <f t="shared" si="3"/>
        <v>Mencapai kompetensi dengan baik dalam hal</v>
      </c>
      <c r="S7" s="7">
        <v>87</v>
      </c>
      <c r="T7" s="15" t="str">
        <f t="shared" si="4"/>
        <v>Mencapai kompetensi dengan baik dalam hal</v>
      </c>
      <c r="U7" s="7">
        <v>82</v>
      </c>
      <c r="V7" s="15" t="str">
        <f t="shared" si="5"/>
        <v>Mencapai kompetensi dengan baik dalam hal</v>
      </c>
      <c r="W7" s="7">
        <v>82</v>
      </c>
      <c r="X7" s="15" t="str">
        <f t="shared" si="6"/>
        <v>Mencapai kompetensi dengan baik dalam hal</v>
      </c>
      <c r="Y7" s="7">
        <v>82</v>
      </c>
      <c r="Z7" s="15" t="str">
        <f t="shared" si="7"/>
        <v>Mencapai kompetensi dengan baik dalam hal</v>
      </c>
      <c r="AA7" s="7">
        <v>82</v>
      </c>
      <c r="AB7" s="15" t="str">
        <f t="shared" si="8"/>
        <v>Mencapai kompetensi dengan baik dalam hal</v>
      </c>
      <c r="AC7" s="7">
        <v>85</v>
      </c>
      <c r="AD7" s="15" t="str">
        <f t="shared" si="9"/>
        <v>Mencapai kompetensi dengan baik dalam hal</v>
      </c>
      <c r="AE7" s="7">
        <v>92</v>
      </c>
      <c r="AF7" s="15" t="str">
        <f t="shared" si="10"/>
        <v>Mencapai kompetensi dengan sangat baik dalam hal</v>
      </c>
      <c r="AG7" s="7">
        <v>89</v>
      </c>
      <c r="AH7" s="15" t="str">
        <f t="shared" si="11"/>
        <v>Mencapai kompetensi dengan baik dalam hal</v>
      </c>
      <c r="AI7" s="7">
        <v>90</v>
      </c>
      <c r="AJ7" s="15" t="str">
        <f t="shared" si="12"/>
        <v>Mencapai kompetensi dengan sangat baik dalam hal</v>
      </c>
      <c r="AK7" s="7">
        <v>88</v>
      </c>
      <c r="AL7" s="15" t="str">
        <f t="shared" si="13"/>
        <v>Mencapai kompetensi dengan baik dalam hal</v>
      </c>
      <c r="AM7" s="7">
        <v>92</v>
      </c>
      <c r="AN7" s="15" t="str">
        <f t="shared" si="14"/>
        <v>Mencapai kompetensi dengan sangat baik dalam hal</v>
      </c>
      <c r="AO7" s="53">
        <f t="shared" si="19"/>
        <v>90.2</v>
      </c>
      <c r="AP7" s="7">
        <v>82</v>
      </c>
      <c r="AQ7" s="15" t="str">
        <f t="shared" si="15"/>
        <v>Mencapai kompetensi dengan baik dalam hal</v>
      </c>
      <c r="AR7" s="7">
        <v>82</v>
      </c>
      <c r="AS7" s="15" t="str">
        <f t="shared" si="16"/>
        <v>Mencapai kompetensi dengan baik dalam hal</v>
      </c>
      <c r="AT7" s="7" t="s">
        <v>81</v>
      </c>
      <c r="AU7" s="7" t="s">
        <v>81</v>
      </c>
      <c r="AV7" s="7" t="s">
        <v>81</v>
      </c>
      <c r="AW7" s="23">
        <v>1</v>
      </c>
      <c r="AX7" s="23" t="s">
        <v>82</v>
      </c>
      <c r="AY7" s="18" t="s">
        <v>83</v>
      </c>
      <c r="AZ7" s="23" t="s">
        <v>84</v>
      </c>
      <c r="BA7" s="15" t="str">
        <f t="shared" si="17"/>
        <v>Baik</v>
      </c>
      <c r="BB7" s="23">
        <v>2</v>
      </c>
      <c r="BC7" s="18" t="s">
        <v>170</v>
      </c>
      <c r="BD7" s="18" t="s">
        <v>83</v>
      </c>
      <c r="BE7" s="7" t="s">
        <v>86</v>
      </c>
      <c r="BF7" s="15" t="str">
        <f t="shared" si="18"/>
        <v>Sangat baik</v>
      </c>
      <c r="BG7" s="7"/>
      <c r="BH7" s="23"/>
      <c r="BI7" s="23"/>
      <c r="BJ7" s="23"/>
      <c r="BK7" s="15"/>
      <c r="BL7" s="54"/>
      <c r="BM7" s="54"/>
      <c r="BN7" s="54"/>
      <c r="BP7" s="55">
        <v>80</v>
      </c>
      <c r="BQ7" s="56" t="s">
        <v>109</v>
      </c>
    </row>
    <row r="8" spans="1:72" ht="24.95" customHeight="1" thickTop="1" thickBot="1" x14ac:dyDescent="0.3">
      <c r="A8" s="23">
        <v>7</v>
      </c>
      <c r="B8" s="7">
        <v>2525445</v>
      </c>
      <c r="C8" s="7" t="s">
        <v>210</v>
      </c>
      <c r="D8" s="17" t="s">
        <v>211</v>
      </c>
      <c r="E8" s="23" t="s">
        <v>195</v>
      </c>
      <c r="F8" s="7" t="s">
        <v>196</v>
      </c>
      <c r="G8" s="8" t="s">
        <v>197</v>
      </c>
      <c r="H8" s="9" t="s">
        <v>198</v>
      </c>
      <c r="I8" s="10" t="s">
        <v>76</v>
      </c>
      <c r="J8" s="11" t="s">
        <v>77</v>
      </c>
      <c r="K8" s="7">
        <v>80</v>
      </c>
      <c r="L8" s="15" t="str">
        <f t="shared" si="0"/>
        <v>Mencapai kompetensi dengan baik dalam hal</v>
      </c>
      <c r="M8" s="7">
        <v>80</v>
      </c>
      <c r="N8" s="15" t="str">
        <f t="shared" si="1"/>
        <v>Mencapai kompetensi dengan baik dalam hal</v>
      </c>
      <c r="O8" s="7">
        <v>82</v>
      </c>
      <c r="P8" s="15" t="str">
        <f t="shared" si="2"/>
        <v>Mencapai kompetensi dengan baik dalam hal</v>
      </c>
      <c r="Q8" s="7">
        <v>85</v>
      </c>
      <c r="R8" s="15" t="str">
        <f t="shared" si="3"/>
        <v>Mencapai kompetensi dengan baik dalam hal</v>
      </c>
      <c r="S8" s="7">
        <v>83</v>
      </c>
      <c r="T8" s="15" t="str">
        <f t="shared" si="4"/>
        <v>Mencapai kompetensi dengan baik dalam hal</v>
      </c>
      <c r="U8" s="7">
        <v>83</v>
      </c>
      <c r="V8" s="15" t="str">
        <f t="shared" si="5"/>
        <v>Mencapai kompetensi dengan baik dalam hal</v>
      </c>
      <c r="W8" s="7">
        <v>79</v>
      </c>
      <c r="X8" s="15" t="str">
        <f t="shared" si="6"/>
        <v>Mencapai kompetensi dengan baik dalam hal</v>
      </c>
      <c r="Y8" s="7">
        <v>78</v>
      </c>
      <c r="Z8" s="15" t="str">
        <f t="shared" si="7"/>
        <v>Mencapai kompetensi dengan baik dalam hal</v>
      </c>
      <c r="AA8" s="7">
        <v>78</v>
      </c>
      <c r="AB8" s="15" t="str">
        <f t="shared" si="8"/>
        <v>Mencapai kompetensi dengan baik dalam hal</v>
      </c>
      <c r="AC8" s="7">
        <v>85</v>
      </c>
      <c r="AD8" s="15" t="str">
        <f t="shared" si="9"/>
        <v>Mencapai kompetensi dengan baik dalam hal</v>
      </c>
      <c r="AE8" s="7">
        <v>81</v>
      </c>
      <c r="AF8" s="15" t="str">
        <f t="shared" si="10"/>
        <v>Mencapai kompetensi dengan baik dalam hal</v>
      </c>
      <c r="AG8" s="7">
        <v>83</v>
      </c>
      <c r="AH8" s="15" t="str">
        <f t="shared" si="11"/>
        <v>Mencapai kompetensi dengan baik dalam hal</v>
      </c>
      <c r="AI8" s="7">
        <v>85</v>
      </c>
      <c r="AJ8" s="15" t="str">
        <f t="shared" si="12"/>
        <v>Mencapai kompetensi dengan baik dalam hal</v>
      </c>
      <c r="AK8" s="7">
        <v>85</v>
      </c>
      <c r="AL8" s="15" t="str">
        <f t="shared" si="13"/>
        <v>Mencapai kompetensi dengan baik dalam hal</v>
      </c>
      <c r="AM8" s="7">
        <v>85</v>
      </c>
      <c r="AN8" s="15" t="str">
        <f t="shared" si="14"/>
        <v>Mencapai kompetensi dengan baik dalam hal</v>
      </c>
      <c r="AO8" s="53">
        <f t="shared" si="19"/>
        <v>83.8</v>
      </c>
      <c r="AP8" s="7">
        <v>78</v>
      </c>
      <c r="AQ8" s="15" t="str">
        <f t="shared" si="15"/>
        <v>Mencapai kompetensi dengan baik dalam hal</v>
      </c>
      <c r="AR8" s="7">
        <v>77</v>
      </c>
      <c r="AS8" s="15" t="str">
        <f t="shared" si="16"/>
        <v>Mencapai kompetensi dengan baik dalam hal</v>
      </c>
      <c r="AT8" s="7" t="s">
        <v>81</v>
      </c>
      <c r="AU8" s="7" t="s">
        <v>81</v>
      </c>
      <c r="AV8" s="7" t="s">
        <v>81</v>
      </c>
      <c r="AW8" s="23">
        <v>1</v>
      </c>
      <c r="AX8" s="7" t="s">
        <v>82</v>
      </c>
      <c r="AY8" s="18" t="s">
        <v>83</v>
      </c>
      <c r="AZ8" s="7" t="s">
        <v>86</v>
      </c>
      <c r="BA8" s="15" t="str">
        <f t="shared" si="17"/>
        <v>Sangat baik</v>
      </c>
      <c r="BB8" s="23">
        <v>2</v>
      </c>
      <c r="BC8" s="18" t="s">
        <v>212</v>
      </c>
      <c r="BD8" s="18" t="s">
        <v>83</v>
      </c>
      <c r="BE8" s="7" t="s">
        <v>86</v>
      </c>
      <c r="BF8" s="15" t="str">
        <f t="shared" si="18"/>
        <v>Sangat baik</v>
      </c>
      <c r="BG8" s="7"/>
      <c r="BH8" s="7"/>
      <c r="BI8" s="23"/>
      <c r="BJ8" s="23"/>
      <c r="BK8" s="15"/>
      <c r="BL8" s="54"/>
      <c r="BM8" s="54"/>
      <c r="BN8" s="54"/>
      <c r="BP8" s="55">
        <v>85</v>
      </c>
      <c r="BQ8" s="56" t="s">
        <v>109</v>
      </c>
    </row>
    <row r="9" spans="1:72" ht="24.95" customHeight="1" thickTop="1" thickBot="1" x14ac:dyDescent="0.3">
      <c r="A9" s="23">
        <v>8</v>
      </c>
      <c r="B9" s="7">
        <v>2525446</v>
      </c>
      <c r="C9" s="7" t="s">
        <v>213</v>
      </c>
      <c r="D9" s="17" t="s">
        <v>214</v>
      </c>
      <c r="E9" s="23" t="s">
        <v>195</v>
      </c>
      <c r="F9" s="7" t="s">
        <v>196</v>
      </c>
      <c r="G9" s="8" t="s">
        <v>197</v>
      </c>
      <c r="H9" s="9" t="s">
        <v>198</v>
      </c>
      <c r="I9" s="10" t="s">
        <v>76</v>
      </c>
      <c r="J9" s="11" t="s">
        <v>77</v>
      </c>
      <c r="K9" s="7">
        <v>80</v>
      </c>
      <c r="L9" s="15" t="str">
        <f t="shared" si="0"/>
        <v>Mencapai kompetensi dengan baik dalam hal</v>
      </c>
      <c r="M9" s="7">
        <v>85</v>
      </c>
      <c r="N9" s="15" t="str">
        <f t="shared" si="1"/>
        <v>Mencapai kompetensi dengan baik dalam hal</v>
      </c>
      <c r="O9" s="7">
        <v>82</v>
      </c>
      <c r="P9" s="15" t="str">
        <f t="shared" si="2"/>
        <v>Mencapai kompetensi dengan baik dalam hal</v>
      </c>
      <c r="Q9" s="7">
        <v>85</v>
      </c>
      <c r="R9" s="15" t="str">
        <f t="shared" si="3"/>
        <v>Mencapai kompetensi dengan baik dalam hal</v>
      </c>
      <c r="S9" s="7">
        <v>87</v>
      </c>
      <c r="T9" s="15" t="str">
        <f t="shared" si="4"/>
        <v>Mencapai kompetensi dengan baik dalam hal</v>
      </c>
      <c r="U9" s="7">
        <v>87</v>
      </c>
      <c r="V9" s="15" t="str">
        <f t="shared" si="5"/>
        <v>Mencapai kompetensi dengan baik dalam hal</v>
      </c>
      <c r="W9" s="7">
        <v>83</v>
      </c>
      <c r="X9" s="15" t="str">
        <f t="shared" si="6"/>
        <v>Mencapai kompetensi dengan baik dalam hal</v>
      </c>
      <c r="Y9" s="7">
        <v>82</v>
      </c>
      <c r="Z9" s="15" t="str">
        <f t="shared" si="7"/>
        <v>Mencapai kompetensi dengan baik dalam hal</v>
      </c>
      <c r="AA9" s="7">
        <v>84</v>
      </c>
      <c r="AB9" s="15" t="str">
        <f t="shared" si="8"/>
        <v>Mencapai kompetensi dengan baik dalam hal</v>
      </c>
      <c r="AC9" s="7">
        <v>85</v>
      </c>
      <c r="AD9" s="15" t="str">
        <f t="shared" si="9"/>
        <v>Mencapai kompetensi dengan baik dalam hal</v>
      </c>
      <c r="AE9" s="7">
        <v>90</v>
      </c>
      <c r="AF9" s="15" t="str">
        <f t="shared" si="10"/>
        <v>Mencapai kompetensi dengan sangat baik dalam hal</v>
      </c>
      <c r="AG9" s="7">
        <v>84</v>
      </c>
      <c r="AH9" s="15" t="str">
        <f t="shared" si="11"/>
        <v>Mencapai kompetensi dengan baik dalam hal</v>
      </c>
      <c r="AI9" s="7">
        <v>88</v>
      </c>
      <c r="AJ9" s="15" t="str">
        <f t="shared" si="12"/>
        <v>Mencapai kompetensi dengan baik dalam hal</v>
      </c>
      <c r="AK9" s="7">
        <v>88</v>
      </c>
      <c r="AL9" s="15" t="str">
        <f t="shared" si="13"/>
        <v>Mencapai kompetensi dengan baik dalam hal</v>
      </c>
      <c r="AM9" s="7">
        <v>91</v>
      </c>
      <c r="AN9" s="15" t="str">
        <f t="shared" si="14"/>
        <v>Mencapai kompetensi dengan sangat baik dalam hal</v>
      </c>
      <c r="AO9" s="53">
        <f t="shared" si="19"/>
        <v>88.2</v>
      </c>
      <c r="AP9" s="7">
        <v>84</v>
      </c>
      <c r="AQ9" s="15" t="str">
        <f t="shared" si="15"/>
        <v>Mencapai kompetensi dengan baik dalam hal</v>
      </c>
      <c r="AR9" s="7">
        <v>82</v>
      </c>
      <c r="AS9" s="15" t="str">
        <f t="shared" si="16"/>
        <v>Mencapai kompetensi dengan baik dalam hal</v>
      </c>
      <c r="AT9" s="7" t="s">
        <v>81</v>
      </c>
      <c r="AU9" s="7" t="s">
        <v>81</v>
      </c>
      <c r="AV9" s="7" t="s">
        <v>81</v>
      </c>
      <c r="AW9" s="23">
        <v>1</v>
      </c>
      <c r="AX9" s="23" t="s">
        <v>82</v>
      </c>
      <c r="AY9" s="18" t="s">
        <v>83</v>
      </c>
      <c r="AZ9" s="23" t="s">
        <v>86</v>
      </c>
      <c r="BA9" s="15" t="str">
        <f t="shared" si="17"/>
        <v>Sangat baik</v>
      </c>
      <c r="BB9" s="23">
        <v>2</v>
      </c>
      <c r="BC9" s="18" t="s">
        <v>170</v>
      </c>
      <c r="BD9" s="18" t="s">
        <v>83</v>
      </c>
      <c r="BE9" s="7" t="s">
        <v>84</v>
      </c>
      <c r="BF9" s="15" t="str">
        <f t="shared" si="18"/>
        <v>Baik</v>
      </c>
      <c r="BG9" s="7"/>
      <c r="BH9" s="23"/>
      <c r="BI9" s="23"/>
      <c r="BJ9" s="23"/>
      <c r="BK9" s="15"/>
      <c r="BL9" s="54"/>
      <c r="BM9" s="54"/>
      <c r="BN9" s="54"/>
      <c r="BP9" s="55">
        <v>90</v>
      </c>
      <c r="BQ9" s="56" t="s">
        <v>120</v>
      </c>
    </row>
    <row r="10" spans="1:72" ht="24.95" customHeight="1" thickTop="1" thickBot="1" x14ac:dyDescent="0.3">
      <c r="A10" s="23">
        <v>9</v>
      </c>
      <c r="B10" s="7">
        <v>2525447</v>
      </c>
      <c r="C10" s="7" t="s">
        <v>215</v>
      </c>
      <c r="D10" s="17" t="s">
        <v>216</v>
      </c>
      <c r="E10" s="23" t="s">
        <v>195</v>
      </c>
      <c r="F10" s="7" t="s">
        <v>196</v>
      </c>
      <c r="G10" s="8" t="s">
        <v>197</v>
      </c>
      <c r="H10" s="9" t="s">
        <v>198</v>
      </c>
      <c r="I10" s="10" t="s">
        <v>76</v>
      </c>
      <c r="J10" s="11" t="s">
        <v>77</v>
      </c>
      <c r="K10" s="7">
        <v>80</v>
      </c>
      <c r="L10" s="15" t="str">
        <f t="shared" si="0"/>
        <v>Mencapai kompetensi dengan baik dalam hal</v>
      </c>
      <c r="M10" s="7">
        <v>80</v>
      </c>
      <c r="N10" s="15" t="str">
        <f t="shared" si="1"/>
        <v>Mencapai kompetensi dengan baik dalam hal</v>
      </c>
      <c r="O10" s="7">
        <v>82</v>
      </c>
      <c r="P10" s="15" t="str">
        <f t="shared" si="2"/>
        <v>Mencapai kompetensi dengan baik dalam hal</v>
      </c>
      <c r="Q10" s="7">
        <v>80</v>
      </c>
      <c r="R10" s="15" t="str">
        <f t="shared" si="3"/>
        <v>Mencapai kompetensi dengan baik dalam hal</v>
      </c>
      <c r="S10" s="7">
        <v>87</v>
      </c>
      <c r="T10" s="15" t="str">
        <f t="shared" si="4"/>
        <v>Mencapai kompetensi dengan baik dalam hal</v>
      </c>
      <c r="U10" s="7">
        <v>87</v>
      </c>
      <c r="V10" s="15" t="str">
        <f t="shared" si="5"/>
        <v>Mencapai kompetensi dengan baik dalam hal</v>
      </c>
      <c r="W10" s="7">
        <v>83</v>
      </c>
      <c r="X10" s="15" t="str">
        <f t="shared" si="6"/>
        <v>Mencapai kompetensi dengan baik dalam hal</v>
      </c>
      <c r="Y10" s="7">
        <v>81</v>
      </c>
      <c r="Z10" s="15" t="str">
        <f t="shared" si="7"/>
        <v>Mencapai kompetensi dengan baik dalam hal</v>
      </c>
      <c r="AA10" s="7">
        <v>78</v>
      </c>
      <c r="AB10" s="15" t="str">
        <f t="shared" si="8"/>
        <v>Mencapai kompetensi dengan baik dalam hal</v>
      </c>
      <c r="AC10" s="7">
        <v>80</v>
      </c>
      <c r="AD10" s="15" t="str">
        <f t="shared" si="9"/>
        <v>Mencapai kompetensi dengan baik dalam hal</v>
      </c>
      <c r="AE10" s="7">
        <v>87</v>
      </c>
      <c r="AF10" s="15" t="str">
        <f t="shared" si="10"/>
        <v>Mencapai kompetensi dengan baik dalam hal</v>
      </c>
      <c r="AG10" s="7">
        <v>84</v>
      </c>
      <c r="AH10" s="15" t="str">
        <f t="shared" si="11"/>
        <v>Mencapai kompetensi dengan baik dalam hal</v>
      </c>
      <c r="AI10" s="7">
        <v>85</v>
      </c>
      <c r="AJ10" s="15" t="str">
        <f t="shared" si="12"/>
        <v>Mencapai kompetensi dengan baik dalam hal</v>
      </c>
      <c r="AK10" s="7">
        <v>83</v>
      </c>
      <c r="AL10" s="15" t="str">
        <f t="shared" si="13"/>
        <v>Mencapai kompetensi dengan baik dalam hal</v>
      </c>
      <c r="AM10" s="7">
        <v>89</v>
      </c>
      <c r="AN10" s="15" t="str">
        <f t="shared" si="14"/>
        <v>Mencapai kompetensi dengan baik dalam hal</v>
      </c>
      <c r="AO10" s="53">
        <f t="shared" si="19"/>
        <v>85.6</v>
      </c>
      <c r="AP10" s="7">
        <v>78</v>
      </c>
      <c r="AQ10" s="15" t="str">
        <f t="shared" si="15"/>
        <v>Mencapai kompetensi dengan baik dalam hal</v>
      </c>
      <c r="AR10" s="7">
        <v>81</v>
      </c>
      <c r="AS10" s="15" t="str">
        <f t="shared" si="16"/>
        <v>Mencapai kompetensi dengan baik dalam hal</v>
      </c>
      <c r="AT10" s="7" t="s">
        <v>81</v>
      </c>
      <c r="AU10" s="7" t="s">
        <v>81</v>
      </c>
      <c r="AV10" s="7" t="s">
        <v>81</v>
      </c>
      <c r="AW10" s="23">
        <v>1</v>
      </c>
      <c r="AX10" s="7" t="s">
        <v>82</v>
      </c>
      <c r="AY10" s="18" t="s">
        <v>83</v>
      </c>
      <c r="AZ10" s="7" t="s">
        <v>86</v>
      </c>
      <c r="BA10" s="15" t="str">
        <f t="shared" si="17"/>
        <v>Sangat baik</v>
      </c>
      <c r="BB10" s="23">
        <v>2</v>
      </c>
      <c r="BC10" s="18" t="s">
        <v>170</v>
      </c>
      <c r="BD10" s="18" t="s">
        <v>83</v>
      </c>
      <c r="BE10" s="7" t="s">
        <v>84</v>
      </c>
      <c r="BF10" s="15" t="str">
        <f t="shared" si="18"/>
        <v>Baik</v>
      </c>
      <c r="BG10" s="7"/>
      <c r="BH10" s="7"/>
      <c r="BI10" s="23"/>
      <c r="BJ10" s="23"/>
      <c r="BK10" s="15"/>
      <c r="BL10" s="54"/>
      <c r="BM10" s="54"/>
      <c r="BN10" s="54"/>
      <c r="BP10" s="55">
        <v>95</v>
      </c>
      <c r="BQ10" s="56" t="s">
        <v>120</v>
      </c>
    </row>
    <row r="11" spans="1:72" ht="24.95" customHeight="1" thickTop="1" thickBot="1" x14ac:dyDescent="0.3">
      <c r="A11" s="23">
        <v>10</v>
      </c>
      <c r="B11" s="7">
        <v>2525448</v>
      </c>
      <c r="C11" s="7" t="s">
        <v>217</v>
      </c>
      <c r="D11" s="17" t="s">
        <v>218</v>
      </c>
      <c r="E11" s="23" t="s">
        <v>195</v>
      </c>
      <c r="F11" s="7" t="s">
        <v>196</v>
      </c>
      <c r="G11" s="8" t="s">
        <v>197</v>
      </c>
      <c r="H11" s="9" t="s">
        <v>198</v>
      </c>
      <c r="I11" s="10" t="s">
        <v>76</v>
      </c>
      <c r="J11" s="11" t="s">
        <v>77</v>
      </c>
      <c r="K11" s="7">
        <v>80</v>
      </c>
      <c r="L11" s="15" t="str">
        <f t="shared" si="0"/>
        <v>Mencapai kompetensi dengan baik dalam hal</v>
      </c>
      <c r="M11" s="7">
        <v>77</v>
      </c>
      <c r="N11" s="15" t="str">
        <f t="shared" si="1"/>
        <v>Mencapai kompetensi dengan baik dalam hal</v>
      </c>
      <c r="O11" s="7">
        <v>82</v>
      </c>
      <c r="P11" s="15" t="str">
        <f t="shared" si="2"/>
        <v>Mencapai kompetensi dengan baik dalam hal</v>
      </c>
      <c r="Q11" s="7">
        <v>82</v>
      </c>
      <c r="R11" s="15" t="str">
        <f t="shared" si="3"/>
        <v>Mencapai kompetensi dengan baik dalam hal</v>
      </c>
      <c r="S11" s="7">
        <v>83</v>
      </c>
      <c r="T11" s="15" t="str">
        <f t="shared" si="4"/>
        <v>Mencapai kompetensi dengan baik dalam hal</v>
      </c>
      <c r="U11" s="7">
        <v>77</v>
      </c>
      <c r="V11" s="15" t="str">
        <f t="shared" si="5"/>
        <v>Mencapai kompetensi dengan baik dalam hal</v>
      </c>
      <c r="W11" s="7">
        <v>80</v>
      </c>
      <c r="X11" s="15" t="str">
        <f t="shared" si="6"/>
        <v>Mencapai kompetensi dengan baik dalam hal</v>
      </c>
      <c r="Y11" s="7">
        <v>79</v>
      </c>
      <c r="Z11" s="15" t="str">
        <f t="shared" si="7"/>
        <v>Mencapai kompetensi dengan baik dalam hal</v>
      </c>
      <c r="AA11" s="7">
        <v>78</v>
      </c>
      <c r="AB11" s="15" t="str">
        <f t="shared" si="8"/>
        <v>Mencapai kompetensi dengan baik dalam hal</v>
      </c>
      <c r="AC11" s="7">
        <v>79</v>
      </c>
      <c r="AD11" s="15" t="str">
        <f t="shared" si="9"/>
        <v>Mencapai kompetensi dengan baik dalam hal</v>
      </c>
      <c r="AE11" s="7">
        <v>90</v>
      </c>
      <c r="AF11" s="15" t="str">
        <f t="shared" si="10"/>
        <v>Mencapai kompetensi dengan sangat baik dalam hal</v>
      </c>
      <c r="AG11" s="7">
        <v>81</v>
      </c>
      <c r="AH11" s="15" t="str">
        <f t="shared" si="11"/>
        <v>Mencapai kompetensi dengan baik dalam hal</v>
      </c>
      <c r="AI11" s="7">
        <v>85</v>
      </c>
      <c r="AJ11" s="15" t="str">
        <f t="shared" si="12"/>
        <v>Mencapai kompetensi dengan baik dalam hal</v>
      </c>
      <c r="AK11" s="7">
        <v>84</v>
      </c>
      <c r="AL11" s="15" t="str">
        <f t="shared" si="13"/>
        <v>Mencapai kompetensi dengan baik dalam hal</v>
      </c>
      <c r="AM11" s="7">
        <v>84</v>
      </c>
      <c r="AN11" s="15" t="str">
        <f t="shared" si="14"/>
        <v>Mencapai kompetensi dengan baik dalam hal</v>
      </c>
      <c r="AO11" s="53">
        <f t="shared" si="19"/>
        <v>84.8</v>
      </c>
      <c r="AP11" s="7">
        <v>78</v>
      </c>
      <c r="AQ11" s="15" t="str">
        <f t="shared" si="15"/>
        <v>Mencapai kompetensi dengan baik dalam hal</v>
      </c>
      <c r="AR11" s="7">
        <v>76</v>
      </c>
      <c r="AS11" s="15" t="str">
        <f t="shared" si="16"/>
        <v>Mencapai kompetensi dengan baik dalam hal</v>
      </c>
      <c r="AT11" s="7" t="s">
        <v>81</v>
      </c>
      <c r="AU11" s="7" t="s">
        <v>81</v>
      </c>
      <c r="AV11" s="7">
        <v>1</v>
      </c>
      <c r="AW11" s="23">
        <v>1</v>
      </c>
      <c r="AX11" s="23" t="s">
        <v>82</v>
      </c>
      <c r="AY11" s="18" t="s">
        <v>83</v>
      </c>
      <c r="AZ11" s="23" t="s">
        <v>86</v>
      </c>
      <c r="BA11" s="15" t="str">
        <f t="shared" si="17"/>
        <v>Sangat baik</v>
      </c>
      <c r="BB11" s="23">
        <v>2</v>
      </c>
      <c r="BC11" s="18" t="s">
        <v>170</v>
      </c>
      <c r="BD11" s="18" t="s">
        <v>83</v>
      </c>
      <c r="BE11" s="7" t="s">
        <v>84</v>
      </c>
      <c r="BF11" s="15" t="str">
        <f t="shared" si="18"/>
        <v>Baik</v>
      </c>
      <c r="BG11" s="7"/>
      <c r="BH11" s="23"/>
      <c r="BI11" s="18"/>
      <c r="BJ11" s="23"/>
      <c r="BK11" s="15"/>
      <c r="BL11" s="54"/>
      <c r="BM11" s="54"/>
      <c r="BN11" s="54"/>
      <c r="BP11" s="55">
        <v>100</v>
      </c>
      <c r="BQ11" s="56" t="s">
        <v>120</v>
      </c>
    </row>
    <row r="12" spans="1:72" ht="24.95" customHeight="1" thickTop="1" thickBot="1" x14ac:dyDescent="0.3">
      <c r="A12" s="23">
        <v>11</v>
      </c>
      <c r="B12" s="7">
        <v>2525449</v>
      </c>
      <c r="C12" s="7" t="s">
        <v>219</v>
      </c>
      <c r="D12" s="17" t="s">
        <v>220</v>
      </c>
      <c r="E12" s="23" t="s">
        <v>195</v>
      </c>
      <c r="F12" s="7" t="s">
        <v>196</v>
      </c>
      <c r="G12" s="8" t="s">
        <v>197</v>
      </c>
      <c r="H12" s="9" t="s">
        <v>198</v>
      </c>
      <c r="I12" s="10" t="s">
        <v>76</v>
      </c>
      <c r="J12" s="11" t="s">
        <v>77</v>
      </c>
      <c r="K12" s="7">
        <v>79</v>
      </c>
      <c r="L12" s="15" t="str">
        <f t="shared" si="0"/>
        <v>Mencapai kompetensi dengan baik dalam hal</v>
      </c>
      <c r="M12" s="7">
        <v>83</v>
      </c>
      <c r="N12" s="15" t="str">
        <f t="shared" si="1"/>
        <v>Mencapai kompetensi dengan baik dalam hal</v>
      </c>
      <c r="O12" s="7">
        <v>82</v>
      </c>
      <c r="P12" s="15" t="str">
        <f t="shared" si="2"/>
        <v>Mencapai kompetensi dengan baik dalam hal</v>
      </c>
      <c r="Q12" s="7">
        <v>81</v>
      </c>
      <c r="R12" s="15" t="str">
        <f t="shared" si="3"/>
        <v>Mencapai kompetensi dengan baik dalam hal</v>
      </c>
      <c r="S12" s="7">
        <v>84</v>
      </c>
      <c r="T12" s="15" t="str">
        <f t="shared" si="4"/>
        <v>Mencapai kompetensi dengan baik dalam hal</v>
      </c>
      <c r="U12" s="7">
        <v>78</v>
      </c>
      <c r="V12" s="15" t="str">
        <f t="shared" si="5"/>
        <v>Mencapai kompetensi dengan baik dalam hal</v>
      </c>
      <c r="W12" s="7">
        <v>79</v>
      </c>
      <c r="X12" s="15" t="str">
        <f t="shared" si="6"/>
        <v>Mencapai kompetensi dengan baik dalam hal</v>
      </c>
      <c r="Y12" s="7">
        <v>80</v>
      </c>
      <c r="Z12" s="15" t="str">
        <f t="shared" si="7"/>
        <v>Mencapai kompetensi dengan baik dalam hal</v>
      </c>
      <c r="AA12" s="7">
        <v>78</v>
      </c>
      <c r="AB12" s="15" t="str">
        <f t="shared" si="8"/>
        <v>Mencapai kompetensi dengan baik dalam hal</v>
      </c>
      <c r="AC12" s="7">
        <v>82</v>
      </c>
      <c r="AD12" s="15" t="str">
        <f t="shared" si="9"/>
        <v>Mencapai kompetensi dengan baik dalam hal</v>
      </c>
      <c r="AE12" s="7">
        <v>90</v>
      </c>
      <c r="AF12" s="15" t="str">
        <f t="shared" si="10"/>
        <v>Mencapai kompetensi dengan sangat baik dalam hal</v>
      </c>
      <c r="AG12" s="7">
        <v>79</v>
      </c>
      <c r="AH12" s="15" t="str">
        <f t="shared" si="11"/>
        <v>Mencapai kompetensi dengan baik dalam hal</v>
      </c>
      <c r="AI12" s="7">
        <v>83</v>
      </c>
      <c r="AJ12" s="15" t="str">
        <f t="shared" si="12"/>
        <v>Mencapai kompetensi dengan baik dalam hal</v>
      </c>
      <c r="AK12" s="7">
        <v>83</v>
      </c>
      <c r="AL12" s="15" t="str">
        <f t="shared" si="13"/>
        <v>Mencapai kompetensi dengan baik dalam hal</v>
      </c>
      <c r="AM12" s="7">
        <v>84</v>
      </c>
      <c r="AN12" s="15" t="str">
        <f t="shared" si="14"/>
        <v>Mencapai kompetensi dengan baik dalam hal</v>
      </c>
      <c r="AO12" s="53">
        <f t="shared" si="19"/>
        <v>83.8</v>
      </c>
      <c r="AP12" s="7">
        <v>78</v>
      </c>
      <c r="AQ12" s="15" t="str">
        <f t="shared" si="15"/>
        <v>Mencapai kompetensi dengan baik dalam hal</v>
      </c>
      <c r="AR12" s="7">
        <v>77</v>
      </c>
      <c r="AS12" s="15" t="str">
        <f t="shared" si="16"/>
        <v>Mencapai kompetensi dengan baik dalam hal</v>
      </c>
      <c r="AT12" s="7" t="s">
        <v>81</v>
      </c>
      <c r="AU12" s="7" t="s">
        <v>81</v>
      </c>
      <c r="AV12" s="7" t="s">
        <v>81</v>
      </c>
      <c r="AW12" s="23">
        <v>1</v>
      </c>
      <c r="AX12" s="7" t="s">
        <v>82</v>
      </c>
      <c r="AY12" s="18" t="s">
        <v>83</v>
      </c>
      <c r="AZ12" s="7" t="s">
        <v>86</v>
      </c>
      <c r="BA12" s="15" t="str">
        <f t="shared" si="17"/>
        <v>Sangat baik</v>
      </c>
      <c r="BB12" s="23">
        <v>2</v>
      </c>
      <c r="BC12" s="18" t="s">
        <v>205</v>
      </c>
      <c r="BD12" s="18" t="s">
        <v>83</v>
      </c>
      <c r="BE12" s="7" t="s">
        <v>86</v>
      </c>
      <c r="BF12" s="15" t="str">
        <f t="shared" si="18"/>
        <v>Sangat baik</v>
      </c>
      <c r="BG12" s="7"/>
      <c r="BH12" s="7"/>
      <c r="BI12" s="23"/>
      <c r="BJ12" s="23"/>
      <c r="BK12" s="15"/>
      <c r="BL12" s="54"/>
      <c r="BM12" s="54"/>
      <c r="BN12" s="54"/>
      <c r="BP12" s="22"/>
      <c r="BQ12" s="22"/>
    </row>
    <row r="13" spans="1:72" ht="24.95" customHeight="1" thickTop="1" thickBot="1" x14ac:dyDescent="0.3">
      <c r="A13" s="23">
        <v>12</v>
      </c>
      <c r="B13" s="7">
        <v>2525450</v>
      </c>
      <c r="C13" s="7" t="s">
        <v>221</v>
      </c>
      <c r="D13" s="17" t="s">
        <v>222</v>
      </c>
      <c r="E13" s="23" t="s">
        <v>195</v>
      </c>
      <c r="F13" s="7" t="s">
        <v>196</v>
      </c>
      <c r="G13" s="8" t="s">
        <v>197</v>
      </c>
      <c r="H13" s="9" t="s">
        <v>198</v>
      </c>
      <c r="I13" s="10" t="s">
        <v>76</v>
      </c>
      <c r="J13" s="11" t="s">
        <v>77</v>
      </c>
      <c r="K13" s="7">
        <v>80</v>
      </c>
      <c r="L13" s="15" t="str">
        <f t="shared" si="0"/>
        <v>Mencapai kompetensi dengan baik dalam hal</v>
      </c>
      <c r="M13" s="7">
        <v>82</v>
      </c>
      <c r="N13" s="15" t="str">
        <f t="shared" si="1"/>
        <v>Mencapai kompetensi dengan baik dalam hal</v>
      </c>
      <c r="O13" s="7">
        <v>81</v>
      </c>
      <c r="P13" s="15" t="str">
        <f t="shared" si="2"/>
        <v>Mencapai kompetensi dengan baik dalam hal</v>
      </c>
      <c r="Q13" s="7">
        <v>82</v>
      </c>
      <c r="R13" s="15" t="str">
        <f t="shared" si="3"/>
        <v>Mencapai kompetensi dengan baik dalam hal</v>
      </c>
      <c r="S13" s="7">
        <v>86</v>
      </c>
      <c r="T13" s="15" t="str">
        <f t="shared" si="4"/>
        <v>Mencapai kompetensi dengan baik dalam hal</v>
      </c>
      <c r="U13" s="7">
        <v>85</v>
      </c>
      <c r="V13" s="15" t="str">
        <f t="shared" si="5"/>
        <v>Mencapai kompetensi dengan baik dalam hal</v>
      </c>
      <c r="W13" s="7">
        <v>81</v>
      </c>
      <c r="X13" s="15" t="str">
        <f t="shared" si="6"/>
        <v>Mencapai kompetensi dengan baik dalam hal</v>
      </c>
      <c r="Y13" s="7">
        <v>81</v>
      </c>
      <c r="Z13" s="15" t="str">
        <f t="shared" si="7"/>
        <v>Mencapai kompetensi dengan baik dalam hal</v>
      </c>
      <c r="AA13" s="7">
        <v>78</v>
      </c>
      <c r="AB13" s="15" t="str">
        <f t="shared" si="8"/>
        <v>Mencapai kompetensi dengan baik dalam hal</v>
      </c>
      <c r="AC13" s="7">
        <v>82</v>
      </c>
      <c r="AD13" s="15" t="str">
        <f t="shared" si="9"/>
        <v>Mencapai kompetensi dengan baik dalam hal</v>
      </c>
      <c r="AE13" s="7">
        <v>83</v>
      </c>
      <c r="AF13" s="15" t="str">
        <f t="shared" si="10"/>
        <v>Mencapai kompetensi dengan baik dalam hal</v>
      </c>
      <c r="AG13" s="7">
        <v>89</v>
      </c>
      <c r="AH13" s="15" t="str">
        <f t="shared" si="11"/>
        <v>Mencapai kompetensi dengan baik dalam hal</v>
      </c>
      <c r="AI13" s="7">
        <v>87</v>
      </c>
      <c r="AJ13" s="15" t="str">
        <f t="shared" si="12"/>
        <v>Mencapai kompetensi dengan baik dalam hal</v>
      </c>
      <c r="AK13" s="7">
        <v>87</v>
      </c>
      <c r="AL13" s="15" t="str">
        <f t="shared" si="13"/>
        <v>Mencapai kompetensi dengan baik dalam hal</v>
      </c>
      <c r="AM13" s="7">
        <v>88</v>
      </c>
      <c r="AN13" s="15" t="str">
        <f t="shared" si="14"/>
        <v>Mencapai kompetensi dengan baik dalam hal</v>
      </c>
      <c r="AO13" s="53">
        <f t="shared" si="19"/>
        <v>86.8</v>
      </c>
      <c r="AP13" s="7">
        <v>78</v>
      </c>
      <c r="AQ13" s="15" t="str">
        <f t="shared" si="15"/>
        <v>Mencapai kompetensi dengan baik dalam hal</v>
      </c>
      <c r="AR13" s="7">
        <v>80</v>
      </c>
      <c r="AS13" s="15" t="str">
        <f t="shared" si="16"/>
        <v>Mencapai kompetensi dengan baik dalam hal</v>
      </c>
      <c r="AT13" s="7" t="s">
        <v>81</v>
      </c>
      <c r="AU13" s="7" t="s">
        <v>81</v>
      </c>
      <c r="AV13" s="7" t="s">
        <v>81</v>
      </c>
      <c r="AW13" s="23">
        <v>1</v>
      </c>
      <c r="AX13" s="23" t="s">
        <v>82</v>
      </c>
      <c r="AY13" s="18" t="s">
        <v>83</v>
      </c>
      <c r="AZ13" s="23" t="s">
        <v>86</v>
      </c>
      <c r="BA13" s="15" t="str">
        <f t="shared" si="17"/>
        <v>Sangat baik</v>
      </c>
      <c r="BB13" s="23">
        <v>2</v>
      </c>
      <c r="BC13" s="18" t="s">
        <v>170</v>
      </c>
      <c r="BD13" s="18" t="s">
        <v>83</v>
      </c>
      <c r="BE13" s="7" t="s">
        <v>84</v>
      </c>
      <c r="BF13" s="15" t="str">
        <f t="shared" si="18"/>
        <v>Baik</v>
      </c>
      <c r="BG13" s="7"/>
      <c r="BH13" s="23"/>
      <c r="BI13" s="23"/>
      <c r="BJ13" s="23"/>
      <c r="BK13" s="15"/>
      <c r="BL13" s="54"/>
      <c r="BM13" s="54"/>
      <c r="BN13" s="54"/>
    </row>
    <row r="14" spans="1:72" ht="24.95" customHeight="1" thickTop="1" thickBot="1" x14ac:dyDescent="0.3">
      <c r="A14" s="23">
        <v>13</v>
      </c>
      <c r="B14" s="7">
        <v>2525451</v>
      </c>
      <c r="C14" s="7" t="s">
        <v>223</v>
      </c>
      <c r="D14" s="17" t="s">
        <v>224</v>
      </c>
      <c r="E14" s="23" t="s">
        <v>195</v>
      </c>
      <c r="F14" s="7" t="s">
        <v>196</v>
      </c>
      <c r="G14" s="8" t="s">
        <v>197</v>
      </c>
      <c r="H14" s="9" t="s">
        <v>198</v>
      </c>
      <c r="I14" s="10" t="s">
        <v>76</v>
      </c>
      <c r="J14" s="11" t="s">
        <v>77</v>
      </c>
      <c r="K14" s="7">
        <v>80</v>
      </c>
      <c r="L14" s="15" t="str">
        <f t="shared" si="0"/>
        <v>Mencapai kompetensi dengan baik dalam hal</v>
      </c>
      <c r="M14" s="7">
        <v>79</v>
      </c>
      <c r="N14" s="15" t="str">
        <f t="shared" si="1"/>
        <v>Mencapai kompetensi dengan baik dalam hal</v>
      </c>
      <c r="O14" s="7">
        <v>82</v>
      </c>
      <c r="P14" s="15" t="str">
        <f t="shared" si="2"/>
        <v>Mencapai kompetensi dengan baik dalam hal</v>
      </c>
      <c r="Q14" s="7">
        <v>80</v>
      </c>
      <c r="R14" s="15" t="str">
        <f t="shared" si="3"/>
        <v>Mencapai kompetensi dengan baik dalam hal</v>
      </c>
      <c r="S14" s="7">
        <v>78</v>
      </c>
      <c r="T14" s="15" t="str">
        <f t="shared" si="4"/>
        <v>Mencapai kompetensi dengan baik dalam hal</v>
      </c>
      <c r="U14" s="7">
        <v>75</v>
      </c>
      <c r="V14" s="15" t="str">
        <f t="shared" si="5"/>
        <v>Mencapai kompetensi dengan baik dalam hal</v>
      </c>
      <c r="W14" s="7">
        <v>79</v>
      </c>
      <c r="X14" s="15" t="str">
        <f t="shared" si="6"/>
        <v>Mencapai kompetensi dengan baik dalam hal</v>
      </c>
      <c r="Y14" s="7">
        <v>79</v>
      </c>
      <c r="Z14" s="15" t="str">
        <f t="shared" si="7"/>
        <v>Mencapai kompetensi dengan baik dalam hal</v>
      </c>
      <c r="AA14" s="7">
        <v>78</v>
      </c>
      <c r="AB14" s="15" t="str">
        <f t="shared" si="8"/>
        <v>Mencapai kompetensi dengan baik dalam hal</v>
      </c>
      <c r="AC14" s="7">
        <v>82</v>
      </c>
      <c r="AD14" s="15" t="str">
        <f t="shared" si="9"/>
        <v>Mencapai kompetensi dengan baik dalam hal</v>
      </c>
      <c r="AE14" s="7">
        <v>86</v>
      </c>
      <c r="AF14" s="15" t="str">
        <f t="shared" si="10"/>
        <v>Mencapai kompetensi dengan baik dalam hal</v>
      </c>
      <c r="AG14" s="7">
        <v>85</v>
      </c>
      <c r="AH14" s="15" t="str">
        <f t="shared" si="11"/>
        <v>Mencapai kompetensi dengan baik dalam hal</v>
      </c>
      <c r="AI14" s="7">
        <v>82</v>
      </c>
      <c r="AJ14" s="15" t="str">
        <f t="shared" si="12"/>
        <v>Mencapai kompetensi dengan baik dalam hal</v>
      </c>
      <c r="AK14" s="7">
        <v>82</v>
      </c>
      <c r="AL14" s="15" t="str">
        <f t="shared" si="13"/>
        <v>Mencapai kompetensi dengan baik dalam hal</v>
      </c>
      <c r="AM14" s="7">
        <v>81</v>
      </c>
      <c r="AN14" s="15" t="str">
        <f t="shared" si="14"/>
        <v>Mencapai kompetensi dengan baik dalam hal</v>
      </c>
      <c r="AO14" s="53">
        <f t="shared" si="19"/>
        <v>83.2</v>
      </c>
      <c r="AP14" s="7">
        <v>78</v>
      </c>
      <c r="AQ14" s="15" t="str">
        <f t="shared" si="15"/>
        <v>Mencapai kompetensi dengan baik dalam hal</v>
      </c>
      <c r="AR14" s="7">
        <v>76</v>
      </c>
      <c r="AS14" s="15" t="str">
        <f t="shared" si="16"/>
        <v>Mencapai kompetensi dengan baik dalam hal</v>
      </c>
      <c r="AT14" s="7">
        <v>1</v>
      </c>
      <c r="AU14" s="7" t="s">
        <v>81</v>
      </c>
      <c r="AV14" s="7" t="s">
        <v>81</v>
      </c>
      <c r="AW14" s="23">
        <v>1</v>
      </c>
      <c r="AX14" s="7" t="s">
        <v>82</v>
      </c>
      <c r="AY14" s="18" t="s">
        <v>83</v>
      </c>
      <c r="AZ14" s="7" t="s">
        <v>84</v>
      </c>
      <c r="BA14" s="15" t="str">
        <f t="shared" si="17"/>
        <v>Baik</v>
      </c>
      <c r="BB14" s="23">
        <v>2</v>
      </c>
      <c r="BC14" s="18" t="s">
        <v>134</v>
      </c>
      <c r="BD14" s="18" t="s">
        <v>83</v>
      </c>
      <c r="BE14" s="7" t="s">
        <v>84</v>
      </c>
      <c r="BF14" s="15" t="str">
        <f t="shared" si="18"/>
        <v>Baik</v>
      </c>
      <c r="BG14" s="7"/>
      <c r="BH14" s="7"/>
      <c r="BI14" s="23"/>
      <c r="BJ14" s="23"/>
      <c r="BK14" s="15"/>
      <c r="BL14" s="54"/>
      <c r="BM14" s="54"/>
      <c r="BN14" s="54"/>
    </row>
    <row r="15" spans="1:72" ht="24.95" customHeight="1" thickTop="1" thickBot="1" x14ac:dyDescent="0.3">
      <c r="A15" s="23">
        <v>14</v>
      </c>
      <c r="B15" s="7">
        <v>2525452</v>
      </c>
      <c r="C15" s="7" t="s">
        <v>225</v>
      </c>
      <c r="D15" s="17" t="s">
        <v>226</v>
      </c>
      <c r="E15" s="23" t="s">
        <v>195</v>
      </c>
      <c r="F15" s="7" t="s">
        <v>196</v>
      </c>
      <c r="G15" s="8" t="s">
        <v>197</v>
      </c>
      <c r="H15" s="9" t="s">
        <v>198</v>
      </c>
      <c r="I15" s="10" t="s">
        <v>76</v>
      </c>
      <c r="J15" s="11" t="s">
        <v>77</v>
      </c>
      <c r="K15" s="7">
        <v>80</v>
      </c>
      <c r="L15" s="15" t="str">
        <f t="shared" si="0"/>
        <v>Mencapai kompetensi dengan baik dalam hal</v>
      </c>
      <c r="M15" s="7">
        <v>77</v>
      </c>
      <c r="N15" s="15" t="str">
        <f t="shared" si="1"/>
        <v>Mencapai kompetensi dengan baik dalam hal</v>
      </c>
      <c r="O15" s="7">
        <v>82</v>
      </c>
      <c r="P15" s="15" t="str">
        <f t="shared" si="2"/>
        <v>Mencapai kompetensi dengan baik dalam hal</v>
      </c>
      <c r="Q15" s="7">
        <v>83</v>
      </c>
      <c r="R15" s="15" t="str">
        <f t="shared" si="3"/>
        <v>Mencapai kompetensi dengan baik dalam hal</v>
      </c>
      <c r="S15" s="7">
        <v>79</v>
      </c>
      <c r="T15" s="15" t="str">
        <f t="shared" si="4"/>
        <v>Mencapai kompetensi dengan baik dalam hal</v>
      </c>
      <c r="U15" s="7">
        <v>75</v>
      </c>
      <c r="V15" s="15" t="str">
        <f t="shared" si="5"/>
        <v>Mencapai kompetensi dengan baik dalam hal</v>
      </c>
      <c r="W15" s="7">
        <v>77</v>
      </c>
      <c r="X15" s="15" t="str">
        <f t="shared" si="6"/>
        <v>Mencapai kompetensi dengan baik dalam hal</v>
      </c>
      <c r="Y15" s="7">
        <v>80</v>
      </c>
      <c r="Z15" s="15" t="str">
        <f t="shared" si="7"/>
        <v>Mencapai kompetensi dengan baik dalam hal</v>
      </c>
      <c r="AA15" s="7">
        <v>78</v>
      </c>
      <c r="AB15" s="15" t="str">
        <f t="shared" si="8"/>
        <v>Mencapai kompetensi dengan baik dalam hal</v>
      </c>
      <c r="AC15" s="7">
        <v>80</v>
      </c>
      <c r="AD15" s="15" t="str">
        <f t="shared" si="9"/>
        <v>Mencapai kompetensi dengan baik dalam hal</v>
      </c>
      <c r="AE15" s="7">
        <v>82</v>
      </c>
      <c r="AF15" s="15" t="str">
        <f t="shared" si="10"/>
        <v>Mencapai kompetensi dengan baik dalam hal</v>
      </c>
      <c r="AG15" s="7">
        <v>80</v>
      </c>
      <c r="AH15" s="15" t="str">
        <f t="shared" si="11"/>
        <v>Mencapai kompetensi dengan baik dalam hal</v>
      </c>
      <c r="AI15" s="7">
        <v>85</v>
      </c>
      <c r="AJ15" s="15" t="str">
        <f t="shared" si="12"/>
        <v>Mencapai kompetensi dengan baik dalam hal</v>
      </c>
      <c r="AK15" s="7">
        <v>83</v>
      </c>
      <c r="AL15" s="15" t="str">
        <f t="shared" si="13"/>
        <v>Mencapai kompetensi dengan baik dalam hal</v>
      </c>
      <c r="AM15" s="7">
        <v>84</v>
      </c>
      <c r="AN15" s="15" t="str">
        <f t="shared" si="14"/>
        <v>Mencapai kompetensi dengan baik dalam hal</v>
      </c>
      <c r="AO15" s="53">
        <f t="shared" si="19"/>
        <v>82.8</v>
      </c>
      <c r="AP15" s="7">
        <v>78</v>
      </c>
      <c r="AQ15" s="15" t="str">
        <f t="shared" si="15"/>
        <v>Mencapai kompetensi dengan baik dalam hal</v>
      </c>
      <c r="AR15" s="7">
        <v>76</v>
      </c>
      <c r="AS15" s="15" t="str">
        <f t="shared" si="16"/>
        <v>Mencapai kompetensi dengan baik dalam hal</v>
      </c>
      <c r="AT15" s="7">
        <v>3</v>
      </c>
      <c r="AU15" s="7" t="s">
        <v>81</v>
      </c>
      <c r="AV15" s="7" t="s">
        <v>81</v>
      </c>
      <c r="AW15" s="23">
        <v>1</v>
      </c>
      <c r="AX15" s="23" t="s">
        <v>82</v>
      </c>
      <c r="AY15" s="18" t="s">
        <v>83</v>
      </c>
      <c r="AZ15" s="23" t="s">
        <v>84</v>
      </c>
      <c r="BA15" s="15" t="str">
        <f t="shared" si="17"/>
        <v>Baik</v>
      </c>
      <c r="BB15" s="23">
        <v>2</v>
      </c>
      <c r="BC15" s="18" t="s">
        <v>227</v>
      </c>
      <c r="BD15" s="18" t="s">
        <v>83</v>
      </c>
      <c r="BE15" s="7" t="s">
        <v>84</v>
      </c>
      <c r="BF15" s="15" t="str">
        <f t="shared" si="18"/>
        <v>Baik</v>
      </c>
      <c r="BG15" s="7"/>
      <c r="BH15" s="23"/>
      <c r="BI15" s="23"/>
      <c r="BJ15" s="23"/>
      <c r="BK15" s="15"/>
      <c r="BL15" s="54"/>
      <c r="BM15" s="54"/>
      <c r="BN15" s="54"/>
    </row>
    <row r="16" spans="1:72" ht="24.95" customHeight="1" thickTop="1" thickBot="1" x14ac:dyDescent="0.3">
      <c r="A16" s="23">
        <v>15</v>
      </c>
      <c r="B16" s="7">
        <v>2525453</v>
      </c>
      <c r="C16" s="7" t="s">
        <v>228</v>
      </c>
      <c r="D16" s="17" t="s">
        <v>229</v>
      </c>
      <c r="E16" s="23" t="s">
        <v>195</v>
      </c>
      <c r="F16" s="7" t="s">
        <v>196</v>
      </c>
      <c r="G16" s="8" t="s">
        <v>197</v>
      </c>
      <c r="H16" s="9" t="s">
        <v>198</v>
      </c>
      <c r="I16" s="10" t="s">
        <v>76</v>
      </c>
      <c r="J16" s="11" t="s">
        <v>77</v>
      </c>
      <c r="K16" s="7">
        <v>82</v>
      </c>
      <c r="L16" s="15" t="str">
        <f t="shared" si="0"/>
        <v>Mencapai kompetensi dengan baik dalam hal</v>
      </c>
      <c r="M16" s="7">
        <v>77</v>
      </c>
      <c r="N16" s="15" t="str">
        <f t="shared" si="1"/>
        <v>Mencapai kompetensi dengan baik dalam hal</v>
      </c>
      <c r="O16" s="7">
        <v>81</v>
      </c>
      <c r="P16" s="15" t="str">
        <f t="shared" si="2"/>
        <v>Mencapai kompetensi dengan baik dalam hal</v>
      </c>
      <c r="Q16" s="7">
        <v>85</v>
      </c>
      <c r="R16" s="15" t="str">
        <f t="shared" si="3"/>
        <v>Mencapai kompetensi dengan baik dalam hal</v>
      </c>
      <c r="S16" s="7">
        <v>83</v>
      </c>
      <c r="T16" s="15" t="str">
        <f t="shared" si="4"/>
        <v>Mencapai kompetensi dengan baik dalam hal</v>
      </c>
      <c r="U16" s="7">
        <v>84</v>
      </c>
      <c r="V16" s="15" t="str">
        <f t="shared" si="5"/>
        <v>Mencapai kompetensi dengan baik dalam hal</v>
      </c>
      <c r="W16" s="7">
        <v>79</v>
      </c>
      <c r="X16" s="15" t="str">
        <f t="shared" si="6"/>
        <v>Mencapai kompetensi dengan baik dalam hal</v>
      </c>
      <c r="Y16" s="7">
        <v>79</v>
      </c>
      <c r="Z16" s="15" t="str">
        <f t="shared" si="7"/>
        <v>Mencapai kompetensi dengan baik dalam hal</v>
      </c>
      <c r="AA16" s="7">
        <v>78</v>
      </c>
      <c r="AB16" s="15" t="str">
        <f t="shared" si="8"/>
        <v>Mencapai kompetensi dengan baik dalam hal</v>
      </c>
      <c r="AC16" s="7">
        <v>84</v>
      </c>
      <c r="AD16" s="15" t="str">
        <f t="shared" si="9"/>
        <v>Mencapai kompetensi dengan baik dalam hal</v>
      </c>
      <c r="AE16" s="7">
        <v>92</v>
      </c>
      <c r="AF16" s="15" t="str">
        <f t="shared" si="10"/>
        <v>Mencapai kompetensi dengan sangat baik dalam hal</v>
      </c>
      <c r="AG16" s="7">
        <v>84</v>
      </c>
      <c r="AH16" s="15" t="str">
        <f t="shared" si="11"/>
        <v>Mencapai kompetensi dengan baik dalam hal</v>
      </c>
      <c r="AI16" s="7">
        <v>87</v>
      </c>
      <c r="AJ16" s="15" t="str">
        <f t="shared" si="12"/>
        <v>Mencapai kompetensi dengan baik dalam hal</v>
      </c>
      <c r="AK16" s="7">
        <v>84</v>
      </c>
      <c r="AL16" s="15" t="str">
        <f t="shared" si="13"/>
        <v>Mencapai kompetensi dengan baik dalam hal</v>
      </c>
      <c r="AM16" s="7">
        <v>85</v>
      </c>
      <c r="AN16" s="15" t="str">
        <f t="shared" si="14"/>
        <v>Mencapai kompetensi dengan baik dalam hal</v>
      </c>
      <c r="AO16" s="53">
        <f t="shared" si="19"/>
        <v>86.4</v>
      </c>
      <c r="AP16" s="7">
        <v>78</v>
      </c>
      <c r="AQ16" s="15" t="str">
        <f t="shared" si="15"/>
        <v>Mencapai kompetensi dengan baik dalam hal</v>
      </c>
      <c r="AR16" s="7">
        <v>80</v>
      </c>
      <c r="AS16" s="15" t="str">
        <f t="shared" si="16"/>
        <v>Mencapai kompetensi dengan baik dalam hal</v>
      </c>
      <c r="AT16" s="7" t="s">
        <v>81</v>
      </c>
      <c r="AU16" s="7" t="s">
        <v>81</v>
      </c>
      <c r="AV16" s="7" t="s">
        <v>81</v>
      </c>
      <c r="AW16" s="23">
        <v>1</v>
      </c>
      <c r="AX16" s="7" t="s">
        <v>82</v>
      </c>
      <c r="AY16" s="18" t="s">
        <v>83</v>
      </c>
      <c r="AZ16" s="7" t="s">
        <v>86</v>
      </c>
      <c r="BA16" s="15" t="str">
        <f t="shared" si="17"/>
        <v>Sangat baik</v>
      </c>
      <c r="BB16" s="23">
        <v>2</v>
      </c>
      <c r="BC16" s="18" t="s">
        <v>212</v>
      </c>
      <c r="BD16" s="18" t="s">
        <v>83</v>
      </c>
      <c r="BE16" s="7" t="s">
        <v>86</v>
      </c>
      <c r="BF16" s="15" t="str">
        <f t="shared" si="18"/>
        <v>Sangat baik</v>
      </c>
      <c r="BG16" s="7"/>
      <c r="BH16" s="7"/>
      <c r="BI16" s="23"/>
      <c r="BJ16" s="23"/>
      <c r="BK16" s="15"/>
      <c r="BL16" s="54"/>
      <c r="BM16" s="54"/>
      <c r="BN16" s="54"/>
    </row>
    <row r="17" spans="1:66" ht="24.95" customHeight="1" thickTop="1" thickBot="1" x14ac:dyDescent="0.3">
      <c r="A17" s="23">
        <v>16</v>
      </c>
      <c r="B17" s="7">
        <v>2525454</v>
      </c>
      <c r="C17" s="7" t="s">
        <v>230</v>
      </c>
      <c r="D17" s="17" t="s">
        <v>231</v>
      </c>
      <c r="E17" s="23" t="s">
        <v>195</v>
      </c>
      <c r="F17" s="7" t="s">
        <v>196</v>
      </c>
      <c r="G17" s="8" t="s">
        <v>197</v>
      </c>
      <c r="H17" s="9" t="s">
        <v>198</v>
      </c>
      <c r="I17" s="10" t="s">
        <v>76</v>
      </c>
      <c r="J17" s="11" t="s">
        <v>77</v>
      </c>
      <c r="K17" s="7">
        <v>80</v>
      </c>
      <c r="L17" s="15" t="str">
        <f t="shared" si="0"/>
        <v>Mencapai kompetensi dengan baik dalam hal</v>
      </c>
      <c r="M17" s="7">
        <v>76</v>
      </c>
      <c r="N17" s="15" t="str">
        <f t="shared" si="1"/>
        <v>Mencapai kompetensi dengan baik dalam hal</v>
      </c>
      <c r="O17" s="7">
        <v>80</v>
      </c>
      <c r="P17" s="15" t="str">
        <f t="shared" si="2"/>
        <v>Mencapai kompetensi dengan baik dalam hal</v>
      </c>
      <c r="Q17" s="7">
        <v>83</v>
      </c>
      <c r="R17" s="15" t="str">
        <f t="shared" si="3"/>
        <v>Mencapai kompetensi dengan baik dalam hal</v>
      </c>
      <c r="S17" s="7">
        <v>85</v>
      </c>
      <c r="T17" s="15" t="str">
        <f t="shared" si="4"/>
        <v>Mencapai kompetensi dengan baik dalam hal</v>
      </c>
      <c r="U17" s="7">
        <v>84</v>
      </c>
      <c r="V17" s="15" t="str">
        <f t="shared" si="5"/>
        <v>Mencapai kompetensi dengan baik dalam hal</v>
      </c>
      <c r="W17" s="7">
        <v>78</v>
      </c>
      <c r="X17" s="15" t="str">
        <f t="shared" si="6"/>
        <v>Mencapai kompetensi dengan baik dalam hal</v>
      </c>
      <c r="Y17" s="7">
        <v>80</v>
      </c>
      <c r="Z17" s="15" t="str">
        <f t="shared" si="7"/>
        <v>Mencapai kompetensi dengan baik dalam hal</v>
      </c>
      <c r="AA17" s="7">
        <v>78</v>
      </c>
      <c r="AB17" s="15" t="str">
        <f t="shared" si="8"/>
        <v>Mencapai kompetensi dengan baik dalam hal</v>
      </c>
      <c r="AC17" s="7">
        <v>84</v>
      </c>
      <c r="AD17" s="15" t="str">
        <f t="shared" si="9"/>
        <v>Mencapai kompetensi dengan baik dalam hal</v>
      </c>
      <c r="AE17" s="7">
        <v>84</v>
      </c>
      <c r="AF17" s="15" t="str">
        <f t="shared" si="10"/>
        <v>Mencapai kompetensi dengan baik dalam hal</v>
      </c>
      <c r="AG17" s="7">
        <v>81</v>
      </c>
      <c r="AH17" s="15" t="str">
        <f t="shared" si="11"/>
        <v>Mencapai kompetensi dengan baik dalam hal</v>
      </c>
      <c r="AI17" s="7">
        <v>82</v>
      </c>
      <c r="AJ17" s="15" t="str">
        <f t="shared" si="12"/>
        <v>Mencapai kompetensi dengan baik dalam hal</v>
      </c>
      <c r="AK17" s="7">
        <v>82</v>
      </c>
      <c r="AL17" s="15" t="str">
        <f t="shared" si="13"/>
        <v>Mencapai kompetensi dengan baik dalam hal</v>
      </c>
      <c r="AM17" s="7">
        <v>80</v>
      </c>
      <c r="AN17" s="15" t="str">
        <f t="shared" si="14"/>
        <v>Mencapai kompetensi dengan baik dalam hal</v>
      </c>
      <c r="AO17" s="53">
        <f t="shared" si="19"/>
        <v>81.8</v>
      </c>
      <c r="AP17" s="7">
        <v>78</v>
      </c>
      <c r="AQ17" s="15" t="str">
        <f t="shared" si="15"/>
        <v>Mencapai kompetensi dengan baik dalam hal</v>
      </c>
      <c r="AR17" s="7">
        <v>75</v>
      </c>
      <c r="AS17" s="15" t="str">
        <f t="shared" si="16"/>
        <v>Mencapai kompetensi dengan baik dalam hal</v>
      </c>
      <c r="AT17" s="7" t="s">
        <v>81</v>
      </c>
      <c r="AU17" s="7" t="s">
        <v>81</v>
      </c>
      <c r="AV17" s="7" t="s">
        <v>81</v>
      </c>
      <c r="AW17" s="23">
        <v>1</v>
      </c>
      <c r="AX17" s="23" t="s">
        <v>82</v>
      </c>
      <c r="AY17" s="18" t="s">
        <v>83</v>
      </c>
      <c r="AZ17" s="23" t="s">
        <v>86</v>
      </c>
      <c r="BA17" s="15" t="str">
        <f t="shared" si="17"/>
        <v>Sangat baik</v>
      </c>
      <c r="BB17" s="23">
        <v>2</v>
      </c>
      <c r="BC17" s="18" t="s">
        <v>170</v>
      </c>
      <c r="BD17" s="18" t="s">
        <v>83</v>
      </c>
      <c r="BE17" s="7" t="s">
        <v>84</v>
      </c>
      <c r="BF17" s="15" t="str">
        <f t="shared" si="18"/>
        <v>Baik</v>
      </c>
      <c r="BG17" s="7"/>
      <c r="BH17" s="23"/>
      <c r="BI17" s="23"/>
      <c r="BJ17" s="23"/>
      <c r="BK17" s="15"/>
      <c r="BL17" s="54"/>
      <c r="BM17" s="54"/>
      <c r="BN17" s="54"/>
    </row>
    <row r="18" spans="1:66" ht="24.95" customHeight="1" thickTop="1" thickBot="1" x14ac:dyDescent="0.3">
      <c r="A18" s="23">
        <v>17</v>
      </c>
      <c r="B18" s="7">
        <v>2525455</v>
      </c>
      <c r="C18" s="7" t="s">
        <v>232</v>
      </c>
      <c r="D18" s="17" t="s">
        <v>233</v>
      </c>
      <c r="E18" s="23" t="s">
        <v>195</v>
      </c>
      <c r="F18" s="7" t="s">
        <v>196</v>
      </c>
      <c r="G18" s="8" t="s">
        <v>197</v>
      </c>
      <c r="H18" s="9" t="s">
        <v>198</v>
      </c>
      <c r="I18" s="10" t="s">
        <v>76</v>
      </c>
      <c r="J18" s="11" t="s">
        <v>77</v>
      </c>
      <c r="K18" s="7">
        <v>75</v>
      </c>
      <c r="L18" s="15" t="str">
        <f t="shared" si="0"/>
        <v>Mencapai kompetensi dengan baik dalam hal</v>
      </c>
      <c r="M18" s="7">
        <v>76</v>
      </c>
      <c r="N18" s="15" t="str">
        <f t="shared" si="1"/>
        <v>Mencapai kompetensi dengan baik dalam hal</v>
      </c>
      <c r="O18" s="7">
        <v>79</v>
      </c>
      <c r="P18" s="15" t="str">
        <f t="shared" si="2"/>
        <v>Mencapai kompetensi dengan baik dalam hal</v>
      </c>
      <c r="Q18" s="7">
        <v>82</v>
      </c>
      <c r="R18" s="15" t="str">
        <f t="shared" si="3"/>
        <v>Mencapai kompetensi dengan baik dalam hal</v>
      </c>
      <c r="S18" s="7">
        <v>70</v>
      </c>
      <c r="T18" s="15" t="str">
        <f t="shared" si="4"/>
        <v>Perlu peningkatan dalam hal</v>
      </c>
      <c r="U18" s="7">
        <v>75</v>
      </c>
      <c r="V18" s="15" t="str">
        <f t="shared" si="5"/>
        <v>Mencapai kompetensi dengan baik dalam hal</v>
      </c>
      <c r="W18" s="7">
        <v>76</v>
      </c>
      <c r="X18" s="15" t="str">
        <f t="shared" si="6"/>
        <v>Mencapai kompetensi dengan baik dalam hal</v>
      </c>
      <c r="Y18" s="7">
        <v>76</v>
      </c>
      <c r="Z18" s="15" t="str">
        <f t="shared" si="7"/>
        <v>Mencapai kompetensi dengan baik dalam hal</v>
      </c>
      <c r="AA18" s="7">
        <v>76</v>
      </c>
      <c r="AB18" s="15" t="str">
        <f t="shared" si="8"/>
        <v>Mencapai kompetensi dengan baik dalam hal</v>
      </c>
      <c r="AC18" s="7">
        <v>76</v>
      </c>
      <c r="AD18" s="15" t="str">
        <f t="shared" si="9"/>
        <v>Mencapai kompetensi dengan baik dalam hal</v>
      </c>
      <c r="AE18" s="7">
        <v>88</v>
      </c>
      <c r="AF18" s="15" t="str">
        <f t="shared" si="10"/>
        <v>Mencapai kompetensi dengan baik dalam hal</v>
      </c>
      <c r="AG18" s="7">
        <v>75</v>
      </c>
      <c r="AH18" s="15" t="str">
        <f t="shared" si="11"/>
        <v>Mencapai kompetensi dengan baik dalam hal</v>
      </c>
      <c r="AI18" s="7">
        <v>75</v>
      </c>
      <c r="AJ18" s="15" t="str">
        <f t="shared" si="12"/>
        <v>Mencapai kompetensi dengan baik dalam hal</v>
      </c>
      <c r="AK18" s="7">
        <v>75</v>
      </c>
      <c r="AL18" s="15" t="str">
        <f t="shared" si="13"/>
        <v>Mencapai kompetensi dengan baik dalam hal</v>
      </c>
      <c r="AM18" s="7">
        <v>75</v>
      </c>
      <c r="AN18" s="15" t="str">
        <f t="shared" si="14"/>
        <v>Mencapai kompetensi dengan baik dalam hal</v>
      </c>
      <c r="AO18" s="53">
        <f t="shared" si="19"/>
        <v>77.599999999999994</v>
      </c>
      <c r="AP18" s="7">
        <v>76</v>
      </c>
      <c r="AQ18" s="15" t="str">
        <f t="shared" si="15"/>
        <v>Mencapai kompetensi dengan baik dalam hal</v>
      </c>
      <c r="AR18" s="7">
        <v>75</v>
      </c>
      <c r="AS18" s="15" t="str">
        <f t="shared" si="16"/>
        <v>Mencapai kompetensi dengan baik dalam hal</v>
      </c>
      <c r="AT18" s="7" t="s">
        <v>81</v>
      </c>
      <c r="AU18" s="7" t="s">
        <v>81</v>
      </c>
      <c r="AV18" s="7" t="s">
        <v>81</v>
      </c>
      <c r="AW18" s="23">
        <v>1</v>
      </c>
      <c r="AX18" s="7" t="s">
        <v>82</v>
      </c>
      <c r="AY18" s="18" t="s">
        <v>83</v>
      </c>
      <c r="AZ18" s="7" t="s">
        <v>84</v>
      </c>
      <c r="BA18" s="15" t="str">
        <f t="shared" si="17"/>
        <v>Baik</v>
      </c>
      <c r="BB18" s="23">
        <v>2</v>
      </c>
      <c r="BC18" s="18" t="s">
        <v>108</v>
      </c>
      <c r="BD18" s="18" t="s">
        <v>83</v>
      </c>
      <c r="BE18" s="7" t="s">
        <v>86</v>
      </c>
      <c r="BF18" s="15" t="str">
        <f t="shared" si="18"/>
        <v>Sangat baik</v>
      </c>
      <c r="BG18" s="7"/>
      <c r="BH18" s="7"/>
      <c r="BI18" s="23"/>
      <c r="BJ18" s="23"/>
      <c r="BK18" s="15"/>
      <c r="BL18" s="54"/>
      <c r="BM18" s="54"/>
      <c r="BN18" s="54"/>
    </row>
    <row r="19" spans="1:66" ht="24.95" customHeight="1" thickTop="1" thickBot="1" x14ac:dyDescent="0.3">
      <c r="A19" s="23">
        <v>18</v>
      </c>
      <c r="B19" s="7">
        <v>2525456</v>
      </c>
      <c r="C19" s="7" t="s">
        <v>234</v>
      </c>
      <c r="D19" s="17" t="s">
        <v>235</v>
      </c>
      <c r="E19" s="23" t="s">
        <v>195</v>
      </c>
      <c r="F19" s="7" t="s">
        <v>196</v>
      </c>
      <c r="G19" s="8" t="s">
        <v>197</v>
      </c>
      <c r="H19" s="9" t="s">
        <v>198</v>
      </c>
      <c r="I19" s="10" t="s">
        <v>76</v>
      </c>
      <c r="J19" s="11" t="s">
        <v>77</v>
      </c>
      <c r="K19" s="7">
        <v>80</v>
      </c>
      <c r="L19" s="15" t="str">
        <f t="shared" si="0"/>
        <v>Mencapai kompetensi dengan baik dalam hal</v>
      </c>
      <c r="M19" s="7">
        <v>78</v>
      </c>
      <c r="N19" s="15" t="str">
        <f t="shared" si="1"/>
        <v>Mencapai kompetensi dengan baik dalam hal</v>
      </c>
      <c r="O19" s="7">
        <v>80</v>
      </c>
      <c r="P19" s="15" t="str">
        <f t="shared" si="2"/>
        <v>Mencapai kompetensi dengan baik dalam hal</v>
      </c>
      <c r="Q19" s="7">
        <v>85</v>
      </c>
      <c r="R19" s="15" t="str">
        <f t="shared" si="3"/>
        <v>Mencapai kompetensi dengan baik dalam hal</v>
      </c>
      <c r="S19" s="7">
        <v>85</v>
      </c>
      <c r="T19" s="15" t="str">
        <f t="shared" si="4"/>
        <v>Mencapai kompetensi dengan baik dalam hal</v>
      </c>
      <c r="U19" s="7">
        <v>83</v>
      </c>
      <c r="V19" s="15" t="str">
        <f t="shared" si="5"/>
        <v>Mencapai kompetensi dengan baik dalam hal</v>
      </c>
      <c r="W19" s="7">
        <v>79</v>
      </c>
      <c r="X19" s="15" t="str">
        <f t="shared" si="6"/>
        <v>Mencapai kompetensi dengan baik dalam hal</v>
      </c>
      <c r="Y19" s="7">
        <v>80</v>
      </c>
      <c r="Z19" s="15" t="str">
        <f t="shared" si="7"/>
        <v>Mencapai kompetensi dengan baik dalam hal</v>
      </c>
      <c r="AA19" s="7">
        <v>78</v>
      </c>
      <c r="AB19" s="15" t="str">
        <f t="shared" si="8"/>
        <v>Mencapai kompetensi dengan baik dalam hal</v>
      </c>
      <c r="AC19" s="7">
        <v>82</v>
      </c>
      <c r="AD19" s="15" t="str">
        <f t="shared" si="9"/>
        <v>Mencapai kompetensi dengan baik dalam hal</v>
      </c>
      <c r="AE19" s="7">
        <v>87</v>
      </c>
      <c r="AF19" s="15" t="str">
        <f t="shared" si="10"/>
        <v>Mencapai kompetensi dengan baik dalam hal</v>
      </c>
      <c r="AG19" s="7">
        <v>79</v>
      </c>
      <c r="AH19" s="15" t="str">
        <f t="shared" si="11"/>
        <v>Mencapai kompetensi dengan baik dalam hal</v>
      </c>
      <c r="AI19" s="7">
        <v>86</v>
      </c>
      <c r="AJ19" s="15" t="str">
        <f t="shared" si="12"/>
        <v>Mencapai kompetensi dengan baik dalam hal</v>
      </c>
      <c r="AK19" s="7">
        <v>86</v>
      </c>
      <c r="AL19" s="15" t="str">
        <f t="shared" si="13"/>
        <v>Mencapai kompetensi dengan baik dalam hal</v>
      </c>
      <c r="AM19" s="7">
        <v>87</v>
      </c>
      <c r="AN19" s="15" t="str">
        <f t="shared" si="14"/>
        <v>Mencapai kompetensi dengan baik dalam hal</v>
      </c>
      <c r="AO19" s="53">
        <f t="shared" si="19"/>
        <v>85</v>
      </c>
      <c r="AP19" s="7">
        <v>78</v>
      </c>
      <c r="AQ19" s="15" t="str">
        <f t="shared" si="15"/>
        <v>Mencapai kompetensi dengan baik dalam hal</v>
      </c>
      <c r="AR19" s="7">
        <v>79</v>
      </c>
      <c r="AS19" s="15" t="str">
        <f t="shared" si="16"/>
        <v>Mencapai kompetensi dengan baik dalam hal</v>
      </c>
      <c r="AT19" s="7" t="s">
        <v>81</v>
      </c>
      <c r="AU19" s="7" t="s">
        <v>81</v>
      </c>
      <c r="AV19" s="7">
        <v>1</v>
      </c>
      <c r="AW19" s="23">
        <v>1</v>
      </c>
      <c r="AX19" s="23" t="s">
        <v>82</v>
      </c>
      <c r="AY19" s="18" t="s">
        <v>83</v>
      </c>
      <c r="AZ19" s="23" t="s">
        <v>86</v>
      </c>
      <c r="BA19" s="15" t="str">
        <f t="shared" si="17"/>
        <v>Sangat baik</v>
      </c>
      <c r="BB19" s="23">
        <v>2</v>
      </c>
      <c r="BC19" s="18" t="s">
        <v>236</v>
      </c>
      <c r="BD19" s="18" t="s">
        <v>83</v>
      </c>
      <c r="BE19" s="7" t="s">
        <v>86</v>
      </c>
      <c r="BF19" s="15" t="str">
        <f t="shared" si="18"/>
        <v>Sangat baik</v>
      </c>
      <c r="BG19" s="7"/>
      <c r="BH19" s="23"/>
      <c r="BI19" s="23"/>
      <c r="BJ19" s="23"/>
      <c r="BK19" s="15"/>
      <c r="BL19" s="54"/>
      <c r="BM19" s="54"/>
      <c r="BN19" s="54"/>
    </row>
    <row r="20" spans="1:66" ht="24.95" customHeight="1" thickTop="1" thickBot="1" x14ac:dyDescent="0.3">
      <c r="A20" s="23">
        <v>19</v>
      </c>
      <c r="B20" s="7">
        <v>2525457</v>
      </c>
      <c r="C20" s="7" t="s">
        <v>237</v>
      </c>
      <c r="D20" s="17" t="s">
        <v>238</v>
      </c>
      <c r="E20" s="23" t="s">
        <v>195</v>
      </c>
      <c r="F20" s="7" t="s">
        <v>196</v>
      </c>
      <c r="G20" s="8" t="s">
        <v>197</v>
      </c>
      <c r="H20" s="9" t="s">
        <v>198</v>
      </c>
      <c r="I20" s="10" t="s">
        <v>76</v>
      </c>
      <c r="J20" s="11" t="s">
        <v>77</v>
      </c>
      <c r="K20" s="7">
        <v>80</v>
      </c>
      <c r="L20" s="15" t="str">
        <f t="shared" si="0"/>
        <v>Mencapai kompetensi dengan baik dalam hal</v>
      </c>
      <c r="M20" s="7">
        <v>77</v>
      </c>
      <c r="N20" s="15" t="str">
        <f t="shared" si="1"/>
        <v>Mencapai kompetensi dengan baik dalam hal</v>
      </c>
      <c r="O20" s="7">
        <v>82</v>
      </c>
      <c r="P20" s="15" t="str">
        <f t="shared" si="2"/>
        <v>Mencapai kompetensi dengan baik dalam hal</v>
      </c>
      <c r="Q20" s="7">
        <v>83</v>
      </c>
      <c r="R20" s="15" t="str">
        <f t="shared" si="3"/>
        <v>Mencapai kompetensi dengan baik dalam hal</v>
      </c>
      <c r="S20" s="7">
        <v>85</v>
      </c>
      <c r="T20" s="15" t="str">
        <f t="shared" si="4"/>
        <v>Mencapai kompetensi dengan baik dalam hal</v>
      </c>
      <c r="U20" s="7">
        <v>76</v>
      </c>
      <c r="V20" s="15" t="str">
        <f t="shared" si="5"/>
        <v>Mencapai kompetensi dengan baik dalam hal</v>
      </c>
      <c r="W20" s="7">
        <v>80</v>
      </c>
      <c r="X20" s="15" t="str">
        <f t="shared" si="6"/>
        <v>Mencapai kompetensi dengan baik dalam hal</v>
      </c>
      <c r="Y20" s="7">
        <v>78</v>
      </c>
      <c r="Z20" s="15" t="str">
        <f t="shared" si="7"/>
        <v>Mencapai kompetensi dengan baik dalam hal</v>
      </c>
      <c r="AA20" s="7">
        <v>78</v>
      </c>
      <c r="AB20" s="15" t="str">
        <f t="shared" si="8"/>
        <v>Mencapai kompetensi dengan baik dalam hal</v>
      </c>
      <c r="AC20" s="7">
        <v>84</v>
      </c>
      <c r="AD20" s="15" t="str">
        <f t="shared" si="9"/>
        <v>Mencapai kompetensi dengan baik dalam hal</v>
      </c>
      <c r="AE20" s="7">
        <v>81</v>
      </c>
      <c r="AF20" s="15" t="str">
        <f t="shared" si="10"/>
        <v>Mencapai kompetensi dengan baik dalam hal</v>
      </c>
      <c r="AG20" s="7">
        <v>80</v>
      </c>
      <c r="AH20" s="15" t="str">
        <f t="shared" si="11"/>
        <v>Mencapai kompetensi dengan baik dalam hal</v>
      </c>
      <c r="AI20" s="7">
        <v>84</v>
      </c>
      <c r="AJ20" s="15" t="str">
        <f t="shared" si="12"/>
        <v>Mencapai kompetensi dengan baik dalam hal</v>
      </c>
      <c r="AK20" s="7">
        <v>85</v>
      </c>
      <c r="AL20" s="15" t="str">
        <f t="shared" si="13"/>
        <v>Mencapai kompetensi dengan baik dalam hal</v>
      </c>
      <c r="AM20" s="7">
        <v>90</v>
      </c>
      <c r="AN20" s="15" t="str">
        <f t="shared" si="14"/>
        <v>Mencapai kompetensi dengan sangat baik dalam hal</v>
      </c>
      <c r="AO20" s="53">
        <f t="shared" si="19"/>
        <v>84</v>
      </c>
      <c r="AP20" s="7">
        <v>78</v>
      </c>
      <c r="AQ20" s="15" t="str">
        <f t="shared" si="15"/>
        <v>Mencapai kompetensi dengan baik dalam hal</v>
      </c>
      <c r="AR20" s="7">
        <v>75</v>
      </c>
      <c r="AS20" s="15" t="str">
        <f t="shared" si="16"/>
        <v>Mencapai kompetensi dengan baik dalam hal</v>
      </c>
      <c r="AT20" s="7">
        <v>1</v>
      </c>
      <c r="AU20" s="7" t="s">
        <v>81</v>
      </c>
      <c r="AV20" s="7" t="s">
        <v>81</v>
      </c>
      <c r="AW20" s="23">
        <v>1</v>
      </c>
      <c r="AX20" s="7" t="s">
        <v>82</v>
      </c>
      <c r="AY20" s="18" t="s">
        <v>83</v>
      </c>
      <c r="AZ20" s="7" t="s">
        <v>86</v>
      </c>
      <c r="BA20" s="15" t="str">
        <f t="shared" si="17"/>
        <v>Sangat baik</v>
      </c>
      <c r="BB20" s="23">
        <v>2</v>
      </c>
      <c r="BC20" s="18" t="s">
        <v>85</v>
      </c>
      <c r="BD20" s="18" t="s">
        <v>83</v>
      </c>
      <c r="BE20" s="7" t="s">
        <v>84</v>
      </c>
      <c r="BF20" s="15" t="str">
        <f t="shared" si="18"/>
        <v>Baik</v>
      </c>
      <c r="BG20" s="7"/>
      <c r="BH20" s="7"/>
      <c r="BI20" s="23"/>
      <c r="BJ20" s="23"/>
      <c r="BK20" s="15"/>
      <c r="BL20" s="54"/>
      <c r="BM20" s="54"/>
      <c r="BN20" s="54"/>
    </row>
    <row r="21" spans="1:66" ht="24.95" customHeight="1" thickTop="1" thickBot="1" x14ac:dyDescent="0.3">
      <c r="A21" s="23">
        <v>20</v>
      </c>
      <c r="B21" s="7">
        <v>2525458</v>
      </c>
      <c r="C21" s="7" t="s">
        <v>239</v>
      </c>
      <c r="D21" s="17" t="s">
        <v>240</v>
      </c>
      <c r="E21" s="23" t="s">
        <v>195</v>
      </c>
      <c r="F21" s="7" t="s">
        <v>196</v>
      </c>
      <c r="G21" s="8" t="s">
        <v>197</v>
      </c>
      <c r="H21" s="9" t="s">
        <v>198</v>
      </c>
      <c r="I21" s="10" t="s">
        <v>76</v>
      </c>
      <c r="J21" s="11" t="s">
        <v>77</v>
      </c>
      <c r="K21" s="7">
        <v>75</v>
      </c>
      <c r="L21" s="15" t="str">
        <f t="shared" si="0"/>
        <v>Mencapai kompetensi dengan baik dalam hal</v>
      </c>
      <c r="M21" s="7">
        <v>76</v>
      </c>
      <c r="N21" s="15" t="str">
        <f t="shared" si="1"/>
        <v>Mencapai kompetensi dengan baik dalam hal</v>
      </c>
      <c r="O21" s="7">
        <v>78</v>
      </c>
      <c r="P21" s="15" t="str">
        <f t="shared" si="2"/>
        <v>Mencapai kompetensi dengan baik dalam hal</v>
      </c>
      <c r="Q21" s="7">
        <v>80</v>
      </c>
      <c r="R21" s="15" t="str">
        <f t="shared" si="3"/>
        <v>Mencapai kompetensi dengan baik dalam hal</v>
      </c>
      <c r="S21" s="7">
        <v>73</v>
      </c>
      <c r="T21" s="15" t="str">
        <f t="shared" si="4"/>
        <v>Perlu peningkatan dalam hal</v>
      </c>
      <c r="U21" s="7">
        <v>70</v>
      </c>
      <c r="V21" s="15" t="str">
        <f t="shared" si="5"/>
        <v>Perlu peningkatan dalam hal</v>
      </c>
      <c r="W21" s="7">
        <v>78</v>
      </c>
      <c r="X21" s="15" t="str">
        <f t="shared" si="6"/>
        <v>Mencapai kompetensi dengan baik dalam hal</v>
      </c>
      <c r="Y21" s="7">
        <v>76</v>
      </c>
      <c r="Z21" s="15" t="str">
        <f t="shared" si="7"/>
        <v>Mencapai kompetensi dengan baik dalam hal</v>
      </c>
      <c r="AA21" s="7">
        <v>75</v>
      </c>
      <c r="AB21" s="15" t="str">
        <f t="shared" si="8"/>
        <v>Mencapai kompetensi dengan baik dalam hal</v>
      </c>
      <c r="AC21" s="7">
        <v>75</v>
      </c>
      <c r="AD21" s="15" t="str">
        <f t="shared" si="9"/>
        <v>Mencapai kompetensi dengan baik dalam hal</v>
      </c>
      <c r="AE21" s="7">
        <v>75</v>
      </c>
      <c r="AF21" s="15" t="str">
        <f t="shared" si="10"/>
        <v>Mencapai kompetensi dengan baik dalam hal</v>
      </c>
      <c r="AG21" s="7">
        <v>77</v>
      </c>
      <c r="AH21" s="15" t="str">
        <f t="shared" si="11"/>
        <v>Mencapai kompetensi dengan baik dalam hal</v>
      </c>
      <c r="AI21" s="7">
        <v>76</v>
      </c>
      <c r="AJ21" s="15" t="str">
        <f t="shared" si="12"/>
        <v>Mencapai kompetensi dengan baik dalam hal</v>
      </c>
      <c r="AK21" s="7">
        <v>80</v>
      </c>
      <c r="AL21" s="15" t="str">
        <f t="shared" si="13"/>
        <v>Mencapai kompetensi dengan baik dalam hal</v>
      </c>
      <c r="AM21" s="7">
        <v>81</v>
      </c>
      <c r="AN21" s="15" t="str">
        <f t="shared" si="14"/>
        <v>Mencapai kompetensi dengan baik dalam hal</v>
      </c>
      <c r="AO21" s="53">
        <f t="shared" si="19"/>
        <v>77.8</v>
      </c>
      <c r="AP21" s="7">
        <v>75</v>
      </c>
      <c r="AQ21" s="15" t="str">
        <f t="shared" si="15"/>
        <v>Mencapai kompetensi dengan baik dalam hal</v>
      </c>
      <c r="AR21" s="7">
        <v>75</v>
      </c>
      <c r="AS21" s="15" t="str">
        <f t="shared" si="16"/>
        <v>Mencapai kompetensi dengan baik dalam hal</v>
      </c>
      <c r="AT21" s="7">
        <v>3</v>
      </c>
      <c r="AU21" s="7" t="s">
        <v>81</v>
      </c>
      <c r="AV21" s="7">
        <v>1</v>
      </c>
      <c r="AW21" s="23">
        <v>1</v>
      </c>
      <c r="AX21" s="23" t="s">
        <v>82</v>
      </c>
      <c r="AY21" s="18" t="s">
        <v>83</v>
      </c>
      <c r="AZ21" s="23" t="s">
        <v>84</v>
      </c>
      <c r="BA21" s="15" t="str">
        <f t="shared" si="17"/>
        <v>Baik</v>
      </c>
      <c r="BB21" s="23">
        <v>2</v>
      </c>
      <c r="BC21" s="18" t="s">
        <v>103</v>
      </c>
      <c r="BD21" s="18" t="s">
        <v>83</v>
      </c>
      <c r="BE21" s="7" t="s">
        <v>84</v>
      </c>
      <c r="BF21" s="15" t="str">
        <f t="shared" si="18"/>
        <v>Baik</v>
      </c>
      <c r="BG21" s="7"/>
      <c r="BH21" s="23"/>
      <c r="BI21" s="23"/>
      <c r="BJ21" s="23"/>
      <c r="BK21" s="15"/>
      <c r="BL21" s="54"/>
      <c r="BM21" s="54"/>
      <c r="BN21" s="54"/>
    </row>
    <row r="22" spans="1:66" ht="24.95" customHeight="1" thickTop="1" thickBot="1" x14ac:dyDescent="0.3">
      <c r="A22" s="23">
        <v>21</v>
      </c>
      <c r="B22" s="7">
        <v>2525459</v>
      </c>
      <c r="C22" s="7" t="s">
        <v>241</v>
      </c>
      <c r="D22" s="17" t="s">
        <v>242</v>
      </c>
      <c r="E22" s="23" t="s">
        <v>195</v>
      </c>
      <c r="F22" s="7" t="s">
        <v>196</v>
      </c>
      <c r="G22" s="8" t="s">
        <v>197</v>
      </c>
      <c r="H22" s="9" t="s">
        <v>198</v>
      </c>
      <c r="I22" s="10" t="s">
        <v>76</v>
      </c>
      <c r="J22" s="11" t="s">
        <v>77</v>
      </c>
      <c r="K22" s="7">
        <v>82</v>
      </c>
      <c r="L22" s="15" t="str">
        <f t="shared" si="0"/>
        <v>Mencapai kompetensi dengan baik dalam hal</v>
      </c>
      <c r="M22" s="7">
        <v>80</v>
      </c>
      <c r="N22" s="15" t="str">
        <f t="shared" si="1"/>
        <v>Mencapai kompetensi dengan baik dalam hal</v>
      </c>
      <c r="O22" s="7">
        <v>82</v>
      </c>
      <c r="P22" s="15" t="str">
        <f t="shared" si="2"/>
        <v>Mencapai kompetensi dengan baik dalam hal</v>
      </c>
      <c r="Q22" s="7">
        <v>83</v>
      </c>
      <c r="R22" s="15" t="str">
        <f t="shared" si="3"/>
        <v>Mencapai kompetensi dengan baik dalam hal</v>
      </c>
      <c r="S22" s="7">
        <v>85</v>
      </c>
      <c r="T22" s="15" t="str">
        <f t="shared" si="4"/>
        <v>Mencapai kompetensi dengan baik dalam hal</v>
      </c>
      <c r="U22" s="7">
        <v>80</v>
      </c>
      <c r="V22" s="15" t="str">
        <f t="shared" si="5"/>
        <v>Mencapai kompetensi dengan baik dalam hal</v>
      </c>
      <c r="W22" s="7">
        <v>80</v>
      </c>
      <c r="X22" s="15" t="str">
        <f t="shared" si="6"/>
        <v>Mencapai kompetensi dengan baik dalam hal</v>
      </c>
      <c r="Y22" s="7">
        <v>77</v>
      </c>
      <c r="Z22" s="15" t="str">
        <f t="shared" si="7"/>
        <v>Mencapai kompetensi dengan baik dalam hal</v>
      </c>
      <c r="AA22" s="7">
        <v>78</v>
      </c>
      <c r="AB22" s="15" t="str">
        <f t="shared" si="8"/>
        <v>Mencapai kompetensi dengan baik dalam hal</v>
      </c>
      <c r="AC22" s="7">
        <v>82</v>
      </c>
      <c r="AD22" s="15" t="str">
        <f t="shared" si="9"/>
        <v>Mencapai kompetensi dengan baik dalam hal</v>
      </c>
      <c r="AE22" s="7">
        <v>90</v>
      </c>
      <c r="AF22" s="15" t="str">
        <f t="shared" si="10"/>
        <v>Mencapai kompetensi dengan sangat baik dalam hal</v>
      </c>
      <c r="AG22" s="7">
        <v>87</v>
      </c>
      <c r="AH22" s="15" t="str">
        <f t="shared" si="11"/>
        <v>Mencapai kompetensi dengan baik dalam hal</v>
      </c>
      <c r="AI22" s="7">
        <v>85</v>
      </c>
      <c r="AJ22" s="15" t="str">
        <f t="shared" si="12"/>
        <v>Mencapai kompetensi dengan baik dalam hal</v>
      </c>
      <c r="AK22" s="7">
        <v>87</v>
      </c>
      <c r="AL22" s="15" t="str">
        <f t="shared" si="13"/>
        <v>Mencapai kompetensi dengan baik dalam hal</v>
      </c>
      <c r="AM22" s="7">
        <v>85</v>
      </c>
      <c r="AN22" s="15" t="str">
        <f t="shared" si="14"/>
        <v>Mencapai kompetensi dengan baik dalam hal</v>
      </c>
      <c r="AO22" s="53">
        <f t="shared" si="19"/>
        <v>86.8</v>
      </c>
      <c r="AP22" s="7">
        <v>78</v>
      </c>
      <c r="AQ22" s="15" t="str">
        <f t="shared" si="15"/>
        <v>Mencapai kompetensi dengan baik dalam hal</v>
      </c>
      <c r="AR22" s="7">
        <v>80</v>
      </c>
      <c r="AS22" s="15" t="str">
        <f t="shared" si="16"/>
        <v>Mencapai kompetensi dengan baik dalam hal</v>
      </c>
      <c r="AT22" s="7" t="s">
        <v>81</v>
      </c>
      <c r="AU22" s="7" t="s">
        <v>81</v>
      </c>
      <c r="AV22" s="7" t="s">
        <v>81</v>
      </c>
      <c r="AW22" s="23">
        <v>1</v>
      </c>
      <c r="AX22" s="7" t="s">
        <v>82</v>
      </c>
      <c r="AY22" s="18" t="s">
        <v>83</v>
      </c>
      <c r="AZ22" s="7" t="s">
        <v>86</v>
      </c>
      <c r="BA22" s="15" t="str">
        <f t="shared" si="17"/>
        <v>Sangat baik</v>
      </c>
      <c r="BB22" s="23">
        <v>2</v>
      </c>
      <c r="BC22" s="18" t="s">
        <v>103</v>
      </c>
      <c r="BD22" s="18" t="s">
        <v>83</v>
      </c>
      <c r="BE22" s="7" t="s">
        <v>86</v>
      </c>
      <c r="BF22" s="15" t="str">
        <f t="shared" si="18"/>
        <v>Sangat baik</v>
      </c>
      <c r="BG22" s="7"/>
      <c r="BH22" s="7"/>
      <c r="BI22" s="23"/>
      <c r="BJ22" s="23"/>
      <c r="BK22" s="15"/>
      <c r="BL22" s="54"/>
      <c r="BM22" s="54"/>
      <c r="BN22" s="54"/>
    </row>
    <row r="23" spans="1:66" ht="24.95" customHeight="1" thickTop="1" thickBot="1" x14ac:dyDescent="0.3">
      <c r="A23" s="23">
        <v>22</v>
      </c>
      <c r="B23" s="7">
        <v>2525460</v>
      </c>
      <c r="C23" s="7" t="s">
        <v>243</v>
      </c>
      <c r="D23" s="17" t="s">
        <v>244</v>
      </c>
      <c r="E23" s="23" t="s">
        <v>195</v>
      </c>
      <c r="F23" s="7" t="s">
        <v>196</v>
      </c>
      <c r="G23" s="8" t="s">
        <v>197</v>
      </c>
      <c r="H23" s="9" t="s">
        <v>198</v>
      </c>
      <c r="I23" s="10" t="s">
        <v>76</v>
      </c>
      <c r="J23" s="11" t="s">
        <v>77</v>
      </c>
      <c r="K23" s="7">
        <v>83</v>
      </c>
      <c r="L23" s="15" t="str">
        <f t="shared" si="0"/>
        <v>Mencapai kompetensi dengan baik dalam hal</v>
      </c>
      <c r="M23" s="7">
        <v>77</v>
      </c>
      <c r="N23" s="15" t="str">
        <f t="shared" si="1"/>
        <v>Mencapai kompetensi dengan baik dalam hal</v>
      </c>
      <c r="O23" s="7">
        <v>81</v>
      </c>
      <c r="P23" s="15" t="str">
        <f t="shared" si="2"/>
        <v>Mencapai kompetensi dengan baik dalam hal</v>
      </c>
      <c r="Q23" s="7">
        <v>80</v>
      </c>
      <c r="R23" s="15" t="str">
        <f t="shared" si="3"/>
        <v>Mencapai kompetensi dengan baik dalam hal</v>
      </c>
      <c r="S23" s="7">
        <v>87</v>
      </c>
      <c r="T23" s="15" t="str">
        <f t="shared" si="4"/>
        <v>Mencapai kompetensi dengan baik dalam hal</v>
      </c>
      <c r="U23" s="7">
        <v>75</v>
      </c>
      <c r="V23" s="15" t="str">
        <f t="shared" si="5"/>
        <v>Mencapai kompetensi dengan baik dalam hal</v>
      </c>
      <c r="W23" s="7">
        <v>78</v>
      </c>
      <c r="X23" s="15" t="str">
        <f t="shared" si="6"/>
        <v>Mencapai kompetensi dengan baik dalam hal</v>
      </c>
      <c r="Y23" s="7">
        <v>79</v>
      </c>
      <c r="Z23" s="15" t="str">
        <f t="shared" si="7"/>
        <v>Mencapai kompetensi dengan baik dalam hal</v>
      </c>
      <c r="AA23" s="7">
        <v>78</v>
      </c>
      <c r="AB23" s="15" t="str">
        <f t="shared" si="8"/>
        <v>Mencapai kompetensi dengan baik dalam hal</v>
      </c>
      <c r="AC23" s="7">
        <v>80</v>
      </c>
      <c r="AD23" s="15" t="str">
        <f t="shared" si="9"/>
        <v>Mencapai kompetensi dengan baik dalam hal</v>
      </c>
      <c r="AE23" s="7">
        <v>90</v>
      </c>
      <c r="AF23" s="15" t="str">
        <f t="shared" si="10"/>
        <v>Mencapai kompetensi dengan sangat baik dalam hal</v>
      </c>
      <c r="AG23" s="7">
        <v>86</v>
      </c>
      <c r="AH23" s="15" t="str">
        <f t="shared" si="11"/>
        <v>Mencapai kompetensi dengan baik dalam hal</v>
      </c>
      <c r="AI23" s="7">
        <v>78</v>
      </c>
      <c r="AJ23" s="15" t="str">
        <f t="shared" si="12"/>
        <v>Mencapai kompetensi dengan baik dalam hal</v>
      </c>
      <c r="AK23" s="7">
        <v>80</v>
      </c>
      <c r="AL23" s="15" t="str">
        <f t="shared" si="13"/>
        <v>Mencapai kompetensi dengan baik dalam hal</v>
      </c>
      <c r="AM23" s="7">
        <v>78</v>
      </c>
      <c r="AN23" s="15" t="str">
        <f t="shared" si="14"/>
        <v>Mencapai kompetensi dengan baik dalam hal</v>
      </c>
      <c r="AO23" s="53">
        <f t="shared" si="19"/>
        <v>82.4</v>
      </c>
      <c r="AP23" s="7">
        <v>78</v>
      </c>
      <c r="AQ23" s="15" t="str">
        <f t="shared" si="15"/>
        <v>Mencapai kompetensi dengan baik dalam hal</v>
      </c>
      <c r="AR23" s="7">
        <v>76</v>
      </c>
      <c r="AS23" s="15" t="str">
        <f t="shared" si="16"/>
        <v>Mencapai kompetensi dengan baik dalam hal</v>
      </c>
      <c r="AT23" s="7">
        <v>2</v>
      </c>
      <c r="AU23" s="7" t="s">
        <v>81</v>
      </c>
      <c r="AV23" s="7" t="s">
        <v>81</v>
      </c>
      <c r="AW23" s="23">
        <v>1</v>
      </c>
      <c r="AX23" s="23" t="s">
        <v>82</v>
      </c>
      <c r="AY23" s="18" t="s">
        <v>83</v>
      </c>
      <c r="AZ23" s="23" t="s">
        <v>84</v>
      </c>
      <c r="BA23" s="15" t="str">
        <f t="shared" si="17"/>
        <v>Baik</v>
      </c>
      <c r="BB23" s="23">
        <v>2</v>
      </c>
      <c r="BC23" s="18" t="s">
        <v>170</v>
      </c>
      <c r="BD23" s="18" t="s">
        <v>83</v>
      </c>
      <c r="BE23" s="7" t="s">
        <v>84</v>
      </c>
      <c r="BF23" s="15" t="str">
        <f t="shared" si="18"/>
        <v>Baik</v>
      </c>
      <c r="BG23" s="7"/>
      <c r="BH23" s="23"/>
      <c r="BI23" s="23"/>
      <c r="BJ23" s="23"/>
      <c r="BK23" s="15"/>
      <c r="BL23" s="54"/>
      <c r="BM23" s="54"/>
      <c r="BN23" s="54"/>
    </row>
    <row r="24" spans="1:66" ht="24.95" customHeight="1" thickTop="1" thickBot="1" x14ac:dyDescent="0.3">
      <c r="A24" s="23">
        <v>23</v>
      </c>
      <c r="B24" s="7">
        <v>2525461</v>
      </c>
      <c r="C24" s="7" t="s">
        <v>245</v>
      </c>
      <c r="D24" s="17" t="s">
        <v>246</v>
      </c>
      <c r="E24" s="23" t="s">
        <v>195</v>
      </c>
      <c r="F24" s="7" t="s">
        <v>196</v>
      </c>
      <c r="G24" s="8" t="s">
        <v>197</v>
      </c>
      <c r="H24" s="9" t="s">
        <v>198</v>
      </c>
      <c r="I24" s="10" t="s">
        <v>76</v>
      </c>
      <c r="J24" s="11" t="s">
        <v>77</v>
      </c>
      <c r="K24" s="7">
        <v>80</v>
      </c>
      <c r="L24" s="15" t="str">
        <f t="shared" si="0"/>
        <v>Mencapai kompetensi dengan baik dalam hal</v>
      </c>
      <c r="M24" s="7">
        <v>76</v>
      </c>
      <c r="N24" s="15" t="str">
        <f t="shared" si="1"/>
        <v>Mencapai kompetensi dengan baik dalam hal</v>
      </c>
      <c r="O24" s="7">
        <v>81</v>
      </c>
      <c r="P24" s="15" t="str">
        <f t="shared" si="2"/>
        <v>Mencapai kompetensi dengan baik dalam hal</v>
      </c>
      <c r="Q24" s="7">
        <v>82</v>
      </c>
      <c r="R24" s="15" t="str">
        <f t="shared" si="3"/>
        <v>Mencapai kompetensi dengan baik dalam hal</v>
      </c>
      <c r="S24" s="7">
        <v>84</v>
      </c>
      <c r="T24" s="15" t="str">
        <f t="shared" si="4"/>
        <v>Mencapai kompetensi dengan baik dalam hal</v>
      </c>
      <c r="U24" s="7">
        <v>79</v>
      </c>
      <c r="V24" s="15" t="str">
        <f t="shared" si="5"/>
        <v>Mencapai kompetensi dengan baik dalam hal</v>
      </c>
      <c r="W24" s="7">
        <v>78</v>
      </c>
      <c r="X24" s="15" t="str">
        <f t="shared" si="6"/>
        <v>Mencapai kompetensi dengan baik dalam hal</v>
      </c>
      <c r="Y24" s="7">
        <v>78</v>
      </c>
      <c r="Z24" s="15" t="str">
        <f t="shared" si="7"/>
        <v>Mencapai kompetensi dengan baik dalam hal</v>
      </c>
      <c r="AA24" s="7">
        <v>79</v>
      </c>
      <c r="AB24" s="15" t="str">
        <f t="shared" si="8"/>
        <v>Mencapai kompetensi dengan baik dalam hal</v>
      </c>
      <c r="AC24" s="7">
        <v>84</v>
      </c>
      <c r="AD24" s="15" t="str">
        <f t="shared" si="9"/>
        <v>Mencapai kompetensi dengan baik dalam hal</v>
      </c>
      <c r="AE24" s="7">
        <v>83</v>
      </c>
      <c r="AF24" s="15" t="str">
        <f t="shared" si="10"/>
        <v>Mencapai kompetensi dengan baik dalam hal</v>
      </c>
      <c r="AG24" s="7">
        <v>81</v>
      </c>
      <c r="AH24" s="15" t="str">
        <f t="shared" si="11"/>
        <v>Mencapai kompetensi dengan baik dalam hal</v>
      </c>
      <c r="AI24" s="7">
        <v>83</v>
      </c>
      <c r="AJ24" s="15" t="str">
        <f t="shared" si="12"/>
        <v>Mencapai kompetensi dengan baik dalam hal</v>
      </c>
      <c r="AK24" s="7">
        <v>81</v>
      </c>
      <c r="AL24" s="15" t="str">
        <f t="shared" si="13"/>
        <v>Mencapai kompetensi dengan baik dalam hal</v>
      </c>
      <c r="AM24" s="7">
        <v>80</v>
      </c>
      <c r="AN24" s="15" t="str">
        <f t="shared" si="14"/>
        <v>Mencapai kompetensi dengan baik dalam hal</v>
      </c>
      <c r="AO24" s="53">
        <f t="shared" si="19"/>
        <v>81.599999999999994</v>
      </c>
      <c r="AP24" s="7">
        <v>79</v>
      </c>
      <c r="AQ24" s="15" t="str">
        <f t="shared" si="15"/>
        <v>Mencapai kompetensi dengan baik dalam hal</v>
      </c>
      <c r="AR24" s="7">
        <v>80</v>
      </c>
      <c r="AS24" s="15" t="str">
        <f t="shared" si="16"/>
        <v>Mencapai kompetensi dengan baik dalam hal</v>
      </c>
      <c r="AT24" s="7" t="s">
        <v>81</v>
      </c>
      <c r="AU24" s="7" t="s">
        <v>81</v>
      </c>
      <c r="AV24" s="7" t="s">
        <v>81</v>
      </c>
      <c r="AW24" s="23">
        <v>1</v>
      </c>
      <c r="AX24" s="7" t="s">
        <v>82</v>
      </c>
      <c r="AY24" s="18" t="s">
        <v>83</v>
      </c>
      <c r="AZ24" s="7" t="s">
        <v>86</v>
      </c>
      <c r="BA24" s="15" t="str">
        <f t="shared" si="17"/>
        <v>Sangat baik</v>
      </c>
      <c r="BB24" s="23">
        <v>2</v>
      </c>
      <c r="BC24" s="18" t="s">
        <v>212</v>
      </c>
      <c r="BD24" s="18" t="s">
        <v>83</v>
      </c>
      <c r="BE24" s="7" t="s">
        <v>86</v>
      </c>
      <c r="BF24" s="15" t="str">
        <f t="shared" si="18"/>
        <v>Sangat baik</v>
      </c>
      <c r="BG24" s="7"/>
      <c r="BH24" s="7"/>
      <c r="BI24" s="23"/>
      <c r="BJ24" s="23"/>
      <c r="BK24" s="15"/>
      <c r="BL24" s="54"/>
      <c r="BM24" s="54"/>
      <c r="BN24" s="54"/>
    </row>
    <row r="25" spans="1:66" ht="24.95" customHeight="1" thickTop="1" thickBot="1" x14ac:dyDescent="0.3">
      <c r="A25" s="23">
        <v>24</v>
      </c>
      <c r="B25" s="7">
        <v>2525462</v>
      </c>
      <c r="C25" s="7" t="s">
        <v>247</v>
      </c>
      <c r="D25" s="17" t="s">
        <v>248</v>
      </c>
      <c r="E25" s="23" t="s">
        <v>195</v>
      </c>
      <c r="F25" s="7" t="s">
        <v>196</v>
      </c>
      <c r="G25" s="8" t="s">
        <v>197</v>
      </c>
      <c r="H25" s="9" t="s">
        <v>198</v>
      </c>
      <c r="I25" s="10" t="s">
        <v>76</v>
      </c>
      <c r="J25" s="11" t="s">
        <v>77</v>
      </c>
      <c r="K25" s="7">
        <v>81</v>
      </c>
      <c r="L25" s="15" t="str">
        <f t="shared" si="0"/>
        <v>Mencapai kompetensi dengan baik dalam hal</v>
      </c>
      <c r="M25" s="7">
        <v>78</v>
      </c>
      <c r="N25" s="15" t="str">
        <f t="shared" si="1"/>
        <v>Mencapai kompetensi dengan baik dalam hal</v>
      </c>
      <c r="O25" s="7">
        <v>82</v>
      </c>
      <c r="P25" s="15" t="str">
        <f t="shared" si="2"/>
        <v>Mencapai kompetensi dengan baik dalam hal</v>
      </c>
      <c r="Q25" s="7">
        <v>85</v>
      </c>
      <c r="R25" s="15" t="str">
        <f t="shared" si="3"/>
        <v>Mencapai kompetensi dengan baik dalam hal</v>
      </c>
      <c r="S25" s="7">
        <v>85</v>
      </c>
      <c r="T25" s="15" t="str">
        <f t="shared" si="4"/>
        <v>Mencapai kompetensi dengan baik dalam hal</v>
      </c>
      <c r="U25" s="7">
        <v>82</v>
      </c>
      <c r="V25" s="15" t="str">
        <f t="shared" si="5"/>
        <v>Mencapai kompetensi dengan baik dalam hal</v>
      </c>
      <c r="W25" s="7">
        <v>80</v>
      </c>
      <c r="X25" s="15" t="str">
        <f t="shared" si="6"/>
        <v>Mencapai kompetensi dengan baik dalam hal</v>
      </c>
      <c r="Y25" s="7">
        <v>82</v>
      </c>
      <c r="Z25" s="15" t="str">
        <f t="shared" si="7"/>
        <v>Mencapai kompetensi dengan baik dalam hal</v>
      </c>
      <c r="AA25" s="7">
        <v>78</v>
      </c>
      <c r="AB25" s="15" t="str">
        <f t="shared" si="8"/>
        <v>Mencapai kompetensi dengan baik dalam hal</v>
      </c>
      <c r="AC25" s="7">
        <v>82</v>
      </c>
      <c r="AD25" s="15" t="str">
        <f t="shared" si="9"/>
        <v>Mencapai kompetensi dengan baik dalam hal</v>
      </c>
      <c r="AE25" s="7">
        <v>92</v>
      </c>
      <c r="AF25" s="15" t="str">
        <f t="shared" si="10"/>
        <v>Mencapai kompetensi dengan sangat baik dalam hal</v>
      </c>
      <c r="AG25" s="7">
        <v>86</v>
      </c>
      <c r="AH25" s="15" t="str">
        <f t="shared" si="11"/>
        <v>Mencapai kompetensi dengan baik dalam hal</v>
      </c>
      <c r="AI25" s="7">
        <v>85</v>
      </c>
      <c r="AJ25" s="15" t="str">
        <f t="shared" si="12"/>
        <v>Mencapai kompetensi dengan baik dalam hal</v>
      </c>
      <c r="AK25" s="7">
        <v>86</v>
      </c>
      <c r="AL25" s="15" t="str">
        <f t="shared" si="13"/>
        <v>Mencapai kompetensi dengan baik dalam hal</v>
      </c>
      <c r="AM25" s="7">
        <v>88</v>
      </c>
      <c r="AN25" s="15" t="str">
        <f t="shared" si="14"/>
        <v>Mencapai kompetensi dengan baik dalam hal</v>
      </c>
      <c r="AO25" s="53">
        <f t="shared" si="19"/>
        <v>87.4</v>
      </c>
      <c r="AP25" s="7">
        <v>78</v>
      </c>
      <c r="AQ25" s="15" t="str">
        <f t="shared" si="15"/>
        <v>Mencapai kompetensi dengan baik dalam hal</v>
      </c>
      <c r="AR25" s="7">
        <v>81</v>
      </c>
      <c r="AS25" s="15" t="str">
        <f t="shared" si="16"/>
        <v>Mencapai kompetensi dengan baik dalam hal</v>
      </c>
      <c r="AT25" s="7" t="s">
        <v>81</v>
      </c>
      <c r="AU25" s="7" t="s">
        <v>81</v>
      </c>
      <c r="AV25" s="7" t="s">
        <v>81</v>
      </c>
      <c r="AW25" s="23">
        <v>1</v>
      </c>
      <c r="AX25" s="23" t="s">
        <v>82</v>
      </c>
      <c r="AY25" s="18" t="s">
        <v>83</v>
      </c>
      <c r="AZ25" s="23" t="s">
        <v>86</v>
      </c>
      <c r="BA25" s="15" t="str">
        <f t="shared" si="17"/>
        <v>Sangat baik</v>
      </c>
      <c r="BB25" s="23">
        <v>2</v>
      </c>
      <c r="BC25" s="18" t="s">
        <v>227</v>
      </c>
      <c r="BD25" s="18" t="s">
        <v>83</v>
      </c>
      <c r="BE25" s="7" t="s">
        <v>84</v>
      </c>
      <c r="BF25" s="15" t="str">
        <f t="shared" si="18"/>
        <v>Baik</v>
      </c>
      <c r="BG25" s="7"/>
      <c r="BH25" s="23"/>
      <c r="BI25" s="23"/>
      <c r="BJ25" s="23"/>
      <c r="BK25" s="15"/>
      <c r="BL25" s="54"/>
      <c r="BM25" s="54"/>
      <c r="BN25" s="54"/>
    </row>
    <row r="26" spans="1:66" ht="24.95" customHeight="1" thickTop="1" thickBot="1" x14ac:dyDescent="0.3">
      <c r="A26" s="23">
        <v>25</v>
      </c>
      <c r="B26" s="7">
        <v>2525463</v>
      </c>
      <c r="C26" s="7" t="s">
        <v>249</v>
      </c>
      <c r="D26" s="17" t="s">
        <v>250</v>
      </c>
      <c r="E26" s="23" t="s">
        <v>195</v>
      </c>
      <c r="F26" s="7" t="s">
        <v>196</v>
      </c>
      <c r="G26" s="8" t="s">
        <v>197</v>
      </c>
      <c r="H26" s="9" t="s">
        <v>198</v>
      </c>
      <c r="I26" s="10" t="s">
        <v>76</v>
      </c>
      <c r="J26" s="11" t="s">
        <v>77</v>
      </c>
      <c r="K26" s="7">
        <v>80</v>
      </c>
      <c r="L26" s="15" t="str">
        <f t="shared" si="0"/>
        <v>Mencapai kompetensi dengan baik dalam hal</v>
      </c>
      <c r="M26" s="7">
        <v>77</v>
      </c>
      <c r="N26" s="15" t="str">
        <f t="shared" si="1"/>
        <v>Mencapai kompetensi dengan baik dalam hal</v>
      </c>
      <c r="O26" s="7">
        <v>79</v>
      </c>
      <c r="P26" s="15" t="str">
        <f t="shared" si="2"/>
        <v>Mencapai kompetensi dengan baik dalam hal</v>
      </c>
      <c r="Q26" s="7">
        <v>82</v>
      </c>
      <c r="R26" s="15" t="str">
        <f t="shared" si="3"/>
        <v>Mencapai kompetensi dengan baik dalam hal</v>
      </c>
      <c r="S26" s="7">
        <v>76</v>
      </c>
      <c r="T26" s="15" t="str">
        <f t="shared" si="4"/>
        <v>Mencapai kompetensi dengan baik dalam hal</v>
      </c>
      <c r="U26" s="7">
        <v>75</v>
      </c>
      <c r="V26" s="15" t="str">
        <f t="shared" si="5"/>
        <v>Mencapai kompetensi dengan baik dalam hal</v>
      </c>
      <c r="W26" s="7">
        <v>75</v>
      </c>
      <c r="X26" s="15" t="str">
        <f t="shared" si="6"/>
        <v>Mencapai kompetensi dengan baik dalam hal</v>
      </c>
      <c r="Y26" s="7">
        <v>75</v>
      </c>
      <c r="Z26" s="15" t="str">
        <f t="shared" si="7"/>
        <v>Mencapai kompetensi dengan baik dalam hal</v>
      </c>
      <c r="AA26" s="7">
        <v>78</v>
      </c>
      <c r="AB26" s="15" t="str">
        <f t="shared" si="8"/>
        <v>Mencapai kompetensi dengan baik dalam hal</v>
      </c>
      <c r="AC26" s="7">
        <v>77</v>
      </c>
      <c r="AD26" s="15" t="str">
        <f t="shared" si="9"/>
        <v>Mencapai kompetensi dengan baik dalam hal</v>
      </c>
      <c r="AE26" s="7">
        <v>76</v>
      </c>
      <c r="AF26" s="15" t="str">
        <f t="shared" si="10"/>
        <v>Mencapai kompetensi dengan baik dalam hal</v>
      </c>
      <c r="AG26" s="7">
        <v>76</v>
      </c>
      <c r="AH26" s="15" t="str">
        <f t="shared" si="11"/>
        <v>Mencapai kompetensi dengan baik dalam hal</v>
      </c>
      <c r="AI26" s="7">
        <v>78</v>
      </c>
      <c r="AJ26" s="15" t="str">
        <f t="shared" si="12"/>
        <v>Mencapai kompetensi dengan baik dalam hal</v>
      </c>
      <c r="AK26" s="7">
        <v>80</v>
      </c>
      <c r="AL26" s="15" t="str">
        <f t="shared" si="13"/>
        <v>Mencapai kompetensi dengan baik dalam hal</v>
      </c>
      <c r="AM26" s="7">
        <v>79</v>
      </c>
      <c r="AN26" s="15" t="str">
        <f t="shared" si="14"/>
        <v>Mencapai kompetensi dengan baik dalam hal</v>
      </c>
      <c r="AO26" s="53">
        <f t="shared" si="19"/>
        <v>77.8</v>
      </c>
      <c r="AP26" s="7">
        <v>78</v>
      </c>
      <c r="AQ26" s="15" t="str">
        <f t="shared" si="15"/>
        <v>Mencapai kompetensi dengan baik dalam hal</v>
      </c>
      <c r="AR26" s="7">
        <v>75</v>
      </c>
      <c r="AS26" s="15" t="str">
        <f t="shared" si="16"/>
        <v>Mencapai kompetensi dengan baik dalam hal</v>
      </c>
      <c r="AT26" s="7" t="s">
        <v>81</v>
      </c>
      <c r="AU26" s="7" t="s">
        <v>81</v>
      </c>
      <c r="AV26" s="7" t="s">
        <v>81</v>
      </c>
      <c r="AW26" s="26">
        <v>1</v>
      </c>
      <c r="AX26" s="27" t="s">
        <v>82</v>
      </c>
      <c r="AY26" s="35" t="s">
        <v>83</v>
      </c>
      <c r="AZ26" s="27" t="s">
        <v>84</v>
      </c>
      <c r="BA26" s="15" t="str">
        <f t="shared" si="17"/>
        <v>Baik</v>
      </c>
      <c r="BB26" s="26">
        <v>2</v>
      </c>
      <c r="BC26" s="35" t="s">
        <v>205</v>
      </c>
      <c r="BD26" s="35" t="s">
        <v>83</v>
      </c>
      <c r="BE26" s="27" t="s">
        <v>86</v>
      </c>
      <c r="BF26" s="15" t="str">
        <f t="shared" si="18"/>
        <v>Sangat baik</v>
      </c>
      <c r="BG26" s="27"/>
      <c r="BH26" s="27"/>
      <c r="BI26" s="26"/>
      <c r="BJ26" s="26"/>
      <c r="BK26" s="15"/>
      <c r="BL26" s="54"/>
      <c r="BM26" s="54"/>
      <c r="BN26" s="54"/>
    </row>
    <row r="27" spans="1:66" ht="24.95" customHeight="1" thickTop="1" thickBot="1" x14ac:dyDescent="0.3">
      <c r="A27" s="23">
        <v>26</v>
      </c>
      <c r="B27" s="7">
        <v>2525464</v>
      </c>
      <c r="C27" s="7" t="s">
        <v>251</v>
      </c>
      <c r="D27" s="17" t="s">
        <v>252</v>
      </c>
      <c r="E27" s="23" t="s">
        <v>195</v>
      </c>
      <c r="F27" s="7" t="s">
        <v>196</v>
      </c>
      <c r="G27" s="8" t="s">
        <v>197</v>
      </c>
      <c r="H27" s="9" t="s">
        <v>198</v>
      </c>
      <c r="I27" s="10" t="s">
        <v>76</v>
      </c>
      <c r="J27" s="11" t="s">
        <v>77</v>
      </c>
      <c r="K27" s="7">
        <v>80</v>
      </c>
      <c r="L27" s="15" t="str">
        <f t="shared" si="0"/>
        <v>Mencapai kompetensi dengan baik dalam hal</v>
      </c>
      <c r="M27" s="7">
        <v>79</v>
      </c>
      <c r="N27" s="15" t="str">
        <f t="shared" si="1"/>
        <v>Mencapai kompetensi dengan baik dalam hal</v>
      </c>
      <c r="O27" s="7">
        <v>81</v>
      </c>
      <c r="P27" s="15" t="str">
        <f t="shared" si="2"/>
        <v>Mencapai kompetensi dengan baik dalam hal</v>
      </c>
      <c r="Q27" s="7">
        <v>82</v>
      </c>
      <c r="R27" s="15" t="str">
        <f t="shared" si="3"/>
        <v>Mencapai kompetensi dengan baik dalam hal</v>
      </c>
      <c r="S27" s="7">
        <v>84</v>
      </c>
      <c r="T27" s="15" t="str">
        <f t="shared" si="4"/>
        <v>Mencapai kompetensi dengan baik dalam hal</v>
      </c>
      <c r="U27" s="7">
        <v>75</v>
      </c>
      <c r="V27" s="15" t="str">
        <f t="shared" si="5"/>
        <v>Mencapai kompetensi dengan baik dalam hal</v>
      </c>
      <c r="W27" s="7">
        <v>78</v>
      </c>
      <c r="X27" s="15" t="str">
        <f t="shared" si="6"/>
        <v>Mencapai kompetensi dengan baik dalam hal</v>
      </c>
      <c r="Y27" s="7">
        <v>78</v>
      </c>
      <c r="Z27" s="15" t="str">
        <f t="shared" si="7"/>
        <v>Mencapai kompetensi dengan baik dalam hal</v>
      </c>
      <c r="AA27" s="7">
        <v>78</v>
      </c>
      <c r="AB27" s="15" t="str">
        <f t="shared" si="8"/>
        <v>Mencapai kompetensi dengan baik dalam hal</v>
      </c>
      <c r="AC27" s="7">
        <v>82</v>
      </c>
      <c r="AD27" s="15" t="str">
        <f t="shared" si="9"/>
        <v>Mencapai kompetensi dengan baik dalam hal</v>
      </c>
      <c r="AE27" s="7">
        <v>92</v>
      </c>
      <c r="AF27" s="15" t="str">
        <f t="shared" si="10"/>
        <v>Mencapai kompetensi dengan sangat baik dalam hal</v>
      </c>
      <c r="AG27" s="7">
        <v>85</v>
      </c>
      <c r="AH27" s="15" t="str">
        <f t="shared" si="11"/>
        <v>Mencapai kompetensi dengan baik dalam hal</v>
      </c>
      <c r="AI27" s="7">
        <v>86</v>
      </c>
      <c r="AJ27" s="15" t="str">
        <f t="shared" si="12"/>
        <v>Mencapai kompetensi dengan baik dalam hal</v>
      </c>
      <c r="AK27" s="7">
        <v>84</v>
      </c>
      <c r="AL27" s="15" t="str">
        <f t="shared" si="13"/>
        <v>Mencapai kompetensi dengan baik dalam hal</v>
      </c>
      <c r="AM27" s="7">
        <v>84</v>
      </c>
      <c r="AN27" s="15" t="str">
        <f t="shared" si="14"/>
        <v>Mencapai kompetensi dengan baik dalam hal</v>
      </c>
      <c r="AO27" s="53">
        <f t="shared" si="19"/>
        <v>86.2</v>
      </c>
      <c r="AP27" s="7">
        <v>78</v>
      </c>
      <c r="AQ27" s="15" t="str">
        <f t="shared" si="15"/>
        <v>Mencapai kompetensi dengan baik dalam hal</v>
      </c>
      <c r="AR27" s="7">
        <v>79</v>
      </c>
      <c r="AS27" s="15" t="str">
        <f t="shared" si="16"/>
        <v>Mencapai kompetensi dengan baik dalam hal</v>
      </c>
      <c r="AT27" s="7" t="s">
        <v>81</v>
      </c>
      <c r="AU27" s="7" t="s">
        <v>81</v>
      </c>
      <c r="AV27" s="7" t="s">
        <v>81</v>
      </c>
      <c r="AW27" s="23">
        <v>1</v>
      </c>
      <c r="AX27" s="23" t="s">
        <v>82</v>
      </c>
      <c r="AY27" s="18" t="s">
        <v>83</v>
      </c>
      <c r="AZ27" s="23" t="s">
        <v>86</v>
      </c>
      <c r="BA27" s="15" t="str">
        <f t="shared" si="17"/>
        <v>Sangat baik</v>
      </c>
      <c r="BB27" s="23">
        <v>2</v>
      </c>
      <c r="BC27" s="18" t="s">
        <v>167</v>
      </c>
      <c r="BD27" s="18" t="s">
        <v>83</v>
      </c>
      <c r="BE27" s="7" t="s">
        <v>84</v>
      </c>
      <c r="BF27" s="15" t="str">
        <f t="shared" si="18"/>
        <v>Baik</v>
      </c>
      <c r="BG27" s="7"/>
      <c r="BH27" s="23"/>
      <c r="BI27" s="23"/>
      <c r="BJ27" s="23"/>
      <c r="BK27" s="15"/>
      <c r="BL27" s="54"/>
      <c r="BM27" s="54"/>
      <c r="BN27" s="54"/>
    </row>
    <row r="28" spans="1:66" ht="24.95" customHeight="1" thickTop="1" thickBot="1" x14ac:dyDescent="0.3">
      <c r="A28" s="23">
        <v>27</v>
      </c>
      <c r="B28" s="7">
        <v>2525465</v>
      </c>
      <c r="C28" s="7" t="s">
        <v>253</v>
      </c>
      <c r="D28" s="17" t="s">
        <v>254</v>
      </c>
      <c r="E28" s="23" t="s">
        <v>195</v>
      </c>
      <c r="F28" s="7" t="s">
        <v>196</v>
      </c>
      <c r="G28" s="8" t="s">
        <v>197</v>
      </c>
      <c r="H28" s="9" t="s">
        <v>198</v>
      </c>
      <c r="I28" s="10" t="s">
        <v>76</v>
      </c>
      <c r="J28" s="11" t="s">
        <v>77</v>
      </c>
      <c r="K28" s="7">
        <v>80</v>
      </c>
      <c r="L28" s="15" t="str">
        <f t="shared" si="0"/>
        <v>Mencapai kompetensi dengan baik dalam hal</v>
      </c>
      <c r="M28" s="7">
        <v>77</v>
      </c>
      <c r="N28" s="15" t="str">
        <f t="shared" si="1"/>
        <v>Mencapai kompetensi dengan baik dalam hal</v>
      </c>
      <c r="O28" s="7">
        <v>81</v>
      </c>
      <c r="P28" s="15" t="str">
        <f t="shared" si="2"/>
        <v>Mencapai kompetensi dengan baik dalam hal</v>
      </c>
      <c r="Q28" s="7">
        <v>84</v>
      </c>
      <c r="R28" s="15" t="str">
        <f t="shared" si="3"/>
        <v>Mencapai kompetensi dengan baik dalam hal</v>
      </c>
      <c r="S28" s="7">
        <v>84</v>
      </c>
      <c r="T28" s="15" t="str">
        <f t="shared" si="4"/>
        <v>Mencapai kompetensi dengan baik dalam hal</v>
      </c>
      <c r="U28" s="7">
        <v>80</v>
      </c>
      <c r="V28" s="15" t="str">
        <f t="shared" si="5"/>
        <v>Mencapai kompetensi dengan baik dalam hal</v>
      </c>
      <c r="W28" s="7">
        <v>77</v>
      </c>
      <c r="X28" s="15" t="str">
        <f t="shared" si="6"/>
        <v>Mencapai kompetensi dengan baik dalam hal</v>
      </c>
      <c r="Y28" s="7">
        <v>78</v>
      </c>
      <c r="Z28" s="15" t="str">
        <f t="shared" si="7"/>
        <v>Mencapai kompetensi dengan baik dalam hal</v>
      </c>
      <c r="AA28" s="7">
        <v>78</v>
      </c>
      <c r="AB28" s="15" t="str">
        <f t="shared" si="8"/>
        <v>Mencapai kompetensi dengan baik dalam hal</v>
      </c>
      <c r="AC28" s="7">
        <v>82</v>
      </c>
      <c r="AD28" s="15" t="str">
        <f t="shared" si="9"/>
        <v>Mencapai kompetensi dengan baik dalam hal</v>
      </c>
      <c r="AE28" s="7">
        <v>83</v>
      </c>
      <c r="AF28" s="15" t="str">
        <f t="shared" si="10"/>
        <v>Mencapai kompetensi dengan baik dalam hal</v>
      </c>
      <c r="AG28" s="7">
        <v>82</v>
      </c>
      <c r="AH28" s="15" t="str">
        <f t="shared" si="11"/>
        <v>Mencapai kompetensi dengan baik dalam hal</v>
      </c>
      <c r="AI28" s="7">
        <v>82</v>
      </c>
      <c r="AJ28" s="15" t="str">
        <f t="shared" si="12"/>
        <v>Mencapai kompetensi dengan baik dalam hal</v>
      </c>
      <c r="AK28" s="7">
        <v>84</v>
      </c>
      <c r="AL28" s="15" t="str">
        <f t="shared" si="13"/>
        <v>Mencapai kompetensi dengan baik dalam hal</v>
      </c>
      <c r="AM28" s="7">
        <v>77</v>
      </c>
      <c r="AN28" s="15" t="str">
        <f t="shared" si="14"/>
        <v>Mencapai kompetensi dengan baik dalam hal</v>
      </c>
      <c r="AO28" s="53">
        <f t="shared" si="19"/>
        <v>81.599999999999994</v>
      </c>
      <c r="AP28" s="7">
        <v>78</v>
      </c>
      <c r="AQ28" s="15" t="str">
        <f t="shared" si="15"/>
        <v>Mencapai kompetensi dengan baik dalam hal</v>
      </c>
      <c r="AR28" s="7">
        <v>76</v>
      </c>
      <c r="AS28" s="15" t="str">
        <f t="shared" si="16"/>
        <v>Mencapai kompetensi dengan baik dalam hal</v>
      </c>
      <c r="AT28" s="7">
        <v>1</v>
      </c>
      <c r="AU28" s="7" t="s">
        <v>81</v>
      </c>
      <c r="AV28" s="7" t="s">
        <v>81</v>
      </c>
      <c r="AW28" s="23">
        <v>1</v>
      </c>
      <c r="AX28" s="7" t="s">
        <v>82</v>
      </c>
      <c r="AY28" s="18" t="s">
        <v>83</v>
      </c>
      <c r="AZ28" s="7" t="s">
        <v>86</v>
      </c>
      <c r="BA28" s="15" t="str">
        <f t="shared" si="17"/>
        <v>Sangat baik</v>
      </c>
      <c r="BB28" s="23">
        <v>2</v>
      </c>
      <c r="BC28" s="18" t="s">
        <v>85</v>
      </c>
      <c r="BD28" s="18" t="s">
        <v>83</v>
      </c>
      <c r="BE28" s="7" t="s">
        <v>84</v>
      </c>
      <c r="BF28" s="15" t="str">
        <f t="shared" si="18"/>
        <v>Baik</v>
      </c>
      <c r="BG28" s="7">
        <v>3</v>
      </c>
      <c r="BH28" s="7" t="s">
        <v>87</v>
      </c>
      <c r="BI28" s="18" t="s">
        <v>83</v>
      </c>
      <c r="BJ28" s="23" t="s">
        <v>84</v>
      </c>
      <c r="BK28" s="15" t="str">
        <f>VLOOKUP(BJ28,grades4,2,TRUE)</f>
        <v>Baik</v>
      </c>
      <c r="BL28" s="54"/>
      <c r="BM28" s="54"/>
      <c r="BN28" s="54"/>
    </row>
    <row r="29" spans="1:66" ht="24.95" customHeight="1" thickTop="1" thickBot="1" x14ac:dyDescent="0.3">
      <c r="A29" s="23">
        <v>28</v>
      </c>
      <c r="B29" s="7">
        <v>2525466</v>
      </c>
      <c r="C29" s="7" t="s">
        <v>255</v>
      </c>
      <c r="D29" s="17" t="s">
        <v>256</v>
      </c>
      <c r="E29" s="23" t="s">
        <v>195</v>
      </c>
      <c r="F29" s="7" t="s">
        <v>196</v>
      </c>
      <c r="G29" s="8" t="s">
        <v>197</v>
      </c>
      <c r="H29" s="9" t="s">
        <v>198</v>
      </c>
      <c r="I29" s="10" t="s">
        <v>76</v>
      </c>
      <c r="J29" s="11" t="s">
        <v>77</v>
      </c>
      <c r="K29" s="7">
        <v>75</v>
      </c>
      <c r="L29" s="15" t="str">
        <f t="shared" si="0"/>
        <v>Mencapai kompetensi dengan baik dalam hal</v>
      </c>
      <c r="M29" s="7">
        <v>76</v>
      </c>
      <c r="N29" s="15" t="str">
        <f t="shared" si="1"/>
        <v>Mencapai kompetensi dengan baik dalam hal</v>
      </c>
      <c r="O29" s="7">
        <v>76</v>
      </c>
      <c r="P29" s="15" t="str">
        <f t="shared" si="2"/>
        <v>Mencapai kompetensi dengan baik dalam hal</v>
      </c>
      <c r="Q29" s="7">
        <v>82</v>
      </c>
      <c r="R29" s="15" t="str">
        <f t="shared" si="3"/>
        <v>Mencapai kompetensi dengan baik dalam hal</v>
      </c>
      <c r="S29" s="7">
        <v>72</v>
      </c>
      <c r="T29" s="15" t="str">
        <f t="shared" si="4"/>
        <v>Perlu peningkatan dalam hal</v>
      </c>
      <c r="U29" s="7">
        <v>75</v>
      </c>
      <c r="V29" s="15" t="str">
        <f t="shared" si="5"/>
        <v>Mencapai kompetensi dengan baik dalam hal</v>
      </c>
      <c r="W29" s="7">
        <v>77</v>
      </c>
      <c r="X29" s="15" t="str">
        <f t="shared" si="6"/>
        <v>Mencapai kompetensi dengan baik dalam hal</v>
      </c>
      <c r="Y29" s="7">
        <v>76</v>
      </c>
      <c r="Z29" s="15" t="str">
        <f t="shared" si="7"/>
        <v>Mencapai kompetensi dengan baik dalam hal</v>
      </c>
      <c r="AA29" s="7">
        <v>76</v>
      </c>
      <c r="AB29" s="15" t="str">
        <f t="shared" si="8"/>
        <v>Mencapai kompetensi dengan baik dalam hal</v>
      </c>
      <c r="AC29" s="7">
        <v>78</v>
      </c>
      <c r="AD29" s="15" t="str">
        <f t="shared" si="9"/>
        <v>Mencapai kompetensi dengan baik dalam hal</v>
      </c>
      <c r="AE29" s="7">
        <v>83</v>
      </c>
      <c r="AF29" s="15" t="str">
        <f t="shared" si="10"/>
        <v>Mencapai kompetensi dengan baik dalam hal</v>
      </c>
      <c r="AG29" s="7">
        <v>78</v>
      </c>
      <c r="AH29" s="15" t="str">
        <f t="shared" si="11"/>
        <v>Mencapai kompetensi dengan baik dalam hal</v>
      </c>
      <c r="AI29" s="7">
        <v>75</v>
      </c>
      <c r="AJ29" s="15" t="str">
        <f t="shared" si="12"/>
        <v>Mencapai kompetensi dengan baik dalam hal</v>
      </c>
      <c r="AK29" s="7">
        <v>75</v>
      </c>
      <c r="AL29" s="15" t="str">
        <f t="shared" si="13"/>
        <v>Mencapai kompetensi dengan baik dalam hal</v>
      </c>
      <c r="AM29" s="7">
        <v>75</v>
      </c>
      <c r="AN29" s="15" t="str">
        <f t="shared" si="14"/>
        <v>Mencapai kompetensi dengan baik dalam hal</v>
      </c>
      <c r="AO29" s="53">
        <f t="shared" si="19"/>
        <v>77.2</v>
      </c>
      <c r="AP29" s="7">
        <v>76</v>
      </c>
      <c r="AQ29" s="15" t="str">
        <f t="shared" si="15"/>
        <v>Mencapai kompetensi dengan baik dalam hal</v>
      </c>
      <c r="AR29" s="7">
        <v>75</v>
      </c>
      <c r="AS29" s="15" t="str">
        <f t="shared" si="16"/>
        <v>Mencapai kompetensi dengan baik dalam hal</v>
      </c>
      <c r="AT29" s="7" t="s">
        <v>81</v>
      </c>
      <c r="AU29" s="7" t="s">
        <v>81</v>
      </c>
      <c r="AV29" s="7" t="s">
        <v>81</v>
      </c>
      <c r="AW29" s="23">
        <v>1</v>
      </c>
      <c r="AX29" s="23" t="s">
        <v>82</v>
      </c>
      <c r="AY29" s="18" t="s">
        <v>83</v>
      </c>
      <c r="AZ29" s="23" t="s">
        <v>84</v>
      </c>
      <c r="BA29" s="15" t="str">
        <f t="shared" si="17"/>
        <v>Baik</v>
      </c>
      <c r="BB29" s="23">
        <v>2</v>
      </c>
      <c r="BC29" s="18" t="s">
        <v>170</v>
      </c>
      <c r="BD29" s="18" t="s">
        <v>83</v>
      </c>
      <c r="BE29" s="7" t="s">
        <v>86</v>
      </c>
      <c r="BF29" s="15" t="str">
        <f t="shared" si="18"/>
        <v>Sangat baik</v>
      </c>
      <c r="BG29" s="7"/>
      <c r="BH29" s="23"/>
      <c r="BI29" s="23"/>
      <c r="BJ29" s="23"/>
      <c r="BK29" s="15"/>
      <c r="BL29" s="54"/>
      <c r="BM29" s="54"/>
      <c r="BN29" s="54"/>
    </row>
    <row r="30" spans="1:66" ht="24.95" customHeight="1" thickTop="1" thickBot="1" x14ac:dyDescent="0.3">
      <c r="A30" s="23">
        <v>29</v>
      </c>
      <c r="B30" s="7">
        <v>2525467</v>
      </c>
      <c r="C30" s="7" t="s">
        <v>257</v>
      </c>
      <c r="D30" s="17" t="s">
        <v>258</v>
      </c>
      <c r="E30" s="23" t="s">
        <v>195</v>
      </c>
      <c r="F30" s="7" t="s">
        <v>196</v>
      </c>
      <c r="G30" s="8" t="s">
        <v>197</v>
      </c>
      <c r="H30" s="9" t="s">
        <v>198</v>
      </c>
      <c r="I30" s="10" t="s">
        <v>76</v>
      </c>
      <c r="J30" s="11" t="s">
        <v>77</v>
      </c>
      <c r="K30" s="7">
        <v>81</v>
      </c>
      <c r="L30" s="15" t="str">
        <f t="shared" si="0"/>
        <v>Mencapai kompetensi dengan baik dalam hal</v>
      </c>
      <c r="M30" s="7">
        <v>78</v>
      </c>
      <c r="N30" s="15" t="str">
        <f t="shared" si="1"/>
        <v>Mencapai kompetensi dengan baik dalam hal</v>
      </c>
      <c r="O30" s="7">
        <v>82</v>
      </c>
      <c r="P30" s="15" t="str">
        <f t="shared" si="2"/>
        <v>Mencapai kompetensi dengan baik dalam hal</v>
      </c>
      <c r="Q30" s="7">
        <v>82</v>
      </c>
      <c r="R30" s="15" t="str">
        <f t="shared" si="3"/>
        <v>Mencapai kompetensi dengan baik dalam hal</v>
      </c>
      <c r="S30" s="7">
        <v>82</v>
      </c>
      <c r="T30" s="15" t="str">
        <f t="shared" si="4"/>
        <v>Mencapai kompetensi dengan baik dalam hal</v>
      </c>
      <c r="U30" s="7">
        <v>80</v>
      </c>
      <c r="V30" s="15" t="str">
        <f t="shared" si="5"/>
        <v>Mencapai kompetensi dengan baik dalam hal</v>
      </c>
      <c r="W30" s="7">
        <v>77</v>
      </c>
      <c r="X30" s="15" t="str">
        <f t="shared" si="6"/>
        <v>Mencapai kompetensi dengan baik dalam hal</v>
      </c>
      <c r="Y30" s="7">
        <v>79</v>
      </c>
      <c r="Z30" s="15" t="str">
        <f t="shared" si="7"/>
        <v>Mencapai kompetensi dengan baik dalam hal</v>
      </c>
      <c r="AA30" s="7">
        <v>79</v>
      </c>
      <c r="AB30" s="15" t="str">
        <f t="shared" si="8"/>
        <v>Mencapai kompetensi dengan baik dalam hal</v>
      </c>
      <c r="AC30" s="7">
        <v>80</v>
      </c>
      <c r="AD30" s="15" t="str">
        <f t="shared" si="9"/>
        <v>Mencapai kompetensi dengan baik dalam hal</v>
      </c>
      <c r="AE30" s="7">
        <v>84</v>
      </c>
      <c r="AF30" s="15" t="str">
        <f t="shared" si="10"/>
        <v>Mencapai kompetensi dengan baik dalam hal</v>
      </c>
      <c r="AG30" s="7">
        <v>81</v>
      </c>
      <c r="AH30" s="15" t="str">
        <f t="shared" si="11"/>
        <v>Mencapai kompetensi dengan baik dalam hal</v>
      </c>
      <c r="AI30" s="7">
        <v>90</v>
      </c>
      <c r="AJ30" s="15" t="str">
        <f t="shared" si="12"/>
        <v>Mencapai kompetensi dengan sangat baik dalam hal</v>
      </c>
      <c r="AK30" s="7">
        <v>86</v>
      </c>
      <c r="AL30" s="15" t="str">
        <f t="shared" si="13"/>
        <v>Mencapai kompetensi dengan baik dalam hal</v>
      </c>
      <c r="AM30" s="7">
        <v>90</v>
      </c>
      <c r="AN30" s="15" t="str">
        <f t="shared" si="14"/>
        <v>Mencapai kompetensi dengan sangat baik dalam hal</v>
      </c>
      <c r="AO30" s="53">
        <f t="shared" si="19"/>
        <v>86.2</v>
      </c>
      <c r="AP30" s="7">
        <v>79</v>
      </c>
      <c r="AQ30" s="15" t="str">
        <f t="shared" si="15"/>
        <v>Mencapai kompetensi dengan baik dalam hal</v>
      </c>
      <c r="AR30" s="7">
        <v>76</v>
      </c>
      <c r="AS30" s="15" t="str">
        <f t="shared" si="16"/>
        <v>Mencapai kompetensi dengan baik dalam hal</v>
      </c>
      <c r="AT30" s="7">
        <v>1</v>
      </c>
      <c r="AU30" s="7" t="s">
        <v>81</v>
      </c>
      <c r="AV30" s="7" t="s">
        <v>81</v>
      </c>
      <c r="AW30" s="23">
        <v>1</v>
      </c>
      <c r="AX30" s="7" t="s">
        <v>82</v>
      </c>
      <c r="AY30" s="18" t="s">
        <v>83</v>
      </c>
      <c r="AZ30" s="7" t="s">
        <v>84</v>
      </c>
      <c r="BA30" s="15" t="str">
        <f t="shared" si="17"/>
        <v>Baik</v>
      </c>
      <c r="BB30" s="23">
        <v>2</v>
      </c>
      <c r="BC30" s="18" t="s">
        <v>85</v>
      </c>
      <c r="BD30" s="18" t="s">
        <v>83</v>
      </c>
      <c r="BE30" s="7" t="s">
        <v>84</v>
      </c>
      <c r="BF30" s="15" t="str">
        <f t="shared" si="18"/>
        <v>Baik</v>
      </c>
      <c r="BG30" s="7"/>
      <c r="BH30" s="7"/>
      <c r="BI30" s="23"/>
      <c r="BJ30" s="23"/>
      <c r="BK30" s="15"/>
      <c r="BL30" s="54"/>
      <c r="BM30" s="54"/>
      <c r="BN30" s="54"/>
    </row>
    <row r="31" spans="1:66" ht="24.95" customHeight="1" thickTop="1" thickBot="1" x14ac:dyDescent="0.3">
      <c r="A31" s="23">
        <v>30</v>
      </c>
      <c r="B31" s="7">
        <v>2525468</v>
      </c>
      <c r="C31" s="7" t="s">
        <v>259</v>
      </c>
      <c r="D31" s="17" t="s">
        <v>260</v>
      </c>
      <c r="E31" s="23" t="s">
        <v>195</v>
      </c>
      <c r="F31" s="7" t="s">
        <v>196</v>
      </c>
      <c r="G31" s="8" t="s">
        <v>197</v>
      </c>
      <c r="H31" s="9" t="s">
        <v>198</v>
      </c>
      <c r="I31" s="10" t="s">
        <v>76</v>
      </c>
      <c r="J31" s="11" t="s">
        <v>77</v>
      </c>
      <c r="K31" s="7">
        <v>78</v>
      </c>
      <c r="L31" s="15" t="str">
        <f t="shared" si="0"/>
        <v>Mencapai kompetensi dengan baik dalam hal</v>
      </c>
      <c r="M31" s="7">
        <v>77</v>
      </c>
      <c r="N31" s="15" t="str">
        <f t="shared" si="1"/>
        <v>Mencapai kompetensi dengan baik dalam hal</v>
      </c>
      <c r="O31" s="7">
        <v>80</v>
      </c>
      <c r="P31" s="15" t="str">
        <f t="shared" si="2"/>
        <v>Mencapai kompetensi dengan baik dalam hal</v>
      </c>
      <c r="Q31" s="7">
        <v>82</v>
      </c>
      <c r="R31" s="15" t="str">
        <f t="shared" si="3"/>
        <v>Mencapai kompetensi dengan baik dalam hal</v>
      </c>
      <c r="S31" s="7">
        <v>81</v>
      </c>
      <c r="T31" s="15" t="str">
        <f t="shared" si="4"/>
        <v>Mencapai kompetensi dengan baik dalam hal</v>
      </c>
      <c r="U31" s="7">
        <v>75</v>
      </c>
      <c r="V31" s="15" t="str">
        <f t="shared" si="5"/>
        <v>Mencapai kompetensi dengan baik dalam hal</v>
      </c>
      <c r="W31" s="7">
        <v>77</v>
      </c>
      <c r="X31" s="15" t="str">
        <f t="shared" si="6"/>
        <v>Mencapai kompetensi dengan baik dalam hal</v>
      </c>
      <c r="Y31" s="7">
        <v>77</v>
      </c>
      <c r="Z31" s="15" t="str">
        <f t="shared" si="7"/>
        <v>Mencapai kompetensi dengan baik dalam hal</v>
      </c>
      <c r="AA31" s="7">
        <v>78</v>
      </c>
      <c r="AB31" s="15" t="str">
        <f t="shared" si="8"/>
        <v>Mencapai kompetensi dengan baik dalam hal</v>
      </c>
      <c r="AC31" s="7">
        <v>82</v>
      </c>
      <c r="AD31" s="15" t="str">
        <f t="shared" si="9"/>
        <v>Mencapai kompetensi dengan baik dalam hal</v>
      </c>
      <c r="AE31" s="7">
        <v>75</v>
      </c>
      <c r="AF31" s="15" t="str">
        <f t="shared" si="10"/>
        <v>Mencapai kompetensi dengan baik dalam hal</v>
      </c>
      <c r="AG31" s="7">
        <v>79</v>
      </c>
      <c r="AH31" s="15" t="str">
        <f t="shared" si="11"/>
        <v>Mencapai kompetensi dengan baik dalam hal</v>
      </c>
      <c r="AI31" s="7">
        <v>82</v>
      </c>
      <c r="AJ31" s="15" t="str">
        <f t="shared" si="12"/>
        <v>Mencapai kompetensi dengan baik dalam hal</v>
      </c>
      <c r="AK31" s="7">
        <v>81</v>
      </c>
      <c r="AL31" s="15" t="str">
        <f t="shared" si="13"/>
        <v>Mencapai kompetensi dengan baik dalam hal</v>
      </c>
      <c r="AM31" s="7">
        <v>84</v>
      </c>
      <c r="AN31" s="15" t="str">
        <f t="shared" si="14"/>
        <v>Mencapai kompetensi dengan baik dalam hal</v>
      </c>
      <c r="AO31" s="53">
        <f t="shared" si="19"/>
        <v>80.2</v>
      </c>
      <c r="AP31" s="7">
        <v>78</v>
      </c>
      <c r="AQ31" s="15" t="str">
        <f t="shared" si="15"/>
        <v>Mencapai kompetensi dengan baik dalam hal</v>
      </c>
      <c r="AR31" s="7">
        <v>75</v>
      </c>
      <c r="AS31" s="15" t="str">
        <f t="shared" si="16"/>
        <v>Mencapai kompetensi dengan baik dalam hal</v>
      </c>
      <c r="AT31" s="7" t="s">
        <v>81</v>
      </c>
      <c r="AU31" s="7" t="s">
        <v>81</v>
      </c>
      <c r="AV31" s="7" t="s">
        <v>81</v>
      </c>
      <c r="AW31" s="23">
        <v>1</v>
      </c>
      <c r="AX31" s="23" t="s">
        <v>82</v>
      </c>
      <c r="AY31" s="18" t="s">
        <v>83</v>
      </c>
      <c r="AZ31" s="23" t="s">
        <v>86</v>
      </c>
      <c r="BA31" s="15" t="str">
        <f t="shared" si="17"/>
        <v>Sangat baik</v>
      </c>
      <c r="BB31" s="23">
        <v>2</v>
      </c>
      <c r="BC31" s="18" t="s">
        <v>212</v>
      </c>
      <c r="BD31" s="18" t="s">
        <v>83</v>
      </c>
      <c r="BE31" s="7" t="s">
        <v>86</v>
      </c>
      <c r="BF31" s="15" t="str">
        <f t="shared" si="18"/>
        <v>Sangat baik</v>
      </c>
      <c r="BG31" s="7"/>
      <c r="BH31" s="23"/>
      <c r="BI31" s="23"/>
      <c r="BJ31" s="23"/>
      <c r="BK31" s="15"/>
      <c r="BL31" s="54"/>
      <c r="BM31" s="54"/>
      <c r="BN31" s="54"/>
    </row>
    <row r="32" spans="1:66" ht="24.95" customHeight="1" thickTop="1" thickBot="1" x14ac:dyDescent="0.3">
      <c r="A32" s="23">
        <v>31</v>
      </c>
      <c r="B32" s="7">
        <v>2525469</v>
      </c>
      <c r="C32" s="7" t="s">
        <v>261</v>
      </c>
      <c r="D32" s="17" t="s">
        <v>262</v>
      </c>
      <c r="E32" s="23" t="s">
        <v>195</v>
      </c>
      <c r="F32" s="7" t="s">
        <v>196</v>
      </c>
      <c r="G32" s="8" t="s">
        <v>197</v>
      </c>
      <c r="H32" s="9" t="s">
        <v>198</v>
      </c>
      <c r="I32" s="10" t="s">
        <v>76</v>
      </c>
      <c r="J32" s="11" t="s">
        <v>77</v>
      </c>
      <c r="K32" s="7">
        <v>78</v>
      </c>
      <c r="L32" s="15" t="str">
        <f t="shared" si="0"/>
        <v>Mencapai kompetensi dengan baik dalam hal</v>
      </c>
      <c r="M32" s="7">
        <v>78</v>
      </c>
      <c r="N32" s="15" t="str">
        <f t="shared" si="1"/>
        <v>Mencapai kompetensi dengan baik dalam hal</v>
      </c>
      <c r="O32" s="7">
        <v>81</v>
      </c>
      <c r="P32" s="15" t="str">
        <f t="shared" si="2"/>
        <v>Mencapai kompetensi dengan baik dalam hal</v>
      </c>
      <c r="Q32" s="7">
        <v>84</v>
      </c>
      <c r="R32" s="15" t="str">
        <f t="shared" si="3"/>
        <v>Mencapai kompetensi dengan baik dalam hal</v>
      </c>
      <c r="S32" s="7">
        <v>81</v>
      </c>
      <c r="T32" s="15" t="str">
        <f t="shared" si="4"/>
        <v>Mencapai kompetensi dengan baik dalam hal</v>
      </c>
      <c r="U32" s="7">
        <v>78</v>
      </c>
      <c r="V32" s="15" t="str">
        <f t="shared" si="5"/>
        <v>Mencapai kompetensi dengan baik dalam hal</v>
      </c>
      <c r="W32" s="7">
        <v>77</v>
      </c>
      <c r="X32" s="15" t="str">
        <f t="shared" si="6"/>
        <v>Mencapai kompetensi dengan baik dalam hal</v>
      </c>
      <c r="Y32" s="7">
        <v>79</v>
      </c>
      <c r="Z32" s="15" t="str">
        <f t="shared" si="7"/>
        <v>Mencapai kompetensi dengan baik dalam hal</v>
      </c>
      <c r="AA32" s="7">
        <v>78</v>
      </c>
      <c r="AB32" s="15" t="str">
        <f t="shared" si="8"/>
        <v>Mencapai kompetensi dengan baik dalam hal</v>
      </c>
      <c r="AC32" s="7">
        <v>84</v>
      </c>
      <c r="AD32" s="15" t="str">
        <f t="shared" si="9"/>
        <v>Mencapai kompetensi dengan baik dalam hal</v>
      </c>
      <c r="AE32" s="7">
        <v>87</v>
      </c>
      <c r="AF32" s="15" t="str">
        <f t="shared" si="10"/>
        <v>Mencapai kompetensi dengan baik dalam hal</v>
      </c>
      <c r="AG32" s="7">
        <v>83</v>
      </c>
      <c r="AH32" s="15" t="str">
        <f t="shared" si="11"/>
        <v>Mencapai kompetensi dengan baik dalam hal</v>
      </c>
      <c r="AI32" s="7">
        <v>83</v>
      </c>
      <c r="AJ32" s="15" t="str">
        <f t="shared" si="12"/>
        <v>Mencapai kompetensi dengan baik dalam hal</v>
      </c>
      <c r="AK32" s="7">
        <v>83</v>
      </c>
      <c r="AL32" s="15" t="str">
        <f t="shared" si="13"/>
        <v>Mencapai kompetensi dengan baik dalam hal</v>
      </c>
      <c r="AM32" s="7">
        <v>79</v>
      </c>
      <c r="AN32" s="15" t="str">
        <f t="shared" si="14"/>
        <v>Mencapai kompetensi dengan baik dalam hal</v>
      </c>
      <c r="AO32" s="53">
        <f t="shared" si="19"/>
        <v>83</v>
      </c>
      <c r="AP32" s="7">
        <v>78</v>
      </c>
      <c r="AQ32" s="15" t="str">
        <f t="shared" si="15"/>
        <v>Mencapai kompetensi dengan baik dalam hal</v>
      </c>
      <c r="AR32" s="7">
        <v>75</v>
      </c>
      <c r="AS32" s="15" t="str">
        <f t="shared" si="16"/>
        <v>Mencapai kompetensi dengan baik dalam hal</v>
      </c>
      <c r="AT32" s="7">
        <v>1</v>
      </c>
      <c r="AU32" s="7" t="s">
        <v>81</v>
      </c>
      <c r="AV32" s="7" t="s">
        <v>81</v>
      </c>
      <c r="AW32" s="23">
        <v>1</v>
      </c>
      <c r="AX32" s="7" t="s">
        <v>82</v>
      </c>
      <c r="AY32" s="18" t="s">
        <v>83</v>
      </c>
      <c r="AZ32" s="7" t="s">
        <v>86</v>
      </c>
      <c r="BA32" s="15" t="str">
        <f t="shared" si="17"/>
        <v>Sangat baik</v>
      </c>
      <c r="BB32" s="23">
        <v>2</v>
      </c>
      <c r="BC32" s="18" t="s">
        <v>170</v>
      </c>
      <c r="BD32" s="18" t="s">
        <v>83</v>
      </c>
      <c r="BE32" s="7" t="s">
        <v>84</v>
      </c>
      <c r="BF32" s="15" t="str">
        <f t="shared" si="18"/>
        <v>Baik</v>
      </c>
      <c r="BG32" s="7"/>
      <c r="BH32" s="7"/>
      <c r="BI32" s="18"/>
      <c r="BJ32" s="23"/>
      <c r="BK32" s="15"/>
      <c r="BL32" s="54"/>
      <c r="BM32" s="54"/>
      <c r="BN32" s="54"/>
    </row>
    <row r="33" spans="1:66" ht="24.95" customHeight="1" thickTop="1" thickBot="1" x14ac:dyDescent="0.3">
      <c r="A33" s="23">
        <v>32</v>
      </c>
      <c r="B33" s="7">
        <v>2525470</v>
      </c>
      <c r="C33" s="7" t="s">
        <v>263</v>
      </c>
      <c r="D33" s="17" t="s">
        <v>264</v>
      </c>
      <c r="E33" s="23" t="s">
        <v>195</v>
      </c>
      <c r="F33" s="7" t="s">
        <v>196</v>
      </c>
      <c r="G33" s="8" t="s">
        <v>197</v>
      </c>
      <c r="H33" s="9" t="s">
        <v>198</v>
      </c>
      <c r="I33" s="10" t="s">
        <v>76</v>
      </c>
      <c r="J33" s="11" t="s">
        <v>77</v>
      </c>
      <c r="K33" s="7">
        <v>80</v>
      </c>
      <c r="L33" s="15" t="str">
        <f t="shared" si="0"/>
        <v>Mencapai kompetensi dengan baik dalam hal</v>
      </c>
      <c r="M33" s="7">
        <v>79</v>
      </c>
      <c r="N33" s="15" t="str">
        <f t="shared" si="1"/>
        <v>Mencapai kompetensi dengan baik dalam hal</v>
      </c>
      <c r="O33" s="7">
        <v>81</v>
      </c>
      <c r="P33" s="15" t="str">
        <f t="shared" si="2"/>
        <v>Mencapai kompetensi dengan baik dalam hal</v>
      </c>
      <c r="Q33" s="7">
        <v>83</v>
      </c>
      <c r="R33" s="15" t="str">
        <f t="shared" si="3"/>
        <v>Mencapai kompetensi dengan baik dalam hal</v>
      </c>
      <c r="S33" s="7">
        <v>84</v>
      </c>
      <c r="T33" s="15" t="str">
        <f t="shared" si="4"/>
        <v>Mencapai kompetensi dengan baik dalam hal</v>
      </c>
      <c r="U33" s="7">
        <v>80</v>
      </c>
      <c r="V33" s="15" t="str">
        <f t="shared" si="5"/>
        <v>Mencapai kompetensi dengan baik dalam hal</v>
      </c>
      <c r="W33" s="7">
        <v>77</v>
      </c>
      <c r="X33" s="15" t="str">
        <f t="shared" si="6"/>
        <v>Mencapai kompetensi dengan baik dalam hal</v>
      </c>
      <c r="Y33" s="7">
        <v>80</v>
      </c>
      <c r="Z33" s="15" t="str">
        <f t="shared" si="7"/>
        <v>Mencapai kompetensi dengan baik dalam hal</v>
      </c>
      <c r="AA33" s="7">
        <v>78</v>
      </c>
      <c r="AB33" s="15" t="str">
        <f t="shared" si="8"/>
        <v>Mencapai kompetensi dengan baik dalam hal</v>
      </c>
      <c r="AC33" s="7">
        <v>83</v>
      </c>
      <c r="AD33" s="15" t="str">
        <f t="shared" si="9"/>
        <v>Mencapai kompetensi dengan baik dalam hal</v>
      </c>
      <c r="AE33" s="7">
        <v>83</v>
      </c>
      <c r="AF33" s="15" t="str">
        <f t="shared" si="10"/>
        <v>Mencapai kompetensi dengan baik dalam hal</v>
      </c>
      <c r="AG33" s="7">
        <v>82</v>
      </c>
      <c r="AH33" s="15" t="str">
        <f t="shared" si="11"/>
        <v>Mencapai kompetensi dengan baik dalam hal</v>
      </c>
      <c r="AI33" s="7">
        <v>83</v>
      </c>
      <c r="AJ33" s="15" t="str">
        <f t="shared" si="12"/>
        <v>Mencapai kompetensi dengan baik dalam hal</v>
      </c>
      <c r="AK33" s="7">
        <v>80</v>
      </c>
      <c r="AL33" s="15" t="str">
        <f t="shared" si="13"/>
        <v>Mencapai kompetensi dengan baik dalam hal</v>
      </c>
      <c r="AM33" s="7">
        <v>85</v>
      </c>
      <c r="AN33" s="15" t="str">
        <f t="shared" si="14"/>
        <v>Mencapai kompetensi dengan baik dalam hal</v>
      </c>
      <c r="AO33" s="53">
        <f t="shared" si="19"/>
        <v>82.6</v>
      </c>
      <c r="AP33" s="7">
        <v>78</v>
      </c>
      <c r="AQ33" s="15" t="str">
        <f t="shared" si="15"/>
        <v>Mencapai kompetensi dengan baik dalam hal</v>
      </c>
      <c r="AR33" s="7">
        <v>76</v>
      </c>
      <c r="AS33" s="15" t="str">
        <f t="shared" si="16"/>
        <v>Mencapai kompetensi dengan baik dalam hal</v>
      </c>
      <c r="AT33" s="7">
        <v>1</v>
      </c>
      <c r="AU33" s="7" t="s">
        <v>81</v>
      </c>
      <c r="AV33" s="7" t="s">
        <v>81</v>
      </c>
      <c r="AW33" s="23">
        <v>1</v>
      </c>
      <c r="AX33" s="23" t="s">
        <v>82</v>
      </c>
      <c r="AY33" s="18" t="s">
        <v>83</v>
      </c>
      <c r="AZ33" s="23" t="s">
        <v>86</v>
      </c>
      <c r="BA33" s="15" t="str">
        <f t="shared" si="17"/>
        <v>Sangat baik</v>
      </c>
      <c r="BB33" s="23">
        <v>2</v>
      </c>
      <c r="BC33" s="18" t="s">
        <v>265</v>
      </c>
      <c r="BD33" s="18" t="s">
        <v>83</v>
      </c>
      <c r="BE33" s="7" t="s">
        <v>84</v>
      </c>
      <c r="BF33" s="15" t="str">
        <f t="shared" si="18"/>
        <v>Baik</v>
      </c>
      <c r="BG33" s="7"/>
      <c r="BH33" s="23"/>
      <c r="BI33" s="23"/>
      <c r="BJ33" s="23"/>
      <c r="BK33" s="15"/>
      <c r="BL33" s="54"/>
      <c r="BM33" s="54"/>
      <c r="BN33" s="54"/>
    </row>
    <row r="34" spans="1:66" ht="24.95" customHeight="1" thickTop="1" thickBot="1" x14ac:dyDescent="0.3">
      <c r="A34" s="23">
        <v>33</v>
      </c>
      <c r="B34" s="7">
        <v>2525471</v>
      </c>
      <c r="C34" s="7" t="s">
        <v>266</v>
      </c>
      <c r="D34" s="17" t="s">
        <v>267</v>
      </c>
      <c r="E34" s="23" t="s">
        <v>195</v>
      </c>
      <c r="F34" s="7" t="s">
        <v>196</v>
      </c>
      <c r="G34" s="8" t="s">
        <v>197</v>
      </c>
      <c r="H34" s="9" t="s">
        <v>198</v>
      </c>
      <c r="I34" s="10" t="s">
        <v>76</v>
      </c>
      <c r="J34" s="11" t="s">
        <v>77</v>
      </c>
      <c r="K34" s="7">
        <v>80</v>
      </c>
      <c r="L34" s="15" t="str">
        <f t="shared" si="0"/>
        <v>Mencapai kompetensi dengan baik dalam hal</v>
      </c>
      <c r="M34" s="7">
        <v>80</v>
      </c>
      <c r="N34" s="15" t="str">
        <f t="shared" si="1"/>
        <v>Mencapai kompetensi dengan baik dalam hal</v>
      </c>
      <c r="O34" s="7">
        <v>82</v>
      </c>
      <c r="P34" s="15" t="str">
        <f t="shared" si="2"/>
        <v>Mencapai kompetensi dengan baik dalam hal</v>
      </c>
      <c r="Q34" s="7">
        <v>82</v>
      </c>
      <c r="R34" s="15" t="str">
        <f t="shared" si="3"/>
        <v>Mencapai kompetensi dengan baik dalam hal</v>
      </c>
      <c r="S34" s="7">
        <v>88</v>
      </c>
      <c r="T34" s="15" t="str">
        <f t="shared" si="4"/>
        <v>Mencapai kompetensi dengan baik dalam hal</v>
      </c>
      <c r="U34" s="7">
        <v>83</v>
      </c>
      <c r="V34" s="15" t="str">
        <f t="shared" si="5"/>
        <v>Mencapai kompetensi dengan baik dalam hal</v>
      </c>
      <c r="W34" s="7">
        <v>76</v>
      </c>
      <c r="X34" s="15" t="str">
        <f t="shared" si="6"/>
        <v>Mencapai kompetensi dengan baik dalam hal</v>
      </c>
      <c r="Y34" s="7">
        <v>81</v>
      </c>
      <c r="Z34" s="15" t="str">
        <f t="shared" si="7"/>
        <v>Mencapai kompetensi dengan baik dalam hal</v>
      </c>
      <c r="AA34" s="7">
        <v>79</v>
      </c>
      <c r="AB34" s="15" t="str">
        <f t="shared" si="8"/>
        <v>Mencapai kompetensi dengan baik dalam hal</v>
      </c>
      <c r="AC34" s="7">
        <v>85</v>
      </c>
      <c r="AD34" s="15" t="str">
        <f t="shared" si="9"/>
        <v>Mencapai kompetensi dengan baik dalam hal</v>
      </c>
      <c r="AE34" s="7">
        <v>92</v>
      </c>
      <c r="AF34" s="15" t="str">
        <f t="shared" si="10"/>
        <v>Mencapai kompetensi dengan sangat baik dalam hal</v>
      </c>
      <c r="AG34" s="7">
        <v>87</v>
      </c>
      <c r="AH34" s="15" t="str">
        <f t="shared" si="11"/>
        <v>Mencapai kompetensi dengan baik dalam hal</v>
      </c>
      <c r="AI34" s="7">
        <v>87</v>
      </c>
      <c r="AJ34" s="15" t="str">
        <f t="shared" si="12"/>
        <v>Mencapai kompetensi dengan baik dalam hal</v>
      </c>
      <c r="AK34" s="7">
        <v>88</v>
      </c>
      <c r="AL34" s="15" t="str">
        <f t="shared" si="13"/>
        <v>Mencapai kompetensi dengan baik dalam hal</v>
      </c>
      <c r="AM34" s="7">
        <v>90</v>
      </c>
      <c r="AN34" s="15" t="str">
        <f t="shared" si="14"/>
        <v>Mencapai kompetensi dengan sangat baik dalam hal</v>
      </c>
      <c r="AO34" s="53">
        <f t="shared" si="19"/>
        <v>88.8</v>
      </c>
      <c r="AP34" s="7">
        <v>79</v>
      </c>
      <c r="AQ34" s="15" t="str">
        <f t="shared" si="15"/>
        <v>Mencapai kompetensi dengan baik dalam hal</v>
      </c>
      <c r="AR34" s="7">
        <v>77</v>
      </c>
      <c r="AS34" s="15" t="str">
        <f t="shared" si="16"/>
        <v>Mencapai kompetensi dengan baik dalam hal</v>
      </c>
      <c r="AT34" s="7">
        <v>1</v>
      </c>
      <c r="AU34" s="7" t="s">
        <v>81</v>
      </c>
      <c r="AV34" s="7" t="s">
        <v>81</v>
      </c>
      <c r="AW34" s="23">
        <v>1</v>
      </c>
      <c r="AX34" s="7" t="s">
        <v>82</v>
      </c>
      <c r="AY34" s="18" t="s">
        <v>83</v>
      </c>
      <c r="AZ34" s="7" t="s">
        <v>86</v>
      </c>
      <c r="BA34" s="15" t="str">
        <f t="shared" si="17"/>
        <v>Sangat baik</v>
      </c>
      <c r="BB34" s="23">
        <v>2</v>
      </c>
      <c r="BC34" s="18" t="s">
        <v>236</v>
      </c>
      <c r="BD34" s="18" t="s">
        <v>83</v>
      </c>
      <c r="BE34" s="7" t="s">
        <v>84</v>
      </c>
      <c r="BF34" s="15" t="str">
        <f t="shared" si="18"/>
        <v>Baik</v>
      </c>
      <c r="BG34" s="7"/>
      <c r="BH34" s="7"/>
      <c r="BI34" s="23"/>
      <c r="BJ34" s="23"/>
      <c r="BK34" s="15"/>
      <c r="BL34" s="54"/>
      <c r="BM34" s="54"/>
      <c r="BN34" s="54"/>
    </row>
    <row r="35" spans="1:66" ht="24.95" customHeight="1" thickTop="1" thickBot="1" x14ac:dyDescent="0.3">
      <c r="A35" s="23">
        <v>34</v>
      </c>
      <c r="B35" s="7">
        <v>2525472</v>
      </c>
      <c r="C35" s="7" t="s">
        <v>268</v>
      </c>
      <c r="D35" s="17" t="s">
        <v>269</v>
      </c>
      <c r="E35" s="23" t="s">
        <v>195</v>
      </c>
      <c r="F35" s="7" t="s">
        <v>196</v>
      </c>
      <c r="G35" s="8" t="s">
        <v>197</v>
      </c>
      <c r="H35" s="9" t="s">
        <v>198</v>
      </c>
      <c r="I35" s="10" t="s">
        <v>76</v>
      </c>
      <c r="J35" s="11" t="s">
        <v>77</v>
      </c>
      <c r="K35" s="7">
        <v>82</v>
      </c>
      <c r="L35" s="15" t="str">
        <f t="shared" si="0"/>
        <v>Mencapai kompetensi dengan baik dalam hal</v>
      </c>
      <c r="M35" s="7">
        <v>78</v>
      </c>
      <c r="N35" s="15" t="str">
        <f t="shared" si="1"/>
        <v>Mencapai kompetensi dengan baik dalam hal</v>
      </c>
      <c r="O35" s="7">
        <v>82</v>
      </c>
      <c r="P35" s="15" t="str">
        <f t="shared" si="2"/>
        <v>Mencapai kompetensi dengan baik dalam hal</v>
      </c>
      <c r="Q35" s="7">
        <v>84</v>
      </c>
      <c r="R35" s="15" t="str">
        <f t="shared" si="3"/>
        <v>Mencapai kompetensi dengan baik dalam hal</v>
      </c>
      <c r="S35" s="7">
        <v>84</v>
      </c>
      <c r="T35" s="15" t="str">
        <f t="shared" si="4"/>
        <v>Mencapai kompetensi dengan baik dalam hal</v>
      </c>
      <c r="U35" s="7">
        <v>84</v>
      </c>
      <c r="V35" s="15" t="str">
        <f t="shared" si="5"/>
        <v>Mencapai kompetensi dengan baik dalam hal</v>
      </c>
      <c r="W35" s="7">
        <v>79</v>
      </c>
      <c r="X35" s="15" t="str">
        <f t="shared" si="6"/>
        <v>Mencapai kompetensi dengan baik dalam hal</v>
      </c>
      <c r="Y35" s="7">
        <v>82</v>
      </c>
      <c r="Z35" s="15" t="str">
        <f t="shared" si="7"/>
        <v>Mencapai kompetensi dengan baik dalam hal</v>
      </c>
      <c r="AA35" s="7">
        <v>78</v>
      </c>
      <c r="AB35" s="15" t="str">
        <f t="shared" si="8"/>
        <v>Mencapai kompetensi dengan baik dalam hal</v>
      </c>
      <c r="AC35" s="7">
        <v>83</v>
      </c>
      <c r="AD35" s="15" t="str">
        <f t="shared" si="9"/>
        <v>Mencapai kompetensi dengan baik dalam hal</v>
      </c>
      <c r="AE35" s="7">
        <v>90</v>
      </c>
      <c r="AF35" s="15" t="str">
        <f t="shared" si="10"/>
        <v>Mencapai kompetensi dengan sangat baik dalam hal</v>
      </c>
      <c r="AG35" s="7">
        <v>85</v>
      </c>
      <c r="AH35" s="15" t="str">
        <f t="shared" si="11"/>
        <v>Mencapai kompetensi dengan baik dalam hal</v>
      </c>
      <c r="AI35" s="7">
        <v>85</v>
      </c>
      <c r="AJ35" s="15" t="str">
        <f t="shared" si="12"/>
        <v>Mencapai kompetensi dengan baik dalam hal</v>
      </c>
      <c r="AK35" s="7">
        <v>85</v>
      </c>
      <c r="AL35" s="15" t="str">
        <f t="shared" si="13"/>
        <v>Mencapai kompetensi dengan baik dalam hal</v>
      </c>
      <c r="AM35" s="7">
        <v>77</v>
      </c>
      <c r="AN35" s="15" t="str">
        <f t="shared" si="14"/>
        <v>Mencapai kompetensi dengan baik dalam hal</v>
      </c>
      <c r="AO35" s="53">
        <f t="shared" si="19"/>
        <v>84.4</v>
      </c>
      <c r="AP35" s="7">
        <v>78</v>
      </c>
      <c r="AQ35" s="15" t="str">
        <f t="shared" si="15"/>
        <v>Mencapai kompetensi dengan baik dalam hal</v>
      </c>
      <c r="AR35" s="7">
        <v>79</v>
      </c>
      <c r="AS35" s="15" t="str">
        <f t="shared" si="16"/>
        <v>Mencapai kompetensi dengan baik dalam hal</v>
      </c>
      <c r="AT35" s="7" t="s">
        <v>81</v>
      </c>
      <c r="AU35" s="7" t="s">
        <v>81</v>
      </c>
      <c r="AV35" s="7" t="s">
        <v>81</v>
      </c>
      <c r="AW35" s="23">
        <v>1</v>
      </c>
      <c r="AX35" s="23" t="s">
        <v>82</v>
      </c>
      <c r="AY35" s="18" t="s">
        <v>83</v>
      </c>
      <c r="AZ35" s="23" t="s">
        <v>86</v>
      </c>
      <c r="BA35" s="15" t="str">
        <f t="shared" si="17"/>
        <v>Sangat baik</v>
      </c>
      <c r="BB35" s="23">
        <v>2</v>
      </c>
      <c r="BC35" s="18" t="s">
        <v>270</v>
      </c>
      <c r="BD35" s="18" t="s">
        <v>83</v>
      </c>
      <c r="BE35" s="7" t="s">
        <v>86</v>
      </c>
      <c r="BF35" s="15" t="str">
        <f t="shared" si="18"/>
        <v>Sangat baik</v>
      </c>
      <c r="BG35" s="7"/>
      <c r="BH35" s="23"/>
      <c r="BI35" s="23"/>
      <c r="BJ35" s="23"/>
      <c r="BK35" s="15"/>
      <c r="BL35" s="54"/>
      <c r="BM35" s="54"/>
      <c r="BN35" s="54"/>
    </row>
    <row r="36" spans="1:66" ht="24.95" customHeight="1" thickTop="1" thickBot="1" x14ac:dyDescent="0.3">
      <c r="A36" s="23">
        <v>34</v>
      </c>
      <c r="B36" s="7">
        <v>2525473</v>
      </c>
      <c r="C36" s="7" t="s">
        <v>271</v>
      </c>
      <c r="D36" s="17" t="s">
        <v>272</v>
      </c>
      <c r="E36" s="23" t="s">
        <v>195</v>
      </c>
      <c r="F36" s="7" t="s">
        <v>196</v>
      </c>
      <c r="G36" s="8" t="s">
        <v>197</v>
      </c>
      <c r="H36" s="9" t="s">
        <v>198</v>
      </c>
      <c r="I36" s="10" t="s">
        <v>76</v>
      </c>
      <c r="J36" s="11" t="s">
        <v>77</v>
      </c>
      <c r="K36" s="7">
        <v>80</v>
      </c>
      <c r="L36" s="15" t="str">
        <f t="shared" ref="L36" si="20">VLOOKUP(K36,grades1,2,TRUE)</f>
        <v>Mencapai kompetensi dengan baik dalam hal</v>
      </c>
      <c r="M36" s="7">
        <v>77</v>
      </c>
      <c r="N36" s="15" t="str">
        <f t="shared" ref="N36" si="21">VLOOKUP(M36,grades1,2,TRUE)</f>
        <v>Mencapai kompetensi dengan baik dalam hal</v>
      </c>
      <c r="O36" s="7">
        <v>82</v>
      </c>
      <c r="P36" s="15" t="str">
        <f t="shared" ref="P36" si="22">VLOOKUP(O36,grades1,2,TRUE)</f>
        <v>Mencapai kompetensi dengan baik dalam hal</v>
      </c>
      <c r="Q36" s="7">
        <v>84</v>
      </c>
      <c r="R36" s="15" t="str">
        <f t="shared" ref="R36" si="23">VLOOKUP(Q36,grades1,2,TRUE)</f>
        <v>Mencapai kompetensi dengan baik dalam hal</v>
      </c>
      <c r="S36" s="7">
        <v>83</v>
      </c>
      <c r="T36" s="15" t="str">
        <f t="shared" ref="T36" si="24">VLOOKUP(S36,grades1,2,TRUE)</f>
        <v>Mencapai kompetensi dengan baik dalam hal</v>
      </c>
      <c r="U36" s="7">
        <v>82</v>
      </c>
      <c r="V36" s="15" t="str">
        <f t="shared" ref="V36" si="25">VLOOKUP(U36,grades1,2,TRUE)</f>
        <v>Mencapai kompetensi dengan baik dalam hal</v>
      </c>
      <c r="W36" s="7">
        <v>78</v>
      </c>
      <c r="X36" s="15" t="str">
        <f t="shared" ref="X36" si="26">VLOOKUP(W36,grades1,2,TRUE)</f>
        <v>Mencapai kompetensi dengan baik dalam hal</v>
      </c>
      <c r="Y36" s="7">
        <v>78</v>
      </c>
      <c r="Z36" s="15" t="str">
        <f t="shared" ref="Z36" si="27">VLOOKUP(Y36,grades1,2,TRUE)</f>
        <v>Mencapai kompetensi dengan baik dalam hal</v>
      </c>
      <c r="AA36" s="7">
        <v>78</v>
      </c>
      <c r="AB36" s="15" t="str">
        <f t="shared" ref="AB36" si="28">VLOOKUP(AA36,grades1,2,TRUE)</f>
        <v>Mencapai kompetensi dengan baik dalam hal</v>
      </c>
      <c r="AC36" s="7">
        <v>84</v>
      </c>
      <c r="AD36" s="15" t="str">
        <f t="shared" ref="AD36" si="29">VLOOKUP(AC36,grades1,2,TRUE)</f>
        <v>Mencapai kompetensi dengan baik dalam hal</v>
      </c>
      <c r="AE36" s="7">
        <v>90</v>
      </c>
      <c r="AF36" s="15" t="str">
        <f t="shared" ref="AF36" si="30">VLOOKUP(AE36,grades1,2,TRUE)</f>
        <v>Mencapai kompetensi dengan sangat baik dalam hal</v>
      </c>
      <c r="AG36" s="7">
        <v>81</v>
      </c>
      <c r="AH36" s="15" t="str">
        <f t="shared" ref="AH36" si="31">VLOOKUP(AG36,grades1,2,TRUE)</f>
        <v>Mencapai kompetensi dengan baik dalam hal</v>
      </c>
      <c r="AI36" s="7">
        <v>84</v>
      </c>
      <c r="AJ36" s="15" t="str">
        <f t="shared" ref="AJ36" si="32">VLOOKUP(AI36,grades1,2,TRUE)</f>
        <v>Mencapai kompetensi dengan baik dalam hal</v>
      </c>
      <c r="AK36" s="7">
        <v>83</v>
      </c>
      <c r="AL36" s="15" t="str">
        <f t="shared" ref="AL36" si="33">VLOOKUP(AK36,grades1,2,TRUE)</f>
        <v>Mencapai kompetensi dengan baik dalam hal</v>
      </c>
      <c r="AM36" s="7">
        <v>87</v>
      </c>
      <c r="AN36" s="15" t="str">
        <f t="shared" ref="AN36" si="34">VLOOKUP(AM36,grades1,2,TRUE)</f>
        <v>Mencapai kompetensi dengan baik dalam hal</v>
      </c>
      <c r="AO36" s="53">
        <f t="shared" si="19"/>
        <v>85</v>
      </c>
      <c r="AP36" s="7">
        <v>78</v>
      </c>
      <c r="AQ36" s="15" t="str">
        <f t="shared" si="15"/>
        <v>Mencapai kompetensi dengan baik dalam hal</v>
      </c>
      <c r="AR36" s="7">
        <v>79</v>
      </c>
      <c r="AS36" s="15" t="str">
        <f t="shared" ref="AS36" si="35">VLOOKUP(AR36,grades1,2,TRUE)</f>
        <v>Mencapai kompetensi dengan baik dalam hal</v>
      </c>
      <c r="AT36" s="7" t="s">
        <v>81</v>
      </c>
      <c r="AU36" s="7" t="s">
        <v>81</v>
      </c>
      <c r="AV36" s="7" t="s">
        <v>81</v>
      </c>
      <c r="AW36" s="23">
        <v>1</v>
      </c>
      <c r="AX36" s="23" t="s">
        <v>82</v>
      </c>
      <c r="AY36" s="18" t="s">
        <v>83</v>
      </c>
      <c r="AZ36" s="23" t="s">
        <v>84</v>
      </c>
      <c r="BA36" s="15" t="str">
        <f t="shared" si="17"/>
        <v>Baik</v>
      </c>
      <c r="BB36" s="23">
        <v>3</v>
      </c>
      <c r="BC36" s="18" t="s">
        <v>205</v>
      </c>
      <c r="BD36" s="18" t="s">
        <v>83</v>
      </c>
      <c r="BE36" s="7" t="s">
        <v>86</v>
      </c>
      <c r="BF36" s="15" t="str">
        <f t="shared" si="18"/>
        <v>Sangat baik</v>
      </c>
      <c r="BG36" s="7"/>
      <c r="BH36" s="23"/>
      <c r="BI36" s="23"/>
      <c r="BJ36" s="23"/>
      <c r="BK36" s="15"/>
      <c r="BL36" s="54"/>
      <c r="BM36" s="54"/>
      <c r="BN36" s="54"/>
    </row>
    <row r="37" spans="1:66" ht="24.95" customHeight="1" thickTop="1" thickBot="1" x14ac:dyDescent="0.3">
      <c r="A37" s="23">
        <v>36</v>
      </c>
      <c r="B37" s="7">
        <v>2525474</v>
      </c>
      <c r="C37" s="7" t="s">
        <v>273</v>
      </c>
      <c r="D37" s="17" t="s">
        <v>274</v>
      </c>
      <c r="E37" s="23" t="s">
        <v>195</v>
      </c>
      <c r="F37" s="7" t="s">
        <v>196</v>
      </c>
      <c r="G37" s="8" t="s">
        <v>197</v>
      </c>
      <c r="H37" s="9" t="s">
        <v>198</v>
      </c>
      <c r="I37" s="10" t="s">
        <v>76</v>
      </c>
      <c r="J37" s="11" t="s">
        <v>77</v>
      </c>
      <c r="K37" s="7">
        <v>80</v>
      </c>
      <c r="L37" s="15" t="str">
        <f t="shared" si="0"/>
        <v>Mencapai kompetensi dengan baik dalam hal</v>
      </c>
      <c r="M37" s="7">
        <v>81</v>
      </c>
      <c r="N37" s="15" t="str">
        <f t="shared" si="1"/>
        <v>Mencapai kompetensi dengan baik dalam hal</v>
      </c>
      <c r="O37" s="7">
        <v>82</v>
      </c>
      <c r="P37" s="15" t="str">
        <f t="shared" si="2"/>
        <v>Mencapai kompetensi dengan baik dalam hal</v>
      </c>
      <c r="Q37" s="7">
        <v>85</v>
      </c>
      <c r="R37" s="15" t="str">
        <f t="shared" si="3"/>
        <v>Mencapai kompetensi dengan baik dalam hal</v>
      </c>
      <c r="S37" s="7">
        <v>85</v>
      </c>
      <c r="T37" s="15" t="str">
        <f t="shared" si="4"/>
        <v>Mencapai kompetensi dengan baik dalam hal</v>
      </c>
      <c r="U37" s="7">
        <v>83</v>
      </c>
      <c r="V37" s="15" t="str">
        <f t="shared" si="5"/>
        <v>Mencapai kompetensi dengan baik dalam hal</v>
      </c>
      <c r="W37" s="7">
        <v>80</v>
      </c>
      <c r="X37" s="15" t="str">
        <f t="shared" si="6"/>
        <v>Mencapai kompetensi dengan baik dalam hal</v>
      </c>
      <c r="Y37" s="7">
        <v>81</v>
      </c>
      <c r="Z37" s="15" t="str">
        <f t="shared" si="7"/>
        <v>Mencapai kompetensi dengan baik dalam hal</v>
      </c>
      <c r="AA37" s="7">
        <v>78</v>
      </c>
      <c r="AB37" s="15" t="str">
        <f t="shared" si="8"/>
        <v>Mencapai kompetensi dengan baik dalam hal</v>
      </c>
      <c r="AC37" s="7">
        <v>84</v>
      </c>
      <c r="AD37" s="15" t="str">
        <f t="shared" si="9"/>
        <v>Mencapai kompetensi dengan baik dalam hal</v>
      </c>
      <c r="AE37" s="7">
        <v>84</v>
      </c>
      <c r="AF37" s="15" t="str">
        <f t="shared" si="10"/>
        <v>Mencapai kompetensi dengan baik dalam hal</v>
      </c>
      <c r="AG37" s="7">
        <v>85</v>
      </c>
      <c r="AH37" s="15" t="str">
        <f t="shared" si="11"/>
        <v>Mencapai kompetensi dengan baik dalam hal</v>
      </c>
      <c r="AI37" s="7">
        <v>85</v>
      </c>
      <c r="AJ37" s="15" t="str">
        <f t="shared" si="12"/>
        <v>Mencapai kompetensi dengan baik dalam hal</v>
      </c>
      <c r="AK37" s="7">
        <v>86</v>
      </c>
      <c r="AL37" s="15" t="str">
        <f t="shared" si="13"/>
        <v>Mencapai kompetensi dengan baik dalam hal</v>
      </c>
      <c r="AM37" s="7">
        <v>86</v>
      </c>
      <c r="AN37" s="15" t="str">
        <f t="shared" si="14"/>
        <v>Mencapai kompetensi dengan baik dalam hal</v>
      </c>
      <c r="AO37" s="53">
        <f t="shared" si="19"/>
        <v>85.2</v>
      </c>
      <c r="AP37" s="7">
        <v>78</v>
      </c>
      <c r="AQ37" s="15" t="str">
        <f t="shared" si="15"/>
        <v>Mencapai kompetensi dengan baik dalam hal</v>
      </c>
      <c r="AR37" s="7">
        <v>80</v>
      </c>
      <c r="AS37" s="15" t="str">
        <f t="shared" si="16"/>
        <v>Mencapai kompetensi dengan baik dalam hal</v>
      </c>
      <c r="AT37" s="7">
        <v>1</v>
      </c>
      <c r="AU37" s="7" t="s">
        <v>81</v>
      </c>
      <c r="AV37" s="7" t="s">
        <v>81</v>
      </c>
      <c r="AW37" s="23">
        <v>1</v>
      </c>
      <c r="AX37" s="23" t="s">
        <v>82</v>
      </c>
      <c r="AY37" s="18" t="s">
        <v>83</v>
      </c>
      <c r="AZ37" s="23" t="s">
        <v>86</v>
      </c>
      <c r="BA37" s="15" t="str">
        <f t="shared" si="17"/>
        <v>Sangat baik</v>
      </c>
      <c r="BB37" s="23">
        <v>4</v>
      </c>
      <c r="BC37" s="18" t="s">
        <v>85</v>
      </c>
      <c r="BD37" s="18" t="s">
        <v>83</v>
      </c>
      <c r="BE37" s="7" t="s">
        <v>84</v>
      </c>
      <c r="BF37" s="15" t="str">
        <f t="shared" si="18"/>
        <v>Baik</v>
      </c>
      <c r="BG37" s="7">
        <v>3</v>
      </c>
      <c r="BH37" s="23" t="s">
        <v>87</v>
      </c>
      <c r="BI37" s="23"/>
      <c r="BJ37" s="23" t="s">
        <v>84</v>
      </c>
      <c r="BK37" s="15" t="str">
        <f>VLOOKUP(BJ37,grades4,2,TRUE)</f>
        <v>Baik</v>
      </c>
      <c r="BL37" s="54"/>
      <c r="BM37" s="54"/>
      <c r="BN37" s="54"/>
    </row>
    <row r="38" spans="1:66" ht="9.75" customHeight="1" thickTop="1" thickBot="1" x14ac:dyDescent="0.3">
      <c r="A38" s="38"/>
      <c r="B38" s="39"/>
      <c r="C38" s="39"/>
      <c r="D38" s="57"/>
      <c r="E38" s="38"/>
      <c r="F38" s="38"/>
      <c r="G38" s="41"/>
      <c r="H38" s="42"/>
      <c r="I38" s="43"/>
      <c r="J38" s="11"/>
      <c r="K38" s="39"/>
      <c r="L38" s="15"/>
      <c r="M38" s="39"/>
      <c r="N38" s="15"/>
      <c r="O38" s="39"/>
      <c r="P38" s="15"/>
      <c r="Q38" s="39"/>
      <c r="R38" s="15"/>
      <c r="S38" s="39"/>
      <c r="T38" s="15"/>
      <c r="U38" s="39"/>
      <c r="V38" s="15"/>
      <c r="W38" s="39"/>
      <c r="X38" s="15"/>
      <c r="Y38" s="39"/>
      <c r="Z38" s="15"/>
      <c r="AA38" s="39"/>
      <c r="AB38" s="15"/>
      <c r="AC38" s="39"/>
      <c r="AD38" s="15"/>
      <c r="AE38" s="39"/>
      <c r="AF38" s="15"/>
      <c r="AG38" s="39"/>
      <c r="AH38" s="15"/>
      <c r="AI38" s="39"/>
      <c r="AJ38" s="15"/>
      <c r="AK38" s="39"/>
      <c r="AL38" s="15"/>
      <c r="AM38" s="39"/>
      <c r="AN38" s="15"/>
      <c r="AO38" s="58"/>
      <c r="AP38" s="39"/>
      <c r="AQ38" s="15"/>
      <c r="AR38" s="39"/>
      <c r="AS38" s="15"/>
      <c r="AT38" s="38"/>
      <c r="AU38" s="38"/>
      <c r="AV38" s="38"/>
      <c r="AW38" s="23"/>
      <c r="AX38" s="23"/>
      <c r="AY38" s="18"/>
      <c r="AZ38" s="23"/>
      <c r="BA38" s="15"/>
      <c r="BB38" s="23"/>
      <c r="BC38" s="18"/>
      <c r="BD38" s="18"/>
      <c r="BE38" s="7"/>
      <c r="BF38" s="15"/>
      <c r="BG38" s="7"/>
      <c r="BH38" s="23"/>
      <c r="BI38" s="23"/>
      <c r="BJ38" s="23"/>
      <c r="BK38" s="15"/>
      <c r="BL38" s="54"/>
      <c r="BM38" s="54"/>
      <c r="BN38" s="54"/>
    </row>
    <row r="39" spans="1:66" ht="15.75" thickTop="1" x14ac:dyDescent="0.25"/>
  </sheetData>
  <conditionalFormatting sqref="L2:L35 N2:N35 P2:P35 R2:R35 T2:T35 V2:V35 X2:X35 Z2:Z35 AB2:AB35 AD2:AD35 AF2:AF35 AH2:AH35 AJ2:AJ35 AL2:AL35 AN2:AN35 AS2:AS35 AS37:AS38 AN37:AN38 AL37:AL38 AJ37:AJ38 AH37:AH38 AF37:AF38 AD37:AD38 AB37:AB38 Z37:Z38 X37:X38 V37:V38 T37:T38 R37:R38 P37:P38 N37:N38 L37:L38">
    <cfRule type="cellIs" dxfId="105" priority="15" operator="lessThan">
      <formula>70</formula>
    </cfRule>
  </conditionalFormatting>
  <conditionalFormatting sqref="L2:L35 N2:N35 P2:P35 R2:R35 T2:T35 V2:V35 X2:X35 Z2:Z35 AB2:AB35 AD2:AD35 AF2:AF35 AH2:AH35 AJ2:AJ35 AL2:AL35 AN2:AN35 AN37:AN38 AL37:AL38 AJ37:AJ38 AH37:AH38 AF37:AF38 AD37:AD38 AB37:AB38 Z37:Z38 X37:X38 V37:V38 T37:T38 R37:R38 P37:P38 N37:N38 L37:L38">
    <cfRule type="cellIs" dxfId="104" priority="14" operator="lessThan">
      <formula>75</formula>
    </cfRule>
  </conditionalFormatting>
  <conditionalFormatting sqref="L36 N36 P36 R36 T36 V36 X36 Z36 AB36 AD36 AF36 AH36 AJ36 AL36 AN36 AS36">
    <cfRule type="cellIs" dxfId="103" priority="13" operator="lessThan">
      <formula>70</formula>
    </cfRule>
  </conditionalFormatting>
  <conditionalFormatting sqref="L36 N36 P36 R36 T36 V36 X36 Z36 AB36 AD36 AF36 AH36 AJ36 AL36 AN36">
    <cfRule type="cellIs" dxfId="102" priority="12" operator="lessThan">
      <formula>75</formula>
    </cfRule>
  </conditionalFormatting>
  <conditionalFormatting sqref="AQ2:AQ35 AQ37:AQ38">
    <cfRule type="cellIs" dxfId="101" priority="11" operator="lessThan">
      <formula>70</formula>
    </cfRule>
  </conditionalFormatting>
  <conditionalFormatting sqref="AQ2:AQ35 AQ37:AQ38">
    <cfRule type="cellIs" dxfId="100" priority="10" operator="lessThan">
      <formula>75</formula>
    </cfRule>
  </conditionalFormatting>
  <conditionalFormatting sqref="AQ36">
    <cfRule type="cellIs" dxfId="99" priority="9" operator="lessThan">
      <formula>70</formula>
    </cfRule>
  </conditionalFormatting>
  <conditionalFormatting sqref="AQ36">
    <cfRule type="cellIs" dxfId="98" priority="8" operator="lessThan">
      <formula>75</formula>
    </cfRule>
  </conditionalFormatting>
  <conditionalFormatting sqref="K2:AR37">
    <cfRule type="cellIs" dxfId="97" priority="7" operator="lessThan">
      <formula>75</formula>
    </cfRule>
  </conditionalFormatting>
  <conditionalFormatting sqref="BA2:BA38 BF2:BF38">
    <cfRule type="cellIs" dxfId="96" priority="6" operator="lessThan">
      <formula>70</formula>
    </cfRule>
  </conditionalFormatting>
  <conditionalFormatting sqref="AZ2:AZ38">
    <cfRule type="cellIs" dxfId="95" priority="3" operator="lessThan">
      <formula>70</formula>
    </cfRule>
  </conditionalFormatting>
  <conditionalFormatting sqref="AZ2:AZ38">
    <cfRule type="cellIs" dxfId="94" priority="2" operator="lessThan">
      <formula>75</formula>
    </cfRule>
  </conditionalFormatting>
  <conditionalFormatting sqref="AX2:AX38">
    <cfRule type="cellIs" dxfId="93" priority="5" operator="lessThan">
      <formula>70</formula>
    </cfRule>
  </conditionalFormatting>
  <conditionalFormatting sqref="AX2:AX38">
    <cfRule type="cellIs" dxfId="92" priority="4" operator="lessThan">
      <formula>75</formula>
    </cfRule>
  </conditionalFormatting>
  <conditionalFormatting sqref="BK2:BK38">
    <cfRule type="cellIs" dxfId="91" priority="1" operator="lessThan">
      <formula>70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10"/>
  <sheetViews>
    <sheetView zoomScale="80" zoomScaleNormal="80" workbookViewId="0">
      <pane xSplit="10" ySplit="1" topLeftCell="O2" activePane="bottomRight" state="frozen"/>
      <selection pane="topRight" activeCell="K1" sqref="K1"/>
      <selection pane="bottomLeft" activeCell="A2" sqref="A2"/>
      <selection pane="bottomRight" activeCell="AG1" sqref="AG1:AQ1048576"/>
    </sheetView>
  </sheetViews>
  <sheetFormatPr defaultColWidth="9.140625" defaultRowHeight="15" x14ac:dyDescent="0.25"/>
  <cols>
    <col min="1" max="1" width="4.42578125" style="22" bestFit="1" customWidth="1"/>
    <col min="2" max="2" width="8.7109375" style="22" bestFit="1" customWidth="1"/>
    <col min="3" max="3" width="12" style="22" bestFit="1" customWidth="1"/>
    <col min="4" max="4" width="37.28515625" style="65" customWidth="1"/>
    <col min="5" max="5" width="6" style="22" bestFit="1" customWidth="1"/>
    <col min="6" max="6" width="14.42578125" style="22" bestFit="1" customWidth="1"/>
    <col min="7" max="7" width="24.7109375" style="19" customWidth="1"/>
    <col min="8" max="8" width="20.85546875" style="19" bestFit="1" customWidth="1"/>
    <col min="9" max="9" width="8.140625" style="22" customWidth="1"/>
    <col min="10" max="10" width="10.7109375" style="19" bestFit="1" customWidth="1"/>
    <col min="11" max="11" width="7.140625" style="19" customWidth="1"/>
    <col min="12" max="12" width="9.85546875" style="19" hidden="1" customWidth="1"/>
    <col min="13" max="13" width="5.85546875" style="22" bestFit="1" customWidth="1"/>
    <col min="14" max="14" width="36.85546875" style="22" hidden="1" customWidth="1"/>
    <col min="15" max="15" width="5" style="22" bestFit="1" customWidth="1"/>
    <col min="16" max="16" width="1.85546875" style="22" hidden="1" customWidth="1"/>
    <col min="17" max="17" width="7.85546875" style="22" bestFit="1" customWidth="1"/>
    <col min="18" max="18" width="47.7109375" style="22" hidden="1" customWidth="1"/>
    <col min="19" max="19" width="9.140625" style="22"/>
    <col min="20" max="20" width="28" style="22" hidden="1" customWidth="1"/>
    <col min="21" max="21" width="9.140625" style="22"/>
    <col min="22" max="22" width="28" style="22" hidden="1" customWidth="1"/>
    <col min="23" max="23" width="6.85546875" style="22" customWidth="1"/>
    <col min="24" max="24" width="28" style="22" hidden="1" customWidth="1"/>
    <col min="25" max="25" width="5.28515625" style="22" bestFit="1" customWidth="1"/>
    <col min="26" max="26" width="28" style="22" hidden="1" customWidth="1"/>
    <col min="27" max="27" width="9.140625" style="22"/>
    <col min="28" max="28" width="28" style="22" hidden="1" customWidth="1"/>
    <col min="29" max="29" width="5.42578125" style="22" customWidth="1"/>
    <col min="30" max="30" width="28" style="22" hidden="1" customWidth="1"/>
    <col min="31" max="31" width="9.140625" style="22"/>
    <col min="32" max="32" width="28" style="22" hidden="1" customWidth="1"/>
    <col min="33" max="33" width="0" style="22" hidden="1" customWidth="1"/>
    <col min="34" max="34" width="28" style="22" hidden="1" customWidth="1"/>
    <col min="35" max="35" width="0" style="22" hidden="1" customWidth="1"/>
    <col min="36" max="36" width="28" style="22" hidden="1" customWidth="1"/>
    <col min="37" max="37" width="0" style="22" hidden="1" customWidth="1"/>
    <col min="38" max="38" width="28" style="22" hidden="1" customWidth="1"/>
    <col min="39" max="39" width="0" style="22" hidden="1" customWidth="1"/>
    <col min="40" max="40" width="28" style="22" hidden="1" customWidth="1"/>
    <col min="41" max="41" width="10.140625" style="22" hidden="1" customWidth="1"/>
    <col min="42" max="42" width="28" style="22" hidden="1" customWidth="1"/>
    <col min="43" max="43" width="10.140625" style="22" hidden="1" customWidth="1"/>
    <col min="44" max="44" width="28" style="22" hidden="1" customWidth="1"/>
    <col min="45" max="45" width="11.5703125" style="22" bestFit="1" customWidth="1"/>
    <col min="46" max="46" width="8.140625" style="22" customWidth="1"/>
    <col min="47" max="47" width="28" style="22" hidden="1" customWidth="1"/>
    <col min="48" max="48" width="9.140625" style="22"/>
    <col min="49" max="49" width="28" style="22" hidden="1" customWidth="1"/>
    <col min="50" max="52" width="9.140625" style="19"/>
    <col min="53" max="53" width="3.42578125" style="19" customWidth="1"/>
    <col min="54" max="54" width="9.5703125" style="19" customWidth="1"/>
    <col min="55" max="55" width="27.7109375" style="19" hidden="1" customWidth="1"/>
    <col min="56" max="56" width="4.28515625" style="22" bestFit="1" customWidth="1"/>
    <col min="57" max="57" width="12.7109375" style="19" customWidth="1"/>
    <col min="58" max="58" width="3.42578125" style="19" bestFit="1" customWidth="1"/>
    <col min="59" max="59" width="23.85546875" style="19" bestFit="1" customWidth="1"/>
    <col min="60" max="60" width="19.28515625" style="19" hidden="1" customWidth="1"/>
    <col min="61" max="61" width="4.28515625" style="22" bestFit="1" customWidth="1"/>
    <col min="62" max="62" width="12.7109375" style="19" bestFit="1" customWidth="1"/>
    <col min="63" max="63" width="3.42578125" style="19" bestFit="1" customWidth="1"/>
    <col min="64" max="64" width="14.5703125" style="19" customWidth="1"/>
    <col min="65" max="65" width="11.140625" style="19" hidden="1" customWidth="1"/>
    <col min="66" max="70" width="11.140625" style="19" customWidth="1"/>
    <col min="71" max="72" width="9.140625" style="19"/>
    <col min="73" max="73" width="38.42578125" style="19" bestFit="1" customWidth="1"/>
    <col min="74" max="16384" width="9.140625" style="19"/>
  </cols>
  <sheetData>
    <row r="1" spans="1:77" s="5" customFormat="1" ht="36" customHeight="1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275</v>
      </c>
      <c r="AH1" s="2" t="s">
        <v>276</v>
      </c>
      <c r="AI1" s="2" t="s">
        <v>277</v>
      </c>
      <c r="AJ1" s="2" t="s">
        <v>278</v>
      </c>
      <c r="AK1" s="2" t="s">
        <v>279</v>
      </c>
      <c r="AL1" s="2" t="s">
        <v>280</v>
      </c>
      <c r="AM1" s="2" t="s">
        <v>281</v>
      </c>
      <c r="AN1" s="2" t="s">
        <v>282</v>
      </c>
      <c r="AO1" s="2" t="s">
        <v>283</v>
      </c>
      <c r="AP1" s="2" t="s">
        <v>284</v>
      </c>
      <c r="AQ1" s="2" t="s">
        <v>285</v>
      </c>
      <c r="AR1" s="2" t="s">
        <v>286</v>
      </c>
      <c r="AS1" s="2" t="s">
        <v>287</v>
      </c>
      <c r="AT1" s="2" t="s">
        <v>43</v>
      </c>
      <c r="AU1" s="2" t="s">
        <v>192</v>
      </c>
      <c r="AV1" s="2" t="s">
        <v>45</v>
      </c>
      <c r="AW1" s="2" t="s">
        <v>46</v>
      </c>
      <c r="AX1" s="2" t="s">
        <v>50</v>
      </c>
      <c r="AY1" s="2" t="s">
        <v>51</v>
      </c>
      <c r="AZ1" s="2" t="s">
        <v>52</v>
      </c>
      <c r="BA1" s="2" t="s">
        <v>53</v>
      </c>
      <c r="BB1" s="2" t="s">
        <v>54</v>
      </c>
      <c r="BC1" s="2" t="s">
        <v>55</v>
      </c>
      <c r="BD1" s="2" t="s">
        <v>56</v>
      </c>
      <c r="BE1" s="2" t="s">
        <v>57</v>
      </c>
      <c r="BF1" s="2" t="s">
        <v>58</v>
      </c>
      <c r="BG1" s="2" t="s">
        <v>59</v>
      </c>
      <c r="BH1" s="2" t="s">
        <v>60</v>
      </c>
      <c r="BI1" s="2" t="s">
        <v>61</v>
      </c>
      <c r="BJ1" s="2" t="s">
        <v>62</v>
      </c>
      <c r="BK1" s="2" t="s">
        <v>63</v>
      </c>
      <c r="BL1" s="2" t="s">
        <v>64</v>
      </c>
      <c r="BM1" s="2" t="s">
        <v>65</v>
      </c>
      <c r="BN1" s="2" t="s">
        <v>66</v>
      </c>
      <c r="BO1" s="2" t="s">
        <v>67</v>
      </c>
      <c r="BP1" s="51"/>
      <c r="BQ1" s="51"/>
      <c r="BR1" s="51"/>
      <c r="BT1" s="6" t="s">
        <v>68</v>
      </c>
      <c r="BU1" s="6"/>
      <c r="BW1" s="5" t="s">
        <v>69</v>
      </c>
    </row>
    <row r="2" spans="1:77" ht="24.95" customHeight="1" thickTop="1" thickBot="1" x14ac:dyDescent="0.3">
      <c r="A2" s="7">
        <v>1</v>
      </c>
      <c r="B2" s="7">
        <v>2525726</v>
      </c>
      <c r="C2" s="7" t="s">
        <v>288</v>
      </c>
      <c r="D2" s="17" t="s">
        <v>289</v>
      </c>
      <c r="E2" s="7" t="s">
        <v>290</v>
      </c>
      <c r="F2" s="7" t="s">
        <v>291</v>
      </c>
      <c r="G2" s="7" t="s">
        <v>292</v>
      </c>
      <c r="H2" s="7" t="s">
        <v>293</v>
      </c>
      <c r="I2" s="10" t="s">
        <v>76</v>
      </c>
      <c r="J2" s="11" t="s">
        <v>77</v>
      </c>
      <c r="K2" s="11" t="s">
        <v>78</v>
      </c>
      <c r="L2" s="11" t="s">
        <v>79</v>
      </c>
      <c r="M2" s="7">
        <v>80</v>
      </c>
      <c r="N2" s="17" t="str">
        <f t="shared" ref="N2" si="0">VLOOKUP(M2,grades1,2,TRUE)</f>
        <v>Mencapai kompetensi dengan baik dalam hal</v>
      </c>
      <c r="O2" s="7">
        <v>81</v>
      </c>
      <c r="P2" s="17" t="str">
        <f t="shared" ref="P2" si="1">VLOOKUP(O2,grades1,2,TRUE)</f>
        <v>Mencapai kompetensi dengan baik dalam hal</v>
      </c>
      <c r="Q2" s="7">
        <v>81</v>
      </c>
      <c r="R2" s="17" t="str">
        <f t="shared" ref="R2" si="2">VLOOKUP(Q2,grades1,2,TRUE)</f>
        <v>Mencapai kompetensi dengan baik dalam hal</v>
      </c>
      <c r="S2" s="7">
        <v>81</v>
      </c>
      <c r="T2" s="17" t="str">
        <f t="shared" ref="T2" si="3">VLOOKUP(S2,grades1,2,TRUE)</f>
        <v>Mencapai kompetensi dengan baik dalam hal</v>
      </c>
      <c r="U2" s="7">
        <v>85</v>
      </c>
      <c r="V2" s="17" t="str">
        <f t="shared" ref="V2" si="4">VLOOKUP(U2,grades1,2,TRUE)</f>
        <v>Mencapai kompetensi dengan baik dalam hal</v>
      </c>
      <c r="W2" s="7">
        <v>86</v>
      </c>
      <c r="X2" s="17" t="str">
        <f t="shared" ref="X2" si="5">VLOOKUP(W2,grades1,2,TRUE)</f>
        <v>Mencapai kompetensi dengan baik dalam hal</v>
      </c>
      <c r="Y2" s="7">
        <v>82</v>
      </c>
      <c r="Z2" s="17" t="str">
        <f t="shared" ref="Z2" si="6">VLOOKUP(Y2,grades1,2,TRUE)</f>
        <v>Mencapai kompetensi dengan baik dalam hal</v>
      </c>
      <c r="AA2" s="7">
        <v>83</v>
      </c>
      <c r="AB2" s="17" t="str">
        <f t="shared" ref="AB2" si="7">VLOOKUP(AA2,grades1,2,TRUE)</f>
        <v>Mencapai kompetensi dengan baik dalam hal</v>
      </c>
      <c r="AC2" s="7">
        <v>88</v>
      </c>
      <c r="AD2" s="17" t="str">
        <f t="shared" ref="AD2" si="8">VLOOKUP(AC2,grades1,2,TRUE)</f>
        <v>Mencapai kompetensi dengan baik dalam hal</v>
      </c>
      <c r="AE2" s="7">
        <v>90</v>
      </c>
      <c r="AF2" s="17" t="str">
        <f t="shared" ref="AF2" si="9">VLOOKUP(AE2,grades1,2,TRUE)</f>
        <v>Mencapai kompetensi dengan sangat baik dalam hal</v>
      </c>
      <c r="AG2" s="7">
        <v>85</v>
      </c>
      <c r="AH2" s="17" t="str">
        <f t="shared" ref="AH2:AH65" si="10">VLOOKUP(AG2,grades1,2,TRUE)</f>
        <v>Mencapai kompetensi dengan baik dalam hal</v>
      </c>
      <c r="AI2" s="7">
        <v>95</v>
      </c>
      <c r="AJ2" s="17" t="str">
        <f t="shared" ref="AJ2:AJ65" si="11">VLOOKUP(AI2,grades1,2,TRUE)</f>
        <v>Mencapai kompetensi dengan sangat baik dalam hal</v>
      </c>
      <c r="AK2" s="7">
        <v>93</v>
      </c>
      <c r="AL2" s="17" t="str">
        <f t="shared" ref="AL2" si="12">VLOOKUP(AK2,grades1,2,TRUE)</f>
        <v>Mencapai kompetensi dengan sangat baik dalam hal</v>
      </c>
      <c r="AM2" s="7">
        <v>87</v>
      </c>
      <c r="AN2" s="17" t="str">
        <f t="shared" ref="AN2" si="13">VLOOKUP(AM2,grades1,2,TRUE)</f>
        <v>Mencapai kompetensi dengan baik dalam hal</v>
      </c>
      <c r="AO2" s="7">
        <v>85</v>
      </c>
      <c r="AP2" s="17" t="str">
        <f t="shared" ref="AP2:AP65" si="14">VLOOKUP(AO2,grades1,2,TRUE)</f>
        <v>Mencapai kompetensi dengan baik dalam hal</v>
      </c>
      <c r="AQ2" s="7">
        <v>84</v>
      </c>
      <c r="AR2" s="17" t="str">
        <f t="shared" ref="AR2" si="15">VLOOKUP(AQ2,grades1,2,TRUE)</f>
        <v>Mencapai kompetensi dengan baik dalam hal</v>
      </c>
      <c r="AS2" s="59">
        <f>AVERAGE(AQ2,AO2,AM2,AK2,AI2,AG2)</f>
        <v>88.166666666666671</v>
      </c>
      <c r="AT2" s="7">
        <v>88</v>
      </c>
      <c r="AU2" s="17" t="str">
        <f t="shared" ref="AU2:AU65" si="16">VLOOKUP(AT2,grades1,2,TRUE)</f>
        <v>Mencapai kompetensi dengan baik dalam hal</v>
      </c>
      <c r="AV2" s="7">
        <v>79</v>
      </c>
      <c r="AW2" s="17" t="str">
        <f t="shared" ref="AW2" si="17">VLOOKUP(AV2,grades1,2,TRUE)</f>
        <v>Mencapai kompetensi dengan baik dalam hal</v>
      </c>
      <c r="AX2" s="7">
        <v>1</v>
      </c>
      <c r="AY2" s="7" t="s">
        <v>81</v>
      </c>
      <c r="AZ2" s="7" t="s">
        <v>81</v>
      </c>
      <c r="BA2" s="7">
        <v>1</v>
      </c>
      <c r="BB2" s="7" t="s">
        <v>82</v>
      </c>
      <c r="BC2" s="17" t="s">
        <v>83</v>
      </c>
      <c r="BD2" s="7" t="s">
        <v>86</v>
      </c>
      <c r="BE2" s="17" t="str">
        <f t="shared" ref="BE2:BE33" si="18">VLOOKUP(BD2,grades4,2,TRUE)</f>
        <v>Sangat baik</v>
      </c>
      <c r="BF2" s="7">
        <v>2</v>
      </c>
      <c r="BG2" s="17" t="s">
        <v>134</v>
      </c>
      <c r="BH2" s="17" t="s">
        <v>83</v>
      </c>
      <c r="BI2" s="7" t="s">
        <v>84</v>
      </c>
      <c r="BJ2" s="17" t="str">
        <f t="shared" ref="BJ2:BJ33" si="19">VLOOKUP(BI2,grades4,2,TRUE)</f>
        <v>Baik</v>
      </c>
      <c r="BK2" s="7"/>
      <c r="BL2" s="7"/>
      <c r="BM2" s="7"/>
      <c r="BN2" s="7"/>
      <c r="BO2" s="17"/>
      <c r="BP2" s="54"/>
      <c r="BQ2" s="54"/>
      <c r="BR2" s="54"/>
      <c r="BT2" s="20" t="s">
        <v>88</v>
      </c>
      <c r="BU2" s="20" t="s">
        <v>89</v>
      </c>
      <c r="BW2" s="21" t="s">
        <v>90</v>
      </c>
      <c r="BX2" s="21" t="s">
        <v>91</v>
      </c>
      <c r="BY2" s="22"/>
    </row>
    <row r="3" spans="1:77" ht="24.95" customHeight="1" thickTop="1" thickBot="1" x14ac:dyDescent="0.3">
      <c r="A3" s="23">
        <v>2</v>
      </c>
      <c r="B3" s="23">
        <v>2525727</v>
      </c>
      <c r="C3" s="23" t="s">
        <v>294</v>
      </c>
      <c r="D3" s="18" t="s">
        <v>295</v>
      </c>
      <c r="E3" s="23" t="s">
        <v>290</v>
      </c>
      <c r="F3" s="23" t="s">
        <v>291</v>
      </c>
      <c r="G3" s="23" t="s">
        <v>292</v>
      </c>
      <c r="H3" s="23" t="s">
        <v>293</v>
      </c>
      <c r="I3" s="60" t="s">
        <v>76</v>
      </c>
      <c r="J3" s="61" t="s">
        <v>77</v>
      </c>
      <c r="K3" s="61" t="s">
        <v>78</v>
      </c>
      <c r="L3" s="61" t="s">
        <v>79</v>
      </c>
      <c r="M3" s="23">
        <v>76</v>
      </c>
      <c r="N3" s="18" t="str">
        <f t="shared" ref="N3:N66" si="20">VLOOKUP(M3,grades1,2,TRUE)</f>
        <v>Mencapai kompetensi dengan baik dalam hal</v>
      </c>
      <c r="O3" s="23">
        <v>75</v>
      </c>
      <c r="P3" s="18" t="str">
        <f t="shared" ref="P3:P66" si="21">VLOOKUP(O3,grades1,2,TRUE)</f>
        <v>Mencapai kompetensi dengan baik dalam hal</v>
      </c>
      <c r="Q3" s="23">
        <v>75</v>
      </c>
      <c r="R3" s="18" t="str">
        <f t="shared" ref="R3:R66" si="22">VLOOKUP(Q3,grades1,2,TRUE)</f>
        <v>Mencapai kompetensi dengan baik dalam hal</v>
      </c>
      <c r="S3" s="23">
        <v>83</v>
      </c>
      <c r="T3" s="18" t="str">
        <f t="shared" ref="T3:T66" si="23">VLOOKUP(S3,grades1,2,TRUE)</f>
        <v>Mencapai kompetensi dengan baik dalam hal</v>
      </c>
      <c r="U3" s="23">
        <v>75</v>
      </c>
      <c r="V3" s="18" t="str">
        <f t="shared" ref="V3:V66" si="24">VLOOKUP(U3,grades1,2,TRUE)</f>
        <v>Mencapai kompetensi dengan baik dalam hal</v>
      </c>
      <c r="W3" s="23">
        <v>70</v>
      </c>
      <c r="X3" s="18" t="str">
        <f t="shared" ref="X3:X66" si="25">VLOOKUP(W3,grades1,2,TRUE)</f>
        <v>Perlu peningkatan dalam hal</v>
      </c>
      <c r="Y3" s="23">
        <v>75</v>
      </c>
      <c r="Z3" s="18" t="str">
        <f t="shared" ref="Z3:Z66" si="26">VLOOKUP(Y3,grades1,2,TRUE)</f>
        <v>Mencapai kompetensi dengan baik dalam hal</v>
      </c>
      <c r="AA3" s="23">
        <v>75</v>
      </c>
      <c r="AB3" s="18" t="str">
        <f t="shared" ref="AB3:AB66" si="27">VLOOKUP(AA3,grades1,2,TRUE)</f>
        <v>Mencapai kompetensi dengan baik dalam hal</v>
      </c>
      <c r="AC3" s="23">
        <v>75</v>
      </c>
      <c r="AD3" s="18" t="str">
        <f t="shared" ref="AD3:AD66" si="28">VLOOKUP(AC3,grades1,2,TRUE)</f>
        <v>Mencapai kompetensi dengan baik dalam hal</v>
      </c>
      <c r="AE3" s="23">
        <v>76</v>
      </c>
      <c r="AF3" s="18" t="str">
        <f t="shared" ref="AF3:AF66" si="29">VLOOKUP(AE3,grades1,2,TRUE)</f>
        <v>Mencapai kompetensi dengan baik dalam hal</v>
      </c>
      <c r="AG3" s="23">
        <v>75</v>
      </c>
      <c r="AH3" s="18" t="str">
        <f t="shared" si="10"/>
        <v>Mencapai kompetensi dengan baik dalam hal</v>
      </c>
      <c r="AI3" s="23">
        <v>84</v>
      </c>
      <c r="AJ3" s="18" t="str">
        <f t="shared" si="11"/>
        <v>Mencapai kompetensi dengan baik dalam hal</v>
      </c>
      <c r="AK3" s="23">
        <v>81</v>
      </c>
      <c r="AL3" s="18" t="str">
        <f t="shared" ref="AL3:AL66" si="30">VLOOKUP(AK3,grades1,2,TRUE)</f>
        <v>Mencapai kompetensi dengan baik dalam hal</v>
      </c>
      <c r="AM3" s="23">
        <v>75</v>
      </c>
      <c r="AN3" s="18" t="str">
        <f t="shared" ref="AN3:AN66" si="31">VLOOKUP(AM3,grades1,2,TRUE)</f>
        <v>Mencapai kompetensi dengan baik dalam hal</v>
      </c>
      <c r="AO3" s="23">
        <v>78</v>
      </c>
      <c r="AP3" s="18" t="str">
        <f t="shared" si="14"/>
        <v>Mencapai kompetensi dengan baik dalam hal</v>
      </c>
      <c r="AQ3" s="23">
        <v>69</v>
      </c>
      <c r="AR3" s="18" t="str">
        <f t="shared" ref="AR3:AR66" si="32">VLOOKUP(AQ3,grades1,2,TRUE)</f>
        <v>Perlu peningkatan dalam hal</v>
      </c>
      <c r="AS3" s="62">
        <f t="shared" ref="AS3:AS66" si="33">AVERAGE(AQ3,AO3,AM3,AK3,AI3,AG3)</f>
        <v>77</v>
      </c>
      <c r="AT3" s="23">
        <v>75</v>
      </c>
      <c r="AU3" s="18" t="str">
        <f t="shared" si="16"/>
        <v>Mencapai kompetensi dengan baik dalam hal</v>
      </c>
      <c r="AV3" s="23">
        <v>80</v>
      </c>
      <c r="AW3" s="18" t="str">
        <f t="shared" ref="AW3:AW66" si="34">VLOOKUP(AV3,grades1,2,TRUE)</f>
        <v>Mencapai kompetensi dengan baik dalam hal</v>
      </c>
      <c r="AX3" s="23">
        <v>1</v>
      </c>
      <c r="AY3" s="23">
        <v>1</v>
      </c>
      <c r="AZ3" s="23" t="s">
        <v>81</v>
      </c>
      <c r="BA3" s="23">
        <v>1</v>
      </c>
      <c r="BB3" s="23" t="s">
        <v>82</v>
      </c>
      <c r="BC3" s="18" t="s">
        <v>83</v>
      </c>
      <c r="BD3" s="23" t="s">
        <v>110</v>
      </c>
      <c r="BE3" s="18" t="str">
        <f t="shared" si="18"/>
        <v>Kurang</v>
      </c>
      <c r="BF3" s="23">
        <v>2</v>
      </c>
      <c r="BG3" s="18" t="s">
        <v>103</v>
      </c>
      <c r="BH3" s="18" t="s">
        <v>83</v>
      </c>
      <c r="BI3" s="23" t="s">
        <v>84</v>
      </c>
      <c r="BJ3" s="18" t="str">
        <f t="shared" si="19"/>
        <v>Baik</v>
      </c>
      <c r="BK3" s="23"/>
      <c r="BL3" s="23"/>
      <c r="BM3" s="23"/>
      <c r="BN3" s="23"/>
      <c r="BO3" s="18"/>
      <c r="BP3" s="54"/>
      <c r="BQ3" s="54"/>
      <c r="BR3" s="54"/>
      <c r="BT3" s="20">
        <v>0</v>
      </c>
      <c r="BU3" s="25" t="s">
        <v>95</v>
      </c>
      <c r="BW3" s="21" t="s">
        <v>86</v>
      </c>
      <c r="BX3" s="21" t="s">
        <v>96</v>
      </c>
      <c r="BY3" s="22"/>
    </row>
    <row r="4" spans="1:77" ht="24.95" customHeight="1" thickTop="1" thickBot="1" x14ac:dyDescent="0.3">
      <c r="A4" s="23">
        <v>3</v>
      </c>
      <c r="B4" s="23">
        <v>2525728</v>
      </c>
      <c r="C4" s="23" t="s">
        <v>296</v>
      </c>
      <c r="D4" s="18" t="s">
        <v>297</v>
      </c>
      <c r="E4" s="23" t="s">
        <v>290</v>
      </c>
      <c r="F4" s="23" t="s">
        <v>291</v>
      </c>
      <c r="G4" s="23" t="s">
        <v>292</v>
      </c>
      <c r="H4" s="23" t="s">
        <v>293</v>
      </c>
      <c r="I4" s="60" t="s">
        <v>76</v>
      </c>
      <c r="J4" s="61" t="s">
        <v>77</v>
      </c>
      <c r="K4" s="61" t="s">
        <v>158</v>
      </c>
      <c r="L4" s="61" t="s">
        <v>159</v>
      </c>
      <c r="M4" s="23">
        <v>83</v>
      </c>
      <c r="N4" s="18" t="str">
        <f t="shared" si="20"/>
        <v>Mencapai kompetensi dengan baik dalam hal</v>
      </c>
      <c r="O4" s="23">
        <v>75</v>
      </c>
      <c r="P4" s="18" t="str">
        <f t="shared" si="21"/>
        <v>Mencapai kompetensi dengan baik dalam hal</v>
      </c>
      <c r="Q4" s="23">
        <v>76</v>
      </c>
      <c r="R4" s="18" t="str">
        <f t="shared" si="22"/>
        <v>Mencapai kompetensi dengan baik dalam hal</v>
      </c>
      <c r="S4" s="23">
        <v>82</v>
      </c>
      <c r="T4" s="18" t="str">
        <f t="shared" si="23"/>
        <v>Mencapai kompetensi dengan baik dalam hal</v>
      </c>
      <c r="U4" s="23">
        <v>70</v>
      </c>
      <c r="V4" s="18" t="str">
        <f t="shared" si="24"/>
        <v>Perlu peningkatan dalam hal</v>
      </c>
      <c r="W4" s="23">
        <v>75</v>
      </c>
      <c r="X4" s="18" t="str">
        <f t="shared" si="25"/>
        <v>Mencapai kompetensi dengan baik dalam hal</v>
      </c>
      <c r="Y4" s="23">
        <v>75</v>
      </c>
      <c r="Z4" s="18" t="str">
        <f t="shared" si="26"/>
        <v>Mencapai kompetensi dengan baik dalam hal</v>
      </c>
      <c r="AA4" s="23">
        <v>77</v>
      </c>
      <c r="AB4" s="18" t="str">
        <f t="shared" si="27"/>
        <v>Mencapai kompetensi dengan baik dalam hal</v>
      </c>
      <c r="AC4" s="23">
        <v>75</v>
      </c>
      <c r="AD4" s="18" t="str">
        <f t="shared" si="28"/>
        <v>Mencapai kompetensi dengan baik dalam hal</v>
      </c>
      <c r="AE4" s="23">
        <v>70</v>
      </c>
      <c r="AF4" s="18" t="str">
        <f t="shared" si="29"/>
        <v>Perlu peningkatan dalam hal</v>
      </c>
      <c r="AG4" s="23">
        <v>78</v>
      </c>
      <c r="AH4" s="18" t="str">
        <f t="shared" si="10"/>
        <v>Mencapai kompetensi dengan baik dalam hal</v>
      </c>
      <c r="AI4" s="23">
        <v>90</v>
      </c>
      <c r="AJ4" s="18" t="str">
        <f t="shared" si="11"/>
        <v>Mencapai kompetensi dengan sangat baik dalam hal</v>
      </c>
      <c r="AK4" s="23">
        <v>83</v>
      </c>
      <c r="AL4" s="18" t="str">
        <f t="shared" si="30"/>
        <v>Mencapai kompetensi dengan baik dalam hal</v>
      </c>
      <c r="AM4" s="23">
        <v>78</v>
      </c>
      <c r="AN4" s="18" t="str">
        <f t="shared" si="31"/>
        <v>Mencapai kompetensi dengan baik dalam hal</v>
      </c>
      <c r="AO4" s="23">
        <v>78</v>
      </c>
      <c r="AP4" s="18" t="str">
        <f t="shared" si="14"/>
        <v>Mencapai kompetensi dengan baik dalam hal</v>
      </c>
      <c r="AQ4" s="23">
        <v>70</v>
      </c>
      <c r="AR4" s="18" t="str">
        <f t="shared" si="32"/>
        <v>Perlu peningkatan dalam hal</v>
      </c>
      <c r="AS4" s="62">
        <f t="shared" si="33"/>
        <v>79.5</v>
      </c>
      <c r="AT4" s="23">
        <v>75</v>
      </c>
      <c r="AU4" s="18" t="str">
        <f t="shared" si="16"/>
        <v>Mencapai kompetensi dengan baik dalam hal</v>
      </c>
      <c r="AV4" s="23">
        <v>77</v>
      </c>
      <c r="AW4" s="18" t="str">
        <f t="shared" si="34"/>
        <v>Mencapai kompetensi dengan baik dalam hal</v>
      </c>
      <c r="AX4" s="23">
        <v>6</v>
      </c>
      <c r="AY4" s="23">
        <v>2</v>
      </c>
      <c r="AZ4" s="23" t="s">
        <v>81</v>
      </c>
      <c r="BA4" s="23">
        <v>1</v>
      </c>
      <c r="BB4" s="23" t="s">
        <v>82</v>
      </c>
      <c r="BC4" s="18" t="s">
        <v>83</v>
      </c>
      <c r="BD4" s="23" t="s">
        <v>110</v>
      </c>
      <c r="BE4" s="18" t="str">
        <f t="shared" si="18"/>
        <v>Kurang</v>
      </c>
      <c r="BF4" s="23">
        <v>2</v>
      </c>
      <c r="BG4" s="18" t="s">
        <v>298</v>
      </c>
      <c r="BH4" s="18" t="s">
        <v>83</v>
      </c>
      <c r="BI4" s="23" t="s">
        <v>84</v>
      </c>
      <c r="BJ4" s="18" t="str">
        <f t="shared" si="19"/>
        <v>Baik</v>
      </c>
      <c r="BK4" s="23"/>
      <c r="BL4" s="23"/>
      <c r="BM4" s="23"/>
      <c r="BN4" s="23"/>
      <c r="BO4" s="18"/>
      <c r="BP4" s="54"/>
      <c r="BQ4" s="54"/>
      <c r="BR4" s="54"/>
      <c r="BT4" s="20">
        <v>60</v>
      </c>
      <c r="BU4" s="25" t="s">
        <v>95</v>
      </c>
      <c r="BW4" s="21" t="s">
        <v>84</v>
      </c>
      <c r="BX4" s="21" t="s">
        <v>100</v>
      </c>
      <c r="BY4" s="22"/>
    </row>
    <row r="5" spans="1:77" ht="24.95" customHeight="1" thickTop="1" thickBot="1" x14ac:dyDescent="0.3">
      <c r="A5" s="23">
        <v>4</v>
      </c>
      <c r="B5" s="23">
        <v>2525729</v>
      </c>
      <c r="C5" s="23" t="s">
        <v>299</v>
      </c>
      <c r="D5" s="18" t="s">
        <v>300</v>
      </c>
      <c r="E5" s="23" t="s">
        <v>290</v>
      </c>
      <c r="F5" s="23" t="s">
        <v>291</v>
      </c>
      <c r="G5" s="23" t="s">
        <v>292</v>
      </c>
      <c r="H5" s="23" t="s">
        <v>293</v>
      </c>
      <c r="I5" s="60" t="s">
        <v>76</v>
      </c>
      <c r="J5" s="61" t="s">
        <v>77</v>
      </c>
      <c r="K5" s="61" t="s">
        <v>78</v>
      </c>
      <c r="L5" s="61" t="s">
        <v>79</v>
      </c>
      <c r="M5" s="23">
        <v>82</v>
      </c>
      <c r="N5" s="18" t="str">
        <f t="shared" si="20"/>
        <v>Mencapai kompetensi dengan baik dalam hal</v>
      </c>
      <c r="O5" s="23">
        <v>75</v>
      </c>
      <c r="P5" s="18" t="str">
        <f t="shared" si="21"/>
        <v>Mencapai kompetensi dengan baik dalam hal</v>
      </c>
      <c r="Q5" s="23">
        <v>75</v>
      </c>
      <c r="R5" s="18" t="str">
        <f t="shared" si="22"/>
        <v>Mencapai kompetensi dengan baik dalam hal</v>
      </c>
      <c r="S5" s="23">
        <v>81</v>
      </c>
      <c r="T5" s="18" t="str">
        <f t="shared" si="23"/>
        <v>Mencapai kompetensi dengan baik dalam hal</v>
      </c>
      <c r="U5" s="23">
        <v>75</v>
      </c>
      <c r="V5" s="18" t="str">
        <f t="shared" si="24"/>
        <v>Mencapai kompetensi dengan baik dalam hal</v>
      </c>
      <c r="W5" s="23">
        <v>75</v>
      </c>
      <c r="X5" s="18" t="str">
        <f t="shared" si="25"/>
        <v>Mencapai kompetensi dengan baik dalam hal</v>
      </c>
      <c r="Y5" s="23">
        <v>75</v>
      </c>
      <c r="Z5" s="18" t="str">
        <f t="shared" si="26"/>
        <v>Mencapai kompetensi dengan baik dalam hal</v>
      </c>
      <c r="AA5" s="23">
        <v>76</v>
      </c>
      <c r="AB5" s="18" t="str">
        <f t="shared" si="27"/>
        <v>Mencapai kompetensi dengan baik dalam hal</v>
      </c>
      <c r="AC5" s="23">
        <v>75</v>
      </c>
      <c r="AD5" s="18" t="str">
        <f t="shared" si="28"/>
        <v>Mencapai kompetensi dengan baik dalam hal</v>
      </c>
      <c r="AE5" s="23">
        <v>70</v>
      </c>
      <c r="AF5" s="18" t="str">
        <f t="shared" si="29"/>
        <v>Perlu peningkatan dalam hal</v>
      </c>
      <c r="AG5" s="23">
        <v>75</v>
      </c>
      <c r="AH5" s="18" t="str">
        <f t="shared" si="10"/>
        <v>Mencapai kompetensi dengan baik dalam hal</v>
      </c>
      <c r="AI5" s="23">
        <v>84</v>
      </c>
      <c r="AJ5" s="18" t="str">
        <f t="shared" si="11"/>
        <v>Mencapai kompetensi dengan baik dalam hal</v>
      </c>
      <c r="AK5" s="23">
        <v>81</v>
      </c>
      <c r="AL5" s="18" t="str">
        <f t="shared" si="30"/>
        <v>Mencapai kompetensi dengan baik dalam hal</v>
      </c>
      <c r="AM5" s="23">
        <v>75</v>
      </c>
      <c r="AN5" s="18" t="str">
        <f t="shared" si="31"/>
        <v>Mencapai kompetensi dengan baik dalam hal</v>
      </c>
      <c r="AO5" s="23">
        <v>77</v>
      </c>
      <c r="AP5" s="18" t="str">
        <f t="shared" si="14"/>
        <v>Mencapai kompetensi dengan baik dalam hal</v>
      </c>
      <c r="AQ5" s="23">
        <v>69</v>
      </c>
      <c r="AR5" s="18" t="str">
        <f t="shared" si="32"/>
        <v>Perlu peningkatan dalam hal</v>
      </c>
      <c r="AS5" s="62">
        <f t="shared" si="33"/>
        <v>76.833333333333329</v>
      </c>
      <c r="AT5" s="23">
        <v>75</v>
      </c>
      <c r="AU5" s="18" t="str">
        <f t="shared" si="16"/>
        <v>Mencapai kompetensi dengan baik dalam hal</v>
      </c>
      <c r="AV5" s="23">
        <v>79</v>
      </c>
      <c r="AW5" s="18" t="str">
        <f t="shared" si="34"/>
        <v>Mencapai kompetensi dengan baik dalam hal</v>
      </c>
      <c r="AX5" s="23">
        <v>6</v>
      </c>
      <c r="AY5" s="23">
        <v>1</v>
      </c>
      <c r="AZ5" s="23" t="s">
        <v>81</v>
      </c>
      <c r="BA5" s="23">
        <v>1</v>
      </c>
      <c r="BB5" s="23" t="s">
        <v>82</v>
      </c>
      <c r="BC5" s="18" t="s">
        <v>83</v>
      </c>
      <c r="BD5" s="23" t="s">
        <v>110</v>
      </c>
      <c r="BE5" s="18" t="str">
        <f t="shared" si="18"/>
        <v>Kurang</v>
      </c>
      <c r="BF5" s="23">
        <v>2</v>
      </c>
      <c r="BG5" s="18" t="s">
        <v>99</v>
      </c>
      <c r="BH5" s="18" t="s">
        <v>83</v>
      </c>
      <c r="BI5" s="23" t="s">
        <v>84</v>
      </c>
      <c r="BJ5" s="18" t="str">
        <f t="shared" si="19"/>
        <v>Baik</v>
      </c>
      <c r="BK5" s="23"/>
      <c r="BL5" s="23"/>
      <c r="BM5" s="23"/>
      <c r="BN5" s="23"/>
      <c r="BO5" s="18"/>
      <c r="BP5" s="54"/>
      <c r="BQ5" s="54"/>
      <c r="BR5" s="54"/>
      <c r="BT5" s="20">
        <v>70</v>
      </c>
      <c r="BU5" s="25" t="s">
        <v>95</v>
      </c>
      <c r="BW5" s="21" t="s">
        <v>104</v>
      </c>
      <c r="BX5" s="21" t="s">
        <v>105</v>
      </c>
      <c r="BY5" s="22"/>
    </row>
    <row r="6" spans="1:77" ht="24.95" customHeight="1" thickTop="1" thickBot="1" x14ac:dyDescent="0.3">
      <c r="A6" s="23">
        <v>5</v>
      </c>
      <c r="B6" s="23">
        <v>2525730</v>
      </c>
      <c r="C6" s="23" t="s">
        <v>301</v>
      </c>
      <c r="D6" s="18" t="s">
        <v>302</v>
      </c>
      <c r="E6" s="23" t="s">
        <v>290</v>
      </c>
      <c r="F6" s="23" t="s">
        <v>291</v>
      </c>
      <c r="G6" s="23" t="s">
        <v>292</v>
      </c>
      <c r="H6" s="23" t="s">
        <v>293</v>
      </c>
      <c r="I6" s="60" t="s">
        <v>76</v>
      </c>
      <c r="J6" s="61" t="s">
        <v>77</v>
      </c>
      <c r="K6" s="61" t="s">
        <v>78</v>
      </c>
      <c r="L6" s="61" t="s">
        <v>79</v>
      </c>
      <c r="M6" s="23">
        <v>76</v>
      </c>
      <c r="N6" s="18" t="str">
        <f t="shared" si="20"/>
        <v>Mencapai kompetensi dengan baik dalam hal</v>
      </c>
      <c r="O6" s="23">
        <v>75</v>
      </c>
      <c r="P6" s="18" t="str">
        <f t="shared" si="21"/>
        <v>Mencapai kompetensi dengan baik dalam hal</v>
      </c>
      <c r="Q6" s="23">
        <v>75</v>
      </c>
      <c r="R6" s="18" t="str">
        <f t="shared" si="22"/>
        <v>Mencapai kompetensi dengan baik dalam hal</v>
      </c>
      <c r="S6" s="23">
        <v>83</v>
      </c>
      <c r="T6" s="18" t="str">
        <f t="shared" si="23"/>
        <v>Mencapai kompetensi dengan baik dalam hal</v>
      </c>
      <c r="U6" s="23">
        <v>77</v>
      </c>
      <c r="V6" s="18" t="str">
        <f t="shared" si="24"/>
        <v>Mencapai kompetensi dengan baik dalam hal</v>
      </c>
      <c r="W6" s="23">
        <v>75</v>
      </c>
      <c r="X6" s="18" t="str">
        <f t="shared" si="25"/>
        <v>Mencapai kompetensi dengan baik dalam hal</v>
      </c>
      <c r="Y6" s="23">
        <v>75</v>
      </c>
      <c r="Z6" s="18" t="str">
        <f t="shared" si="26"/>
        <v>Mencapai kompetensi dengan baik dalam hal</v>
      </c>
      <c r="AA6" s="23">
        <v>77</v>
      </c>
      <c r="AB6" s="18" t="str">
        <f t="shared" si="27"/>
        <v>Mencapai kompetensi dengan baik dalam hal</v>
      </c>
      <c r="AC6" s="23">
        <v>77</v>
      </c>
      <c r="AD6" s="18" t="str">
        <f t="shared" si="28"/>
        <v>Mencapai kompetensi dengan baik dalam hal</v>
      </c>
      <c r="AE6" s="23">
        <v>76</v>
      </c>
      <c r="AF6" s="18" t="str">
        <f t="shared" si="29"/>
        <v>Mencapai kompetensi dengan baik dalam hal</v>
      </c>
      <c r="AG6" s="23">
        <v>82</v>
      </c>
      <c r="AH6" s="18" t="str">
        <f t="shared" si="10"/>
        <v>Mencapai kompetensi dengan baik dalam hal</v>
      </c>
      <c r="AI6" s="23">
        <v>84</v>
      </c>
      <c r="AJ6" s="18" t="str">
        <f t="shared" si="11"/>
        <v>Mencapai kompetensi dengan baik dalam hal</v>
      </c>
      <c r="AK6" s="23">
        <v>81</v>
      </c>
      <c r="AL6" s="18" t="str">
        <f t="shared" si="30"/>
        <v>Mencapai kompetensi dengan baik dalam hal</v>
      </c>
      <c r="AM6" s="23">
        <v>82</v>
      </c>
      <c r="AN6" s="18" t="str">
        <f t="shared" si="31"/>
        <v>Mencapai kompetensi dengan baik dalam hal</v>
      </c>
      <c r="AO6" s="23">
        <v>84</v>
      </c>
      <c r="AP6" s="18" t="str">
        <f t="shared" si="14"/>
        <v>Mencapai kompetensi dengan baik dalam hal</v>
      </c>
      <c r="AQ6" s="23">
        <v>82</v>
      </c>
      <c r="AR6" s="18" t="str">
        <f t="shared" si="32"/>
        <v>Mencapai kompetensi dengan baik dalam hal</v>
      </c>
      <c r="AS6" s="62">
        <f t="shared" si="33"/>
        <v>82.5</v>
      </c>
      <c r="AT6" s="23">
        <v>77</v>
      </c>
      <c r="AU6" s="18" t="str">
        <f t="shared" si="16"/>
        <v>Mencapai kompetensi dengan baik dalam hal</v>
      </c>
      <c r="AV6" s="23">
        <v>80</v>
      </c>
      <c r="AW6" s="18" t="str">
        <f t="shared" si="34"/>
        <v>Mencapai kompetensi dengan baik dalam hal</v>
      </c>
      <c r="AX6" s="23">
        <v>1</v>
      </c>
      <c r="AY6" s="23" t="s">
        <v>81</v>
      </c>
      <c r="AZ6" s="23" t="s">
        <v>81</v>
      </c>
      <c r="BA6" s="23">
        <v>1</v>
      </c>
      <c r="BB6" s="23" t="s">
        <v>82</v>
      </c>
      <c r="BC6" s="18" t="s">
        <v>83</v>
      </c>
      <c r="BD6" s="23" t="s">
        <v>84</v>
      </c>
      <c r="BE6" s="18" t="str">
        <f t="shared" si="18"/>
        <v>Baik</v>
      </c>
      <c r="BF6" s="23">
        <v>2</v>
      </c>
      <c r="BG6" s="18" t="s">
        <v>99</v>
      </c>
      <c r="BH6" s="18" t="s">
        <v>83</v>
      </c>
      <c r="BI6" s="23" t="s">
        <v>84</v>
      </c>
      <c r="BJ6" s="18" t="str">
        <f t="shared" si="19"/>
        <v>Baik</v>
      </c>
      <c r="BK6" s="23"/>
      <c r="BL6" s="23"/>
      <c r="BM6" s="23"/>
      <c r="BN6" s="23"/>
      <c r="BO6" s="18"/>
      <c r="BP6" s="54"/>
      <c r="BQ6" s="54"/>
      <c r="BR6" s="54"/>
      <c r="BT6" s="20">
        <v>75</v>
      </c>
      <c r="BU6" s="25" t="s">
        <v>109</v>
      </c>
      <c r="BW6" s="21" t="s">
        <v>110</v>
      </c>
      <c r="BX6" s="21" t="s">
        <v>111</v>
      </c>
      <c r="BY6" s="22"/>
    </row>
    <row r="7" spans="1:77" ht="24.95" customHeight="1" thickTop="1" thickBot="1" x14ac:dyDescent="0.3">
      <c r="A7" s="23">
        <v>6</v>
      </c>
      <c r="B7" s="23">
        <v>2525731</v>
      </c>
      <c r="C7" s="23" t="s">
        <v>303</v>
      </c>
      <c r="D7" s="18" t="s">
        <v>304</v>
      </c>
      <c r="E7" s="23" t="s">
        <v>290</v>
      </c>
      <c r="F7" s="23" t="s">
        <v>291</v>
      </c>
      <c r="G7" s="23" t="s">
        <v>292</v>
      </c>
      <c r="H7" s="23" t="s">
        <v>293</v>
      </c>
      <c r="I7" s="60" t="s">
        <v>76</v>
      </c>
      <c r="J7" s="61" t="s">
        <v>77</v>
      </c>
      <c r="K7" s="61" t="s">
        <v>78</v>
      </c>
      <c r="L7" s="61" t="s">
        <v>79</v>
      </c>
      <c r="M7" s="23">
        <v>77</v>
      </c>
      <c r="N7" s="18" t="str">
        <f t="shared" si="20"/>
        <v>Mencapai kompetensi dengan baik dalam hal</v>
      </c>
      <c r="O7" s="23">
        <v>76</v>
      </c>
      <c r="P7" s="18" t="str">
        <f t="shared" si="21"/>
        <v>Mencapai kompetensi dengan baik dalam hal</v>
      </c>
      <c r="Q7" s="23">
        <v>78</v>
      </c>
      <c r="R7" s="18" t="str">
        <f t="shared" si="22"/>
        <v>Mencapai kompetensi dengan baik dalam hal</v>
      </c>
      <c r="S7" s="23">
        <v>82</v>
      </c>
      <c r="T7" s="18" t="str">
        <f t="shared" si="23"/>
        <v>Mencapai kompetensi dengan baik dalam hal</v>
      </c>
      <c r="U7" s="23">
        <v>75</v>
      </c>
      <c r="V7" s="18" t="str">
        <f t="shared" si="24"/>
        <v>Mencapai kompetensi dengan baik dalam hal</v>
      </c>
      <c r="W7" s="23">
        <v>75</v>
      </c>
      <c r="X7" s="18" t="str">
        <f t="shared" si="25"/>
        <v>Mencapai kompetensi dengan baik dalam hal</v>
      </c>
      <c r="Y7" s="23">
        <v>79</v>
      </c>
      <c r="Z7" s="18" t="str">
        <f t="shared" si="26"/>
        <v>Mencapai kompetensi dengan baik dalam hal</v>
      </c>
      <c r="AA7" s="23">
        <v>77</v>
      </c>
      <c r="AB7" s="18" t="str">
        <f t="shared" si="27"/>
        <v>Mencapai kompetensi dengan baik dalam hal</v>
      </c>
      <c r="AC7" s="23">
        <v>83</v>
      </c>
      <c r="AD7" s="18" t="str">
        <f t="shared" si="28"/>
        <v>Mencapai kompetensi dengan baik dalam hal</v>
      </c>
      <c r="AE7" s="23">
        <v>82</v>
      </c>
      <c r="AF7" s="18" t="str">
        <f t="shared" si="29"/>
        <v>Mencapai kompetensi dengan baik dalam hal</v>
      </c>
      <c r="AG7" s="23">
        <v>80</v>
      </c>
      <c r="AH7" s="18" t="str">
        <f t="shared" si="10"/>
        <v>Mencapai kompetensi dengan baik dalam hal</v>
      </c>
      <c r="AI7" s="23">
        <v>92</v>
      </c>
      <c r="AJ7" s="18" t="str">
        <f t="shared" si="11"/>
        <v>Mencapai kompetensi dengan sangat baik dalam hal</v>
      </c>
      <c r="AK7" s="23">
        <v>86</v>
      </c>
      <c r="AL7" s="18" t="str">
        <f t="shared" si="30"/>
        <v>Mencapai kompetensi dengan baik dalam hal</v>
      </c>
      <c r="AM7" s="23">
        <v>80</v>
      </c>
      <c r="AN7" s="18" t="str">
        <f t="shared" si="31"/>
        <v>Mencapai kompetensi dengan baik dalam hal</v>
      </c>
      <c r="AO7" s="23">
        <v>85</v>
      </c>
      <c r="AP7" s="18" t="str">
        <f t="shared" si="14"/>
        <v>Mencapai kompetensi dengan baik dalam hal</v>
      </c>
      <c r="AQ7" s="23">
        <v>83</v>
      </c>
      <c r="AR7" s="18" t="str">
        <f t="shared" si="32"/>
        <v>Mencapai kompetensi dengan baik dalam hal</v>
      </c>
      <c r="AS7" s="62">
        <f t="shared" si="33"/>
        <v>84.333333333333329</v>
      </c>
      <c r="AT7" s="23">
        <v>83</v>
      </c>
      <c r="AU7" s="18" t="str">
        <f t="shared" si="16"/>
        <v>Mencapai kompetensi dengan baik dalam hal</v>
      </c>
      <c r="AV7" s="23">
        <v>78</v>
      </c>
      <c r="AW7" s="18" t="str">
        <f t="shared" si="34"/>
        <v>Mencapai kompetensi dengan baik dalam hal</v>
      </c>
      <c r="AX7" s="23" t="s">
        <v>81</v>
      </c>
      <c r="AY7" s="23" t="s">
        <v>81</v>
      </c>
      <c r="AZ7" s="23" t="s">
        <v>81</v>
      </c>
      <c r="BA7" s="23">
        <v>1</v>
      </c>
      <c r="BB7" s="23" t="s">
        <v>82</v>
      </c>
      <c r="BC7" s="18" t="s">
        <v>83</v>
      </c>
      <c r="BD7" s="23" t="s">
        <v>84</v>
      </c>
      <c r="BE7" s="18" t="str">
        <f t="shared" si="18"/>
        <v>Baik</v>
      </c>
      <c r="BF7" s="23">
        <v>2</v>
      </c>
      <c r="BG7" s="18" t="s">
        <v>85</v>
      </c>
      <c r="BH7" s="18" t="s">
        <v>83</v>
      </c>
      <c r="BI7" s="23" t="s">
        <v>84</v>
      </c>
      <c r="BJ7" s="18" t="str">
        <f t="shared" si="19"/>
        <v>Baik</v>
      </c>
      <c r="BK7" s="23">
        <v>3</v>
      </c>
      <c r="BL7" s="23" t="s">
        <v>87</v>
      </c>
      <c r="BM7" s="23" t="s">
        <v>83</v>
      </c>
      <c r="BN7" s="23" t="s">
        <v>84</v>
      </c>
      <c r="BO7" s="18" t="str">
        <f>VLOOKUP(BN7,grades4,2,TRUE)</f>
        <v>Baik</v>
      </c>
      <c r="BP7" s="54"/>
      <c r="BQ7" s="54"/>
      <c r="BR7" s="54"/>
      <c r="BT7" s="20">
        <v>80</v>
      </c>
      <c r="BU7" s="25" t="s">
        <v>109</v>
      </c>
      <c r="BW7" s="21"/>
      <c r="BX7" s="21"/>
      <c r="BY7" s="22"/>
    </row>
    <row r="8" spans="1:77" ht="24.95" customHeight="1" thickTop="1" thickBot="1" x14ac:dyDescent="0.3">
      <c r="A8" s="23">
        <v>7</v>
      </c>
      <c r="B8" s="23">
        <v>2525732</v>
      </c>
      <c r="C8" s="23" t="s">
        <v>305</v>
      </c>
      <c r="D8" s="18" t="s">
        <v>306</v>
      </c>
      <c r="E8" s="23" t="s">
        <v>290</v>
      </c>
      <c r="F8" s="23" t="s">
        <v>291</v>
      </c>
      <c r="G8" s="23" t="s">
        <v>292</v>
      </c>
      <c r="H8" s="23" t="s">
        <v>293</v>
      </c>
      <c r="I8" s="60" t="s">
        <v>76</v>
      </c>
      <c r="J8" s="61" t="s">
        <v>77</v>
      </c>
      <c r="K8" s="61" t="s">
        <v>78</v>
      </c>
      <c r="L8" s="61" t="s">
        <v>79</v>
      </c>
      <c r="M8" s="23">
        <v>76</v>
      </c>
      <c r="N8" s="18" t="str">
        <f t="shared" si="20"/>
        <v>Mencapai kompetensi dengan baik dalam hal</v>
      </c>
      <c r="O8" s="23">
        <v>78</v>
      </c>
      <c r="P8" s="18" t="str">
        <f t="shared" si="21"/>
        <v>Mencapai kompetensi dengan baik dalam hal</v>
      </c>
      <c r="Q8" s="23">
        <v>79</v>
      </c>
      <c r="R8" s="18" t="str">
        <f t="shared" si="22"/>
        <v>Mencapai kompetensi dengan baik dalam hal</v>
      </c>
      <c r="S8" s="23">
        <v>80</v>
      </c>
      <c r="T8" s="18" t="str">
        <f t="shared" si="23"/>
        <v>Mencapai kompetensi dengan baik dalam hal</v>
      </c>
      <c r="U8" s="23">
        <v>86</v>
      </c>
      <c r="V8" s="18" t="str">
        <f t="shared" si="24"/>
        <v>Mencapai kompetensi dengan baik dalam hal</v>
      </c>
      <c r="W8" s="23">
        <v>75</v>
      </c>
      <c r="X8" s="18" t="str">
        <f t="shared" si="25"/>
        <v>Mencapai kompetensi dengan baik dalam hal</v>
      </c>
      <c r="Y8" s="23">
        <v>77</v>
      </c>
      <c r="Z8" s="18" t="str">
        <f t="shared" si="26"/>
        <v>Mencapai kompetensi dengan baik dalam hal</v>
      </c>
      <c r="AA8" s="23">
        <v>78</v>
      </c>
      <c r="AB8" s="18" t="str">
        <f t="shared" si="27"/>
        <v>Mencapai kompetensi dengan baik dalam hal</v>
      </c>
      <c r="AC8" s="23">
        <v>86</v>
      </c>
      <c r="AD8" s="18" t="str">
        <f t="shared" si="28"/>
        <v>Mencapai kompetensi dengan baik dalam hal</v>
      </c>
      <c r="AE8" s="23">
        <v>88</v>
      </c>
      <c r="AF8" s="18" t="str">
        <f t="shared" si="29"/>
        <v>Mencapai kompetensi dengan baik dalam hal</v>
      </c>
      <c r="AG8" s="23">
        <v>81</v>
      </c>
      <c r="AH8" s="18" t="str">
        <f t="shared" si="10"/>
        <v>Mencapai kompetensi dengan baik dalam hal</v>
      </c>
      <c r="AI8" s="23">
        <v>87</v>
      </c>
      <c r="AJ8" s="18" t="str">
        <f t="shared" si="11"/>
        <v>Mencapai kompetensi dengan baik dalam hal</v>
      </c>
      <c r="AK8" s="23">
        <v>83</v>
      </c>
      <c r="AL8" s="18" t="str">
        <f t="shared" si="30"/>
        <v>Mencapai kompetensi dengan baik dalam hal</v>
      </c>
      <c r="AM8" s="23">
        <v>80</v>
      </c>
      <c r="AN8" s="18" t="str">
        <f t="shared" si="31"/>
        <v>Mencapai kompetensi dengan baik dalam hal</v>
      </c>
      <c r="AO8" s="23">
        <v>84</v>
      </c>
      <c r="AP8" s="18" t="str">
        <f t="shared" si="14"/>
        <v>Mencapai kompetensi dengan baik dalam hal</v>
      </c>
      <c r="AQ8" s="23">
        <v>82</v>
      </c>
      <c r="AR8" s="18" t="str">
        <f t="shared" si="32"/>
        <v>Mencapai kompetensi dengan baik dalam hal</v>
      </c>
      <c r="AS8" s="62">
        <f t="shared" si="33"/>
        <v>82.833333333333329</v>
      </c>
      <c r="AT8" s="23">
        <v>86</v>
      </c>
      <c r="AU8" s="18" t="str">
        <f t="shared" si="16"/>
        <v>Mencapai kompetensi dengan baik dalam hal</v>
      </c>
      <c r="AV8" s="23">
        <v>79</v>
      </c>
      <c r="AW8" s="18" t="str">
        <f t="shared" si="34"/>
        <v>Mencapai kompetensi dengan baik dalam hal</v>
      </c>
      <c r="AX8" s="23" t="s">
        <v>81</v>
      </c>
      <c r="AY8" s="23" t="s">
        <v>81</v>
      </c>
      <c r="AZ8" s="23" t="s">
        <v>81</v>
      </c>
      <c r="BA8" s="23">
        <v>1</v>
      </c>
      <c r="BB8" s="23" t="s">
        <v>82</v>
      </c>
      <c r="BC8" s="18" t="s">
        <v>83</v>
      </c>
      <c r="BD8" s="23" t="s">
        <v>86</v>
      </c>
      <c r="BE8" s="18" t="str">
        <f t="shared" si="18"/>
        <v>Sangat baik</v>
      </c>
      <c r="BF8" s="23">
        <v>2</v>
      </c>
      <c r="BG8" s="18" t="s">
        <v>99</v>
      </c>
      <c r="BH8" s="18" t="s">
        <v>83</v>
      </c>
      <c r="BI8" s="23" t="s">
        <v>84</v>
      </c>
      <c r="BJ8" s="18" t="str">
        <f t="shared" si="19"/>
        <v>Baik</v>
      </c>
      <c r="BK8" s="23"/>
      <c r="BL8" s="23"/>
      <c r="BM8" s="23"/>
      <c r="BN8" s="23"/>
      <c r="BO8" s="18"/>
      <c r="BP8" s="54"/>
      <c r="BQ8" s="54"/>
      <c r="BR8" s="54"/>
      <c r="BT8" s="20">
        <v>85</v>
      </c>
      <c r="BU8" s="25" t="s">
        <v>109</v>
      </c>
      <c r="BW8" s="22"/>
      <c r="BX8" s="22"/>
      <c r="BY8" s="22"/>
    </row>
    <row r="9" spans="1:77" ht="24.95" customHeight="1" thickTop="1" thickBot="1" x14ac:dyDescent="0.3">
      <c r="A9" s="23">
        <v>8</v>
      </c>
      <c r="B9" s="23">
        <v>2525733</v>
      </c>
      <c r="C9" s="23" t="s">
        <v>307</v>
      </c>
      <c r="D9" s="18" t="s">
        <v>308</v>
      </c>
      <c r="E9" s="23" t="s">
        <v>290</v>
      </c>
      <c r="F9" s="23" t="s">
        <v>291</v>
      </c>
      <c r="G9" s="23" t="s">
        <v>292</v>
      </c>
      <c r="H9" s="23" t="s">
        <v>293</v>
      </c>
      <c r="I9" s="60" t="s">
        <v>76</v>
      </c>
      <c r="J9" s="61" t="s">
        <v>77</v>
      </c>
      <c r="K9" s="61" t="s">
        <v>309</v>
      </c>
      <c r="L9" s="61" t="s">
        <v>310</v>
      </c>
      <c r="M9" s="23">
        <v>77</v>
      </c>
      <c r="N9" s="18" t="str">
        <f t="shared" si="20"/>
        <v>Mencapai kompetensi dengan baik dalam hal</v>
      </c>
      <c r="O9" s="23">
        <v>79</v>
      </c>
      <c r="P9" s="18" t="str">
        <f t="shared" si="21"/>
        <v>Mencapai kompetensi dengan baik dalam hal</v>
      </c>
      <c r="Q9" s="23">
        <v>76</v>
      </c>
      <c r="R9" s="18" t="str">
        <f t="shared" si="22"/>
        <v>Mencapai kompetensi dengan baik dalam hal</v>
      </c>
      <c r="S9" s="23">
        <v>82</v>
      </c>
      <c r="T9" s="18" t="str">
        <f t="shared" si="23"/>
        <v>Mencapai kompetensi dengan baik dalam hal</v>
      </c>
      <c r="U9" s="23">
        <v>75</v>
      </c>
      <c r="V9" s="18" t="str">
        <f t="shared" si="24"/>
        <v>Mencapai kompetensi dengan baik dalam hal</v>
      </c>
      <c r="W9" s="23">
        <v>75</v>
      </c>
      <c r="X9" s="18" t="str">
        <f t="shared" si="25"/>
        <v>Mencapai kompetensi dengan baik dalam hal</v>
      </c>
      <c r="Y9" s="23">
        <v>75</v>
      </c>
      <c r="Z9" s="18" t="str">
        <f t="shared" si="26"/>
        <v>Mencapai kompetensi dengan baik dalam hal</v>
      </c>
      <c r="AA9" s="23">
        <v>83</v>
      </c>
      <c r="AB9" s="18" t="str">
        <f t="shared" si="27"/>
        <v>Mencapai kompetensi dengan baik dalam hal</v>
      </c>
      <c r="AC9" s="23">
        <v>75</v>
      </c>
      <c r="AD9" s="18" t="str">
        <f t="shared" si="28"/>
        <v>Mencapai kompetensi dengan baik dalam hal</v>
      </c>
      <c r="AE9" s="23">
        <v>86</v>
      </c>
      <c r="AF9" s="18" t="str">
        <f t="shared" si="29"/>
        <v>Mencapai kompetensi dengan baik dalam hal</v>
      </c>
      <c r="AG9" s="23">
        <v>81</v>
      </c>
      <c r="AH9" s="18" t="str">
        <f t="shared" si="10"/>
        <v>Mencapai kompetensi dengan baik dalam hal</v>
      </c>
      <c r="AI9" s="23">
        <v>93</v>
      </c>
      <c r="AJ9" s="18" t="str">
        <f t="shared" si="11"/>
        <v>Mencapai kompetensi dengan sangat baik dalam hal</v>
      </c>
      <c r="AK9" s="23">
        <v>85</v>
      </c>
      <c r="AL9" s="18" t="str">
        <f t="shared" si="30"/>
        <v>Mencapai kompetensi dengan baik dalam hal</v>
      </c>
      <c r="AM9" s="23">
        <v>80</v>
      </c>
      <c r="AN9" s="18" t="str">
        <f t="shared" si="31"/>
        <v>Mencapai kompetensi dengan baik dalam hal</v>
      </c>
      <c r="AO9" s="23">
        <v>83</v>
      </c>
      <c r="AP9" s="18" t="str">
        <f t="shared" si="14"/>
        <v>Mencapai kompetensi dengan baik dalam hal</v>
      </c>
      <c r="AQ9" s="23">
        <v>82</v>
      </c>
      <c r="AR9" s="18" t="str">
        <f t="shared" si="32"/>
        <v>Mencapai kompetensi dengan baik dalam hal</v>
      </c>
      <c r="AS9" s="62">
        <f t="shared" si="33"/>
        <v>84</v>
      </c>
      <c r="AT9" s="23">
        <v>75</v>
      </c>
      <c r="AU9" s="18" t="str">
        <f t="shared" si="16"/>
        <v>Mencapai kompetensi dengan baik dalam hal</v>
      </c>
      <c r="AV9" s="23">
        <v>80</v>
      </c>
      <c r="AW9" s="18" t="str">
        <f t="shared" si="34"/>
        <v>Mencapai kompetensi dengan baik dalam hal</v>
      </c>
      <c r="AX9" s="23" t="s">
        <v>81</v>
      </c>
      <c r="AY9" s="23" t="s">
        <v>81</v>
      </c>
      <c r="AZ9" s="23" t="s">
        <v>81</v>
      </c>
      <c r="BA9" s="23">
        <v>1</v>
      </c>
      <c r="BB9" s="23" t="s">
        <v>82</v>
      </c>
      <c r="BC9" s="18" t="s">
        <v>83</v>
      </c>
      <c r="BD9" s="23" t="s">
        <v>84</v>
      </c>
      <c r="BE9" s="18" t="str">
        <f t="shared" si="18"/>
        <v>Baik</v>
      </c>
      <c r="BF9" s="23">
        <v>2</v>
      </c>
      <c r="BG9" s="18" t="s">
        <v>103</v>
      </c>
      <c r="BH9" s="18" t="s">
        <v>83</v>
      </c>
      <c r="BI9" s="23" t="s">
        <v>84</v>
      </c>
      <c r="BJ9" s="18" t="str">
        <f t="shared" si="19"/>
        <v>Baik</v>
      </c>
      <c r="BK9" s="23"/>
      <c r="BL9" s="23"/>
      <c r="BM9" s="23"/>
      <c r="BN9" s="23"/>
      <c r="BO9" s="18"/>
      <c r="BP9" s="54"/>
      <c r="BQ9" s="54"/>
      <c r="BR9" s="54"/>
      <c r="BT9" s="20">
        <v>90</v>
      </c>
      <c r="BU9" s="25" t="s">
        <v>120</v>
      </c>
      <c r="BW9" s="22"/>
      <c r="BX9" s="22"/>
      <c r="BY9" s="22"/>
    </row>
    <row r="10" spans="1:77" ht="24.95" customHeight="1" thickTop="1" thickBot="1" x14ac:dyDescent="0.3">
      <c r="A10" s="23">
        <v>9</v>
      </c>
      <c r="B10" s="23">
        <v>2525734</v>
      </c>
      <c r="C10" s="23" t="s">
        <v>311</v>
      </c>
      <c r="D10" s="18" t="s">
        <v>312</v>
      </c>
      <c r="E10" s="23" t="s">
        <v>290</v>
      </c>
      <c r="F10" s="23" t="s">
        <v>291</v>
      </c>
      <c r="G10" s="23" t="s">
        <v>292</v>
      </c>
      <c r="H10" s="23" t="s">
        <v>293</v>
      </c>
      <c r="I10" s="60" t="s">
        <v>76</v>
      </c>
      <c r="J10" s="61" t="s">
        <v>77</v>
      </c>
      <c r="K10" s="61" t="s">
        <v>309</v>
      </c>
      <c r="L10" s="61" t="s">
        <v>310</v>
      </c>
      <c r="M10" s="23">
        <v>82</v>
      </c>
      <c r="N10" s="18" t="str">
        <f t="shared" si="20"/>
        <v>Mencapai kompetensi dengan baik dalam hal</v>
      </c>
      <c r="O10" s="23">
        <v>80</v>
      </c>
      <c r="P10" s="18" t="str">
        <f t="shared" si="21"/>
        <v>Mencapai kompetensi dengan baik dalam hal</v>
      </c>
      <c r="Q10" s="23">
        <v>80</v>
      </c>
      <c r="R10" s="18" t="str">
        <f t="shared" si="22"/>
        <v>Mencapai kompetensi dengan baik dalam hal</v>
      </c>
      <c r="S10" s="23">
        <v>81</v>
      </c>
      <c r="T10" s="18" t="str">
        <f t="shared" si="23"/>
        <v>Mencapai kompetensi dengan baik dalam hal</v>
      </c>
      <c r="U10" s="23">
        <v>87</v>
      </c>
      <c r="V10" s="18" t="str">
        <f t="shared" si="24"/>
        <v>Mencapai kompetensi dengan baik dalam hal</v>
      </c>
      <c r="W10" s="23">
        <v>83</v>
      </c>
      <c r="X10" s="18" t="str">
        <f t="shared" si="25"/>
        <v>Mencapai kompetensi dengan baik dalam hal</v>
      </c>
      <c r="Y10" s="23">
        <v>83</v>
      </c>
      <c r="Z10" s="18" t="str">
        <f t="shared" si="26"/>
        <v>Mencapai kompetensi dengan baik dalam hal</v>
      </c>
      <c r="AA10" s="23">
        <v>82</v>
      </c>
      <c r="AB10" s="18" t="str">
        <f t="shared" si="27"/>
        <v>Mencapai kompetensi dengan baik dalam hal</v>
      </c>
      <c r="AC10" s="23">
        <v>88</v>
      </c>
      <c r="AD10" s="18" t="str">
        <f t="shared" si="28"/>
        <v>Mencapai kompetensi dengan baik dalam hal</v>
      </c>
      <c r="AE10" s="23">
        <v>82</v>
      </c>
      <c r="AF10" s="18" t="str">
        <f t="shared" si="29"/>
        <v>Mencapai kompetensi dengan baik dalam hal</v>
      </c>
      <c r="AG10" s="23">
        <v>80</v>
      </c>
      <c r="AH10" s="18" t="str">
        <f t="shared" si="10"/>
        <v>Mencapai kompetensi dengan baik dalam hal</v>
      </c>
      <c r="AI10" s="23">
        <v>87</v>
      </c>
      <c r="AJ10" s="18" t="str">
        <f t="shared" si="11"/>
        <v>Mencapai kompetensi dengan baik dalam hal</v>
      </c>
      <c r="AK10" s="23">
        <v>84</v>
      </c>
      <c r="AL10" s="18" t="str">
        <f t="shared" si="30"/>
        <v>Mencapai kompetensi dengan baik dalam hal</v>
      </c>
      <c r="AM10" s="23">
        <v>80</v>
      </c>
      <c r="AN10" s="18" t="str">
        <f t="shared" si="31"/>
        <v>Mencapai kompetensi dengan baik dalam hal</v>
      </c>
      <c r="AO10" s="23">
        <v>84</v>
      </c>
      <c r="AP10" s="18" t="str">
        <f t="shared" si="14"/>
        <v>Mencapai kompetensi dengan baik dalam hal</v>
      </c>
      <c r="AQ10" s="23">
        <v>83</v>
      </c>
      <c r="AR10" s="18" t="str">
        <f t="shared" si="32"/>
        <v>Mencapai kompetensi dengan baik dalam hal</v>
      </c>
      <c r="AS10" s="62">
        <f t="shared" si="33"/>
        <v>83</v>
      </c>
      <c r="AT10" s="23">
        <v>88</v>
      </c>
      <c r="AU10" s="18" t="str">
        <f t="shared" si="16"/>
        <v>Mencapai kompetensi dengan baik dalam hal</v>
      </c>
      <c r="AV10" s="23">
        <v>82</v>
      </c>
      <c r="AW10" s="18" t="str">
        <f t="shared" si="34"/>
        <v>Mencapai kompetensi dengan baik dalam hal</v>
      </c>
      <c r="AX10" s="23" t="s">
        <v>81</v>
      </c>
      <c r="AY10" s="23" t="s">
        <v>81</v>
      </c>
      <c r="AZ10" s="23" t="s">
        <v>81</v>
      </c>
      <c r="BA10" s="23">
        <v>1</v>
      </c>
      <c r="BB10" s="23" t="s">
        <v>82</v>
      </c>
      <c r="BC10" s="18" t="s">
        <v>83</v>
      </c>
      <c r="BD10" s="23" t="s">
        <v>84</v>
      </c>
      <c r="BE10" s="18" t="str">
        <f t="shared" si="18"/>
        <v>Baik</v>
      </c>
      <c r="BF10" s="23">
        <v>2</v>
      </c>
      <c r="BG10" s="18" t="s">
        <v>103</v>
      </c>
      <c r="BH10" s="18" t="s">
        <v>83</v>
      </c>
      <c r="BI10" s="23" t="s">
        <v>84</v>
      </c>
      <c r="BJ10" s="18" t="str">
        <f t="shared" si="19"/>
        <v>Baik</v>
      </c>
      <c r="BK10" s="23"/>
      <c r="BL10" s="23"/>
      <c r="BM10" s="23"/>
      <c r="BN10" s="23"/>
      <c r="BO10" s="18"/>
      <c r="BP10" s="54"/>
      <c r="BQ10" s="54"/>
      <c r="BR10" s="54"/>
      <c r="BT10" s="20">
        <v>95</v>
      </c>
      <c r="BU10" s="25" t="s">
        <v>120</v>
      </c>
      <c r="BW10" s="22"/>
      <c r="BX10" s="22"/>
      <c r="BY10" s="22"/>
    </row>
    <row r="11" spans="1:77" ht="24.95" customHeight="1" thickTop="1" thickBot="1" x14ac:dyDescent="0.3">
      <c r="A11" s="23">
        <v>10</v>
      </c>
      <c r="B11" s="23">
        <v>2525735</v>
      </c>
      <c r="C11" s="23" t="s">
        <v>313</v>
      </c>
      <c r="D11" s="18" t="s">
        <v>314</v>
      </c>
      <c r="E11" s="23" t="s">
        <v>290</v>
      </c>
      <c r="F11" s="23" t="s">
        <v>291</v>
      </c>
      <c r="G11" s="23" t="s">
        <v>292</v>
      </c>
      <c r="H11" s="23" t="s">
        <v>293</v>
      </c>
      <c r="I11" s="60" t="s">
        <v>76</v>
      </c>
      <c r="J11" s="61" t="s">
        <v>77</v>
      </c>
      <c r="K11" s="61" t="s">
        <v>78</v>
      </c>
      <c r="L11" s="61" t="s">
        <v>79</v>
      </c>
      <c r="M11" s="23">
        <v>82</v>
      </c>
      <c r="N11" s="18" t="str">
        <f t="shared" si="20"/>
        <v>Mencapai kompetensi dengan baik dalam hal</v>
      </c>
      <c r="O11" s="23">
        <v>76</v>
      </c>
      <c r="P11" s="18" t="str">
        <f t="shared" si="21"/>
        <v>Mencapai kompetensi dengan baik dalam hal</v>
      </c>
      <c r="Q11" s="23">
        <v>78</v>
      </c>
      <c r="R11" s="18" t="str">
        <f t="shared" si="22"/>
        <v>Mencapai kompetensi dengan baik dalam hal</v>
      </c>
      <c r="S11" s="23">
        <v>81</v>
      </c>
      <c r="T11" s="18" t="str">
        <f t="shared" si="23"/>
        <v>Mencapai kompetensi dengan baik dalam hal</v>
      </c>
      <c r="U11" s="23">
        <v>75</v>
      </c>
      <c r="V11" s="18" t="str">
        <f t="shared" si="24"/>
        <v>Mencapai kompetensi dengan baik dalam hal</v>
      </c>
      <c r="W11" s="23">
        <v>75</v>
      </c>
      <c r="X11" s="18" t="str">
        <f t="shared" si="25"/>
        <v>Mencapai kompetensi dengan baik dalam hal</v>
      </c>
      <c r="Y11" s="23">
        <v>75</v>
      </c>
      <c r="Z11" s="18" t="str">
        <f t="shared" si="26"/>
        <v>Mencapai kompetensi dengan baik dalam hal</v>
      </c>
      <c r="AA11" s="23">
        <v>79</v>
      </c>
      <c r="AB11" s="18" t="str">
        <f t="shared" si="27"/>
        <v>Mencapai kompetensi dengan baik dalam hal</v>
      </c>
      <c r="AC11" s="23">
        <v>77</v>
      </c>
      <c r="AD11" s="18" t="str">
        <f t="shared" si="28"/>
        <v>Mencapai kompetensi dengan baik dalam hal</v>
      </c>
      <c r="AE11" s="23">
        <v>78</v>
      </c>
      <c r="AF11" s="18" t="str">
        <f t="shared" si="29"/>
        <v>Mencapai kompetensi dengan baik dalam hal</v>
      </c>
      <c r="AG11" s="23">
        <v>80</v>
      </c>
      <c r="AH11" s="18" t="str">
        <f t="shared" si="10"/>
        <v>Mencapai kompetensi dengan baik dalam hal</v>
      </c>
      <c r="AI11" s="23">
        <v>83</v>
      </c>
      <c r="AJ11" s="18" t="str">
        <f t="shared" si="11"/>
        <v>Mencapai kompetensi dengan baik dalam hal</v>
      </c>
      <c r="AK11" s="23">
        <v>81</v>
      </c>
      <c r="AL11" s="18" t="str">
        <f t="shared" si="30"/>
        <v>Mencapai kompetensi dengan baik dalam hal</v>
      </c>
      <c r="AM11" s="23">
        <v>78</v>
      </c>
      <c r="AN11" s="18" t="str">
        <f t="shared" si="31"/>
        <v>Mencapai kompetensi dengan baik dalam hal</v>
      </c>
      <c r="AO11" s="23">
        <v>80</v>
      </c>
      <c r="AP11" s="18" t="str">
        <f t="shared" si="14"/>
        <v>Mencapai kompetensi dengan baik dalam hal</v>
      </c>
      <c r="AQ11" s="23">
        <v>80</v>
      </c>
      <c r="AR11" s="18" t="str">
        <f t="shared" si="32"/>
        <v>Mencapai kompetensi dengan baik dalam hal</v>
      </c>
      <c r="AS11" s="62">
        <f t="shared" si="33"/>
        <v>80.333333333333329</v>
      </c>
      <c r="AT11" s="23">
        <v>77</v>
      </c>
      <c r="AU11" s="18" t="str">
        <f t="shared" si="16"/>
        <v>Mencapai kompetensi dengan baik dalam hal</v>
      </c>
      <c r="AV11" s="23">
        <v>80</v>
      </c>
      <c r="AW11" s="18" t="str">
        <f t="shared" si="34"/>
        <v>Mencapai kompetensi dengan baik dalam hal</v>
      </c>
      <c r="AX11" s="23" t="s">
        <v>81</v>
      </c>
      <c r="AY11" s="23" t="s">
        <v>81</v>
      </c>
      <c r="AZ11" s="23" t="s">
        <v>81</v>
      </c>
      <c r="BA11" s="23">
        <v>1</v>
      </c>
      <c r="BB11" s="23" t="s">
        <v>82</v>
      </c>
      <c r="BC11" s="18" t="s">
        <v>83</v>
      </c>
      <c r="BD11" s="23" t="s">
        <v>86</v>
      </c>
      <c r="BE11" s="18" t="str">
        <f t="shared" si="18"/>
        <v>Sangat baik</v>
      </c>
      <c r="BF11" s="23">
        <v>2</v>
      </c>
      <c r="BG11" s="18" t="s">
        <v>236</v>
      </c>
      <c r="BH11" s="18" t="s">
        <v>83</v>
      </c>
      <c r="BI11" s="23" t="s">
        <v>84</v>
      </c>
      <c r="BJ11" s="18" t="str">
        <f t="shared" si="19"/>
        <v>Baik</v>
      </c>
      <c r="BK11" s="23"/>
      <c r="BL11" s="23"/>
      <c r="BM11" s="23"/>
      <c r="BN11" s="23"/>
      <c r="BO11" s="18"/>
      <c r="BP11" s="54"/>
      <c r="BQ11" s="54"/>
      <c r="BR11" s="54"/>
      <c r="BT11" s="20">
        <v>100</v>
      </c>
      <c r="BU11" s="25" t="s">
        <v>120</v>
      </c>
      <c r="BW11" s="22"/>
      <c r="BX11" s="22"/>
      <c r="BY11" s="22"/>
    </row>
    <row r="12" spans="1:77" ht="24.95" customHeight="1" thickTop="1" x14ac:dyDescent="0.25">
      <c r="A12" s="23">
        <v>11</v>
      </c>
      <c r="B12" s="23">
        <v>2525736</v>
      </c>
      <c r="C12" s="23" t="s">
        <v>315</v>
      </c>
      <c r="D12" s="18" t="s">
        <v>316</v>
      </c>
      <c r="E12" s="23" t="s">
        <v>290</v>
      </c>
      <c r="F12" s="23" t="s">
        <v>291</v>
      </c>
      <c r="G12" s="23" t="s">
        <v>292</v>
      </c>
      <c r="H12" s="23" t="s">
        <v>293</v>
      </c>
      <c r="I12" s="60" t="s">
        <v>76</v>
      </c>
      <c r="J12" s="61" t="s">
        <v>77</v>
      </c>
      <c r="K12" s="61" t="s">
        <v>78</v>
      </c>
      <c r="L12" s="61" t="s">
        <v>79</v>
      </c>
      <c r="M12" s="23">
        <v>75</v>
      </c>
      <c r="N12" s="18" t="str">
        <f t="shared" si="20"/>
        <v>Mencapai kompetensi dengan baik dalam hal</v>
      </c>
      <c r="O12" s="23">
        <v>75</v>
      </c>
      <c r="P12" s="18" t="str">
        <f t="shared" si="21"/>
        <v>Mencapai kompetensi dengan baik dalam hal</v>
      </c>
      <c r="Q12" s="23">
        <v>75</v>
      </c>
      <c r="R12" s="18" t="str">
        <f t="shared" si="22"/>
        <v>Mencapai kompetensi dengan baik dalam hal</v>
      </c>
      <c r="S12" s="23">
        <v>82</v>
      </c>
      <c r="T12" s="18" t="str">
        <f t="shared" si="23"/>
        <v>Mencapai kompetensi dengan baik dalam hal</v>
      </c>
      <c r="U12" s="23">
        <v>75</v>
      </c>
      <c r="V12" s="18" t="str">
        <f t="shared" si="24"/>
        <v>Mencapai kompetensi dengan baik dalam hal</v>
      </c>
      <c r="W12" s="23">
        <v>70</v>
      </c>
      <c r="X12" s="18" t="str">
        <f t="shared" si="25"/>
        <v>Perlu peningkatan dalam hal</v>
      </c>
      <c r="Y12" s="23">
        <v>75</v>
      </c>
      <c r="Z12" s="18" t="str">
        <f t="shared" si="26"/>
        <v>Mencapai kompetensi dengan baik dalam hal</v>
      </c>
      <c r="AA12" s="23">
        <v>76</v>
      </c>
      <c r="AB12" s="18" t="str">
        <f t="shared" si="27"/>
        <v>Mencapai kompetensi dengan baik dalam hal</v>
      </c>
      <c r="AC12" s="23">
        <v>75</v>
      </c>
      <c r="AD12" s="18" t="str">
        <f t="shared" si="28"/>
        <v>Mencapai kompetensi dengan baik dalam hal</v>
      </c>
      <c r="AE12" s="23">
        <v>69</v>
      </c>
      <c r="AF12" s="18" t="str">
        <f t="shared" si="29"/>
        <v>Perlu peningkatan dalam hal</v>
      </c>
      <c r="AG12" s="23">
        <v>75</v>
      </c>
      <c r="AH12" s="18" t="str">
        <f t="shared" si="10"/>
        <v>Mencapai kompetensi dengan baik dalam hal</v>
      </c>
      <c r="AI12" s="23">
        <v>75</v>
      </c>
      <c r="AJ12" s="18" t="str">
        <f t="shared" si="11"/>
        <v>Mencapai kompetensi dengan baik dalam hal</v>
      </c>
      <c r="AK12" s="23">
        <v>78</v>
      </c>
      <c r="AL12" s="18" t="str">
        <f t="shared" si="30"/>
        <v>Mencapai kompetensi dengan baik dalam hal</v>
      </c>
      <c r="AM12" s="23">
        <v>75</v>
      </c>
      <c r="AN12" s="18" t="str">
        <f t="shared" si="31"/>
        <v>Mencapai kompetensi dengan baik dalam hal</v>
      </c>
      <c r="AO12" s="23">
        <v>77</v>
      </c>
      <c r="AP12" s="18" t="str">
        <f t="shared" si="14"/>
        <v>Mencapai kompetensi dengan baik dalam hal</v>
      </c>
      <c r="AQ12" s="23">
        <v>69</v>
      </c>
      <c r="AR12" s="18" t="str">
        <f t="shared" si="32"/>
        <v>Perlu peningkatan dalam hal</v>
      </c>
      <c r="AS12" s="62">
        <f t="shared" si="33"/>
        <v>74.833333333333329</v>
      </c>
      <c r="AT12" s="23">
        <v>75</v>
      </c>
      <c r="AU12" s="18" t="str">
        <f t="shared" si="16"/>
        <v>Mencapai kompetensi dengan baik dalam hal</v>
      </c>
      <c r="AV12" s="23">
        <v>79</v>
      </c>
      <c r="AW12" s="18" t="str">
        <f t="shared" si="34"/>
        <v>Mencapai kompetensi dengan baik dalam hal</v>
      </c>
      <c r="AX12" s="23">
        <v>4</v>
      </c>
      <c r="AY12" s="23" t="s">
        <v>81</v>
      </c>
      <c r="AZ12" s="23">
        <v>1</v>
      </c>
      <c r="BA12" s="23">
        <v>1</v>
      </c>
      <c r="BB12" s="23" t="s">
        <v>82</v>
      </c>
      <c r="BC12" s="18" t="s">
        <v>83</v>
      </c>
      <c r="BD12" s="23" t="s">
        <v>110</v>
      </c>
      <c r="BE12" s="18" t="str">
        <f t="shared" si="18"/>
        <v>Kurang</v>
      </c>
      <c r="BF12" s="23">
        <v>2</v>
      </c>
      <c r="BG12" s="18" t="s">
        <v>170</v>
      </c>
      <c r="BH12" s="18" t="s">
        <v>83</v>
      </c>
      <c r="BI12" s="23" t="s">
        <v>110</v>
      </c>
      <c r="BJ12" s="18" t="str">
        <f t="shared" si="19"/>
        <v>Kurang</v>
      </c>
      <c r="BK12" s="23"/>
      <c r="BL12" s="23"/>
      <c r="BM12" s="23"/>
      <c r="BN12" s="23"/>
      <c r="BO12" s="18"/>
      <c r="BP12" s="54"/>
      <c r="BQ12" s="54"/>
      <c r="BR12" s="54"/>
      <c r="BT12" s="22"/>
      <c r="BU12" s="22"/>
      <c r="BW12" s="22"/>
      <c r="BX12" s="22"/>
      <c r="BY12" s="22"/>
    </row>
    <row r="13" spans="1:77" ht="24.95" customHeight="1" x14ac:dyDescent="0.25">
      <c r="A13" s="23">
        <v>12</v>
      </c>
      <c r="B13" s="23">
        <v>2525737</v>
      </c>
      <c r="C13" s="23" t="s">
        <v>317</v>
      </c>
      <c r="D13" s="18" t="s">
        <v>318</v>
      </c>
      <c r="E13" s="23" t="s">
        <v>290</v>
      </c>
      <c r="F13" s="23" t="s">
        <v>291</v>
      </c>
      <c r="G13" s="23" t="s">
        <v>292</v>
      </c>
      <c r="H13" s="23" t="s">
        <v>293</v>
      </c>
      <c r="I13" s="60" t="s">
        <v>76</v>
      </c>
      <c r="J13" s="61" t="s">
        <v>77</v>
      </c>
      <c r="K13" s="61" t="s">
        <v>78</v>
      </c>
      <c r="L13" s="61" t="s">
        <v>79</v>
      </c>
      <c r="M13" s="23">
        <v>80</v>
      </c>
      <c r="N13" s="18" t="str">
        <f t="shared" si="20"/>
        <v>Mencapai kompetensi dengan baik dalam hal</v>
      </c>
      <c r="O13" s="23">
        <v>75</v>
      </c>
      <c r="P13" s="18" t="str">
        <f t="shared" si="21"/>
        <v>Mencapai kompetensi dengan baik dalam hal</v>
      </c>
      <c r="Q13" s="23">
        <v>75</v>
      </c>
      <c r="R13" s="18" t="str">
        <f t="shared" si="22"/>
        <v>Mencapai kompetensi dengan baik dalam hal</v>
      </c>
      <c r="S13" s="23">
        <v>82</v>
      </c>
      <c r="T13" s="18" t="str">
        <f t="shared" si="23"/>
        <v>Mencapai kompetensi dengan baik dalam hal</v>
      </c>
      <c r="U13" s="23">
        <v>75</v>
      </c>
      <c r="V13" s="18" t="str">
        <f t="shared" si="24"/>
        <v>Mencapai kompetensi dengan baik dalam hal</v>
      </c>
      <c r="W13" s="23">
        <v>75</v>
      </c>
      <c r="X13" s="18" t="str">
        <f t="shared" si="25"/>
        <v>Mencapai kompetensi dengan baik dalam hal</v>
      </c>
      <c r="Y13" s="23">
        <v>75</v>
      </c>
      <c r="Z13" s="18" t="str">
        <f t="shared" si="26"/>
        <v>Mencapai kompetensi dengan baik dalam hal</v>
      </c>
      <c r="AA13" s="23">
        <v>76</v>
      </c>
      <c r="AB13" s="18" t="str">
        <f t="shared" si="27"/>
        <v>Mencapai kompetensi dengan baik dalam hal</v>
      </c>
      <c r="AC13" s="23">
        <v>75</v>
      </c>
      <c r="AD13" s="18" t="str">
        <f t="shared" si="28"/>
        <v>Mencapai kompetensi dengan baik dalam hal</v>
      </c>
      <c r="AE13" s="23">
        <v>76</v>
      </c>
      <c r="AF13" s="18" t="str">
        <f t="shared" si="29"/>
        <v>Mencapai kompetensi dengan baik dalam hal</v>
      </c>
      <c r="AG13" s="23">
        <v>75</v>
      </c>
      <c r="AH13" s="18" t="str">
        <f t="shared" si="10"/>
        <v>Mencapai kompetensi dengan baik dalam hal</v>
      </c>
      <c r="AI13" s="23">
        <v>85</v>
      </c>
      <c r="AJ13" s="18" t="str">
        <f t="shared" si="11"/>
        <v>Mencapai kompetensi dengan baik dalam hal</v>
      </c>
      <c r="AK13" s="23">
        <v>83</v>
      </c>
      <c r="AL13" s="18" t="str">
        <f t="shared" si="30"/>
        <v>Mencapai kompetensi dengan baik dalam hal</v>
      </c>
      <c r="AM13" s="23">
        <v>75</v>
      </c>
      <c r="AN13" s="18" t="str">
        <f t="shared" si="31"/>
        <v>Mencapai kompetensi dengan baik dalam hal</v>
      </c>
      <c r="AO13" s="23">
        <v>78</v>
      </c>
      <c r="AP13" s="18" t="str">
        <f t="shared" si="14"/>
        <v>Mencapai kompetensi dengan baik dalam hal</v>
      </c>
      <c r="AQ13" s="23">
        <v>69</v>
      </c>
      <c r="AR13" s="18" t="str">
        <f t="shared" si="32"/>
        <v>Perlu peningkatan dalam hal</v>
      </c>
      <c r="AS13" s="62">
        <f t="shared" si="33"/>
        <v>77.5</v>
      </c>
      <c r="AT13" s="23">
        <v>75</v>
      </c>
      <c r="AU13" s="18" t="str">
        <f t="shared" si="16"/>
        <v>Mencapai kompetensi dengan baik dalam hal</v>
      </c>
      <c r="AV13" s="23">
        <v>78</v>
      </c>
      <c r="AW13" s="18" t="str">
        <f t="shared" si="34"/>
        <v>Mencapai kompetensi dengan baik dalam hal</v>
      </c>
      <c r="AX13" s="23">
        <v>7</v>
      </c>
      <c r="AY13" s="23">
        <v>2</v>
      </c>
      <c r="AZ13" s="23" t="s">
        <v>81</v>
      </c>
      <c r="BA13" s="23">
        <v>1</v>
      </c>
      <c r="BB13" s="23" t="s">
        <v>82</v>
      </c>
      <c r="BC13" s="18" t="s">
        <v>83</v>
      </c>
      <c r="BD13" s="23" t="s">
        <v>104</v>
      </c>
      <c r="BE13" s="18" t="str">
        <f t="shared" si="18"/>
        <v>Cukup</v>
      </c>
      <c r="BF13" s="23">
        <v>2</v>
      </c>
      <c r="BG13" s="18" t="s">
        <v>179</v>
      </c>
      <c r="BH13" s="18" t="s">
        <v>83</v>
      </c>
      <c r="BI13" s="23" t="s">
        <v>110</v>
      </c>
      <c r="BJ13" s="18" t="str">
        <f t="shared" si="19"/>
        <v>Kurang</v>
      </c>
      <c r="BK13" s="23"/>
      <c r="BL13" s="23"/>
      <c r="BM13" s="23"/>
      <c r="BN13" s="23"/>
      <c r="BO13" s="18"/>
      <c r="BP13" s="54"/>
      <c r="BQ13" s="54"/>
      <c r="BR13" s="54"/>
      <c r="BT13" s="22"/>
      <c r="BU13" s="22"/>
      <c r="BW13" s="22"/>
      <c r="BX13" s="22"/>
      <c r="BY13" s="22"/>
    </row>
    <row r="14" spans="1:77" ht="24.95" customHeight="1" x14ac:dyDescent="0.25">
      <c r="A14" s="23">
        <v>13</v>
      </c>
      <c r="B14" s="23">
        <v>2525738</v>
      </c>
      <c r="C14" s="23" t="s">
        <v>319</v>
      </c>
      <c r="D14" s="18" t="s">
        <v>320</v>
      </c>
      <c r="E14" s="23" t="s">
        <v>290</v>
      </c>
      <c r="F14" s="23" t="s">
        <v>291</v>
      </c>
      <c r="G14" s="23" t="s">
        <v>292</v>
      </c>
      <c r="H14" s="23" t="s">
        <v>293</v>
      </c>
      <c r="I14" s="60" t="s">
        <v>76</v>
      </c>
      <c r="J14" s="61" t="s">
        <v>77</v>
      </c>
      <c r="K14" s="61" t="s">
        <v>78</v>
      </c>
      <c r="L14" s="61" t="s">
        <v>79</v>
      </c>
      <c r="M14" s="23">
        <v>83</v>
      </c>
      <c r="N14" s="18" t="str">
        <f t="shared" si="20"/>
        <v>Mencapai kompetensi dengan baik dalam hal</v>
      </c>
      <c r="O14" s="23">
        <v>77</v>
      </c>
      <c r="P14" s="18" t="str">
        <f t="shared" si="21"/>
        <v>Mencapai kompetensi dengan baik dalam hal</v>
      </c>
      <c r="Q14" s="23">
        <v>80</v>
      </c>
      <c r="R14" s="18" t="str">
        <f t="shared" si="22"/>
        <v>Mencapai kompetensi dengan baik dalam hal</v>
      </c>
      <c r="S14" s="23">
        <v>83</v>
      </c>
      <c r="T14" s="18" t="str">
        <f t="shared" si="23"/>
        <v>Mencapai kompetensi dengan baik dalam hal</v>
      </c>
      <c r="U14" s="23">
        <v>85</v>
      </c>
      <c r="V14" s="18" t="str">
        <f t="shared" si="24"/>
        <v>Mencapai kompetensi dengan baik dalam hal</v>
      </c>
      <c r="W14" s="23">
        <v>75</v>
      </c>
      <c r="X14" s="18" t="str">
        <f t="shared" si="25"/>
        <v>Mencapai kompetensi dengan baik dalam hal</v>
      </c>
      <c r="Y14" s="23">
        <v>78</v>
      </c>
      <c r="Z14" s="18" t="str">
        <f t="shared" si="26"/>
        <v>Mencapai kompetensi dengan baik dalam hal</v>
      </c>
      <c r="AA14" s="23">
        <v>80</v>
      </c>
      <c r="AB14" s="18" t="str">
        <f t="shared" si="27"/>
        <v>Mencapai kompetensi dengan baik dalam hal</v>
      </c>
      <c r="AC14" s="23">
        <v>88</v>
      </c>
      <c r="AD14" s="18" t="str">
        <f t="shared" si="28"/>
        <v>Mencapai kompetensi dengan baik dalam hal</v>
      </c>
      <c r="AE14" s="23">
        <v>82</v>
      </c>
      <c r="AF14" s="18" t="str">
        <f t="shared" si="29"/>
        <v>Mencapai kompetensi dengan baik dalam hal</v>
      </c>
      <c r="AG14" s="23">
        <v>80</v>
      </c>
      <c r="AH14" s="18" t="str">
        <f t="shared" si="10"/>
        <v>Mencapai kompetensi dengan baik dalam hal</v>
      </c>
      <c r="AI14" s="23">
        <v>95</v>
      </c>
      <c r="AJ14" s="18" t="str">
        <f t="shared" si="11"/>
        <v>Mencapai kompetensi dengan sangat baik dalam hal</v>
      </c>
      <c r="AK14" s="23">
        <v>94</v>
      </c>
      <c r="AL14" s="18" t="str">
        <f t="shared" si="30"/>
        <v>Mencapai kompetensi dengan sangat baik dalam hal</v>
      </c>
      <c r="AM14" s="23">
        <v>80</v>
      </c>
      <c r="AN14" s="18" t="str">
        <f t="shared" si="31"/>
        <v>Mencapai kompetensi dengan baik dalam hal</v>
      </c>
      <c r="AO14" s="23">
        <v>84</v>
      </c>
      <c r="AP14" s="18" t="str">
        <f t="shared" si="14"/>
        <v>Mencapai kompetensi dengan baik dalam hal</v>
      </c>
      <c r="AQ14" s="23">
        <v>84</v>
      </c>
      <c r="AR14" s="18" t="str">
        <f t="shared" si="32"/>
        <v>Mencapai kompetensi dengan baik dalam hal</v>
      </c>
      <c r="AS14" s="62">
        <f t="shared" si="33"/>
        <v>86.166666666666671</v>
      </c>
      <c r="AT14" s="23">
        <v>88</v>
      </c>
      <c r="AU14" s="18" t="str">
        <f t="shared" si="16"/>
        <v>Mencapai kompetensi dengan baik dalam hal</v>
      </c>
      <c r="AV14" s="23">
        <v>79</v>
      </c>
      <c r="AW14" s="18" t="str">
        <f t="shared" si="34"/>
        <v>Mencapai kompetensi dengan baik dalam hal</v>
      </c>
      <c r="AX14" s="23" t="s">
        <v>81</v>
      </c>
      <c r="AY14" s="23" t="s">
        <v>81</v>
      </c>
      <c r="AZ14" s="23" t="s">
        <v>81</v>
      </c>
      <c r="BA14" s="23">
        <v>1</v>
      </c>
      <c r="BB14" s="23" t="s">
        <v>82</v>
      </c>
      <c r="BC14" s="18" t="s">
        <v>83</v>
      </c>
      <c r="BD14" s="23" t="s">
        <v>84</v>
      </c>
      <c r="BE14" s="18" t="str">
        <f t="shared" si="18"/>
        <v>Baik</v>
      </c>
      <c r="BF14" s="23">
        <v>2</v>
      </c>
      <c r="BG14" s="18" t="s">
        <v>103</v>
      </c>
      <c r="BH14" s="18" t="s">
        <v>83</v>
      </c>
      <c r="BI14" s="23" t="s">
        <v>84</v>
      </c>
      <c r="BJ14" s="18" t="str">
        <f t="shared" si="19"/>
        <v>Baik</v>
      </c>
      <c r="BK14" s="23"/>
      <c r="BL14" s="23"/>
      <c r="BM14" s="23"/>
      <c r="BN14" s="23"/>
      <c r="BO14" s="18"/>
      <c r="BP14" s="54"/>
      <c r="BQ14" s="54"/>
      <c r="BR14" s="54"/>
    </row>
    <row r="15" spans="1:77" ht="24.95" customHeight="1" x14ac:dyDescent="0.25">
      <c r="A15" s="23">
        <v>14</v>
      </c>
      <c r="B15" s="23">
        <v>2525739</v>
      </c>
      <c r="C15" s="23" t="s">
        <v>321</v>
      </c>
      <c r="D15" s="18" t="s">
        <v>322</v>
      </c>
      <c r="E15" s="23" t="s">
        <v>290</v>
      </c>
      <c r="F15" s="23" t="s">
        <v>291</v>
      </c>
      <c r="G15" s="23" t="s">
        <v>292</v>
      </c>
      <c r="H15" s="23" t="s">
        <v>293</v>
      </c>
      <c r="I15" s="60" t="s">
        <v>76</v>
      </c>
      <c r="J15" s="61" t="s">
        <v>77</v>
      </c>
      <c r="K15" s="61" t="s">
        <v>78</v>
      </c>
      <c r="L15" s="61" t="s">
        <v>79</v>
      </c>
      <c r="M15" s="23">
        <v>77</v>
      </c>
      <c r="N15" s="18" t="str">
        <f t="shared" si="20"/>
        <v>Mencapai kompetensi dengan baik dalam hal</v>
      </c>
      <c r="O15" s="23">
        <v>78</v>
      </c>
      <c r="P15" s="18" t="str">
        <f t="shared" si="21"/>
        <v>Mencapai kompetensi dengan baik dalam hal</v>
      </c>
      <c r="Q15" s="23">
        <v>76</v>
      </c>
      <c r="R15" s="18" t="str">
        <f t="shared" si="22"/>
        <v>Mencapai kompetensi dengan baik dalam hal</v>
      </c>
      <c r="S15" s="23">
        <v>82</v>
      </c>
      <c r="T15" s="18" t="str">
        <f t="shared" si="23"/>
        <v>Mencapai kompetensi dengan baik dalam hal</v>
      </c>
      <c r="U15" s="23">
        <v>80</v>
      </c>
      <c r="V15" s="18" t="str">
        <f t="shared" si="24"/>
        <v>Mencapai kompetensi dengan baik dalam hal</v>
      </c>
      <c r="W15" s="23">
        <v>75</v>
      </c>
      <c r="X15" s="18" t="str">
        <f t="shared" si="25"/>
        <v>Mencapai kompetensi dengan baik dalam hal</v>
      </c>
      <c r="Y15" s="23">
        <v>75</v>
      </c>
      <c r="Z15" s="18" t="str">
        <f t="shared" si="26"/>
        <v>Mencapai kompetensi dengan baik dalam hal</v>
      </c>
      <c r="AA15" s="23">
        <v>78</v>
      </c>
      <c r="AB15" s="18" t="str">
        <f t="shared" si="27"/>
        <v>Mencapai kompetensi dengan baik dalam hal</v>
      </c>
      <c r="AC15" s="23">
        <v>88</v>
      </c>
      <c r="AD15" s="18" t="str">
        <f t="shared" si="28"/>
        <v>Mencapai kompetensi dengan baik dalam hal</v>
      </c>
      <c r="AE15" s="23">
        <v>84</v>
      </c>
      <c r="AF15" s="18" t="str">
        <f t="shared" si="29"/>
        <v>Mencapai kompetensi dengan baik dalam hal</v>
      </c>
      <c r="AG15" s="23">
        <v>80</v>
      </c>
      <c r="AH15" s="18" t="str">
        <f t="shared" si="10"/>
        <v>Mencapai kompetensi dengan baik dalam hal</v>
      </c>
      <c r="AI15" s="23">
        <v>89</v>
      </c>
      <c r="AJ15" s="18" t="str">
        <f t="shared" si="11"/>
        <v>Mencapai kompetensi dengan baik dalam hal</v>
      </c>
      <c r="AK15" s="23">
        <v>90</v>
      </c>
      <c r="AL15" s="18" t="str">
        <f t="shared" si="30"/>
        <v>Mencapai kompetensi dengan sangat baik dalam hal</v>
      </c>
      <c r="AM15" s="23">
        <v>80</v>
      </c>
      <c r="AN15" s="18" t="str">
        <f t="shared" si="31"/>
        <v>Mencapai kompetensi dengan baik dalam hal</v>
      </c>
      <c r="AO15" s="23">
        <v>84</v>
      </c>
      <c r="AP15" s="18" t="str">
        <f t="shared" si="14"/>
        <v>Mencapai kompetensi dengan baik dalam hal</v>
      </c>
      <c r="AQ15" s="23">
        <v>83</v>
      </c>
      <c r="AR15" s="18" t="str">
        <f t="shared" si="32"/>
        <v>Mencapai kompetensi dengan baik dalam hal</v>
      </c>
      <c r="AS15" s="62">
        <f t="shared" si="33"/>
        <v>84.333333333333329</v>
      </c>
      <c r="AT15" s="23">
        <v>88</v>
      </c>
      <c r="AU15" s="18" t="str">
        <f t="shared" si="16"/>
        <v>Mencapai kompetensi dengan baik dalam hal</v>
      </c>
      <c r="AV15" s="23">
        <v>79</v>
      </c>
      <c r="AW15" s="18" t="str">
        <f t="shared" si="34"/>
        <v>Mencapai kompetensi dengan baik dalam hal</v>
      </c>
      <c r="AX15" s="23" t="s">
        <v>81</v>
      </c>
      <c r="AY15" s="23" t="s">
        <v>81</v>
      </c>
      <c r="AZ15" s="23" t="s">
        <v>81</v>
      </c>
      <c r="BA15" s="23">
        <v>1</v>
      </c>
      <c r="BB15" s="23" t="s">
        <v>82</v>
      </c>
      <c r="BC15" s="18" t="s">
        <v>83</v>
      </c>
      <c r="BD15" s="23" t="s">
        <v>86</v>
      </c>
      <c r="BE15" s="18" t="str">
        <f t="shared" si="18"/>
        <v>Sangat baik</v>
      </c>
      <c r="BF15" s="23">
        <v>2</v>
      </c>
      <c r="BG15" s="18" t="s">
        <v>179</v>
      </c>
      <c r="BH15" s="18" t="s">
        <v>83</v>
      </c>
      <c r="BI15" s="23" t="s">
        <v>86</v>
      </c>
      <c r="BJ15" s="18" t="str">
        <f t="shared" si="19"/>
        <v>Sangat baik</v>
      </c>
      <c r="BK15" s="23"/>
      <c r="BL15" s="23"/>
      <c r="BM15" s="23"/>
      <c r="BN15" s="23"/>
      <c r="BO15" s="18"/>
      <c r="BP15" s="54"/>
      <c r="BQ15" s="54"/>
      <c r="BR15" s="54"/>
    </row>
    <row r="16" spans="1:77" ht="24.95" customHeight="1" x14ac:dyDescent="0.25">
      <c r="A16" s="23">
        <v>15</v>
      </c>
      <c r="B16" s="23">
        <v>2525740</v>
      </c>
      <c r="C16" s="23" t="s">
        <v>323</v>
      </c>
      <c r="D16" s="18" t="s">
        <v>324</v>
      </c>
      <c r="E16" s="23" t="s">
        <v>290</v>
      </c>
      <c r="F16" s="23" t="s">
        <v>291</v>
      </c>
      <c r="G16" s="23" t="s">
        <v>292</v>
      </c>
      <c r="H16" s="23" t="s">
        <v>293</v>
      </c>
      <c r="I16" s="60" t="s">
        <v>76</v>
      </c>
      <c r="J16" s="61" t="s">
        <v>77</v>
      </c>
      <c r="K16" s="61" t="s">
        <v>78</v>
      </c>
      <c r="L16" s="61" t="s">
        <v>79</v>
      </c>
      <c r="M16" s="23">
        <v>77</v>
      </c>
      <c r="N16" s="18" t="str">
        <f t="shared" si="20"/>
        <v>Mencapai kompetensi dengan baik dalam hal</v>
      </c>
      <c r="O16" s="23">
        <v>78</v>
      </c>
      <c r="P16" s="18" t="str">
        <f t="shared" si="21"/>
        <v>Mencapai kompetensi dengan baik dalam hal</v>
      </c>
      <c r="Q16" s="23">
        <v>77</v>
      </c>
      <c r="R16" s="18" t="str">
        <f t="shared" si="22"/>
        <v>Mencapai kompetensi dengan baik dalam hal</v>
      </c>
      <c r="S16" s="23">
        <v>81</v>
      </c>
      <c r="T16" s="18" t="str">
        <f t="shared" si="23"/>
        <v>Mencapai kompetensi dengan baik dalam hal</v>
      </c>
      <c r="U16" s="23">
        <v>79</v>
      </c>
      <c r="V16" s="18" t="str">
        <f t="shared" si="24"/>
        <v>Mencapai kompetensi dengan baik dalam hal</v>
      </c>
      <c r="W16" s="23">
        <v>75</v>
      </c>
      <c r="X16" s="18" t="str">
        <f t="shared" si="25"/>
        <v>Mencapai kompetensi dengan baik dalam hal</v>
      </c>
      <c r="Y16" s="23">
        <v>75</v>
      </c>
      <c r="Z16" s="18" t="str">
        <f t="shared" si="26"/>
        <v>Mencapai kompetensi dengan baik dalam hal</v>
      </c>
      <c r="AA16" s="23">
        <v>79</v>
      </c>
      <c r="AB16" s="18" t="str">
        <f t="shared" si="27"/>
        <v>Mencapai kompetensi dengan baik dalam hal</v>
      </c>
      <c r="AC16" s="23">
        <v>85</v>
      </c>
      <c r="AD16" s="18" t="str">
        <f t="shared" si="28"/>
        <v>Mencapai kompetensi dengan baik dalam hal</v>
      </c>
      <c r="AE16" s="23">
        <v>80</v>
      </c>
      <c r="AF16" s="18" t="str">
        <f t="shared" si="29"/>
        <v>Mencapai kompetensi dengan baik dalam hal</v>
      </c>
      <c r="AG16" s="23">
        <v>85</v>
      </c>
      <c r="AH16" s="18" t="str">
        <f t="shared" si="10"/>
        <v>Mencapai kompetensi dengan baik dalam hal</v>
      </c>
      <c r="AI16" s="23">
        <v>91</v>
      </c>
      <c r="AJ16" s="18" t="str">
        <f t="shared" si="11"/>
        <v>Mencapai kompetensi dengan sangat baik dalam hal</v>
      </c>
      <c r="AK16" s="23">
        <v>85</v>
      </c>
      <c r="AL16" s="18" t="str">
        <f t="shared" si="30"/>
        <v>Mencapai kompetensi dengan baik dalam hal</v>
      </c>
      <c r="AM16" s="23">
        <v>85</v>
      </c>
      <c r="AN16" s="18" t="str">
        <f t="shared" si="31"/>
        <v>Mencapai kompetensi dengan baik dalam hal</v>
      </c>
      <c r="AO16" s="23">
        <v>84</v>
      </c>
      <c r="AP16" s="18" t="str">
        <f t="shared" si="14"/>
        <v>Mencapai kompetensi dengan baik dalam hal</v>
      </c>
      <c r="AQ16" s="23">
        <v>83</v>
      </c>
      <c r="AR16" s="18" t="str">
        <f t="shared" si="32"/>
        <v>Mencapai kompetensi dengan baik dalam hal</v>
      </c>
      <c r="AS16" s="62">
        <f t="shared" si="33"/>
        <v>85.5</v>
      </c>
      <c r="AT16" s="23">
        <v>85</v>
      </c>
      <c r="AU16" s="18" t="str">
        <f t="shared" si="16"/>
        <v>Mencapai kompetensi dengan baik dalam hal</v>
      </c>
      <c r="AV16" s="23">
        <v>80</v>
      </c>
      <c r="AW16" s="18" t="str">
        <f t="shared" si="34"/>
        <v>Mencapai kompetensi dengan baik dalam hal</v>
      </c>
      <c r="AX16" s="23" t="s">
        <v>81</v>
      </c>
      <c r="AY16" s="23" t="s">
        <v>81</v>
      </c>
      <c r="AZ16" s="23" t="s">
        <v>81</v>
      </c>
      <c r="BA16" s="23">
        <v>1</v>
      </c>
      <c r="BB16" s="23" t="s">
        <v>82</v>
      </c>
      <c r="BC16" s="18" t="s">
        <v>83</v>
      </c>
      <c r="BD16" s="23" t="s">
        <v>84</v>
      </c>
      <c r="BE16" s="18" t="str">
        <f t="shared" si="18"/>
        <v>Baik</v>
      </c>
      <c r="BF16" s="23">
        <v>2</v>
      </c>
      <c r="BG16" s="18" t="s">
        <v>325</v>
      </c>
      <c r="BH16" s="18" t="s">
        <v>83</v>
      </c>
      <c r="BI16" s="23" t="s">
        <v>84</v>
      </c>
      <c r="BJ16" s="18" t="str">
        <f t="shared" si="19"/>
        <v>Baik</v>
      </c>
      <c r="BK16" s="23"/>
      <c r="BL16" s="23"/>
      <c r="BM16" s="23"/>
      <c r="BN16" s="23"/>
      <c r="BO16" s="18"/>
      <c r="BP16" s="54"/>
      <c r="BQ16" s="54"/>
      <c r="BR16" s="54"/>
    </row>
    <row r="17" spans="1:70" ht="24.95" customHeight="1" x14ac:dyDescent="0.25">
      <c r="A17" s="23">
        <v>16</v>
      </c>
      <c r="B17" s="23">
        <v>2525741</v>
      </c>
      <c r="C17" s="23" t="s">
        <v>326</v>
      </c>
      <c r="D17" s="18" t="s">
        <v>327</v>
      </c>
      <c r="E17" s="23" t="s">
        <v>290</v>
      </c>
      <c r="F17" s="23" t="s">
        <v>291</v>
      </c>
      <c r="G17" s="23" t="s">
        <v>292</v>
      </c>
      <c r="H17" s="23" t="s">
        <v>293</v>
      </c>
      <c r="I17" s="60" t="s">
        <v>76</v>
      </c>
      <c r="J17" s="61" t="s">
        <v>77</v>
      </c>
      <c r="K17" s="61" t="s">
        <v>78</v>
      </c>
      <c r="L17" s="61" t="s">
        <v>79</v>
      </c>
      <c r="M17" s="23">
        <v>76</v>
      </c>
      <c r="N17" s="18" t="str">
        <f t="shared" si="20"/>
        <v>Mencapai kompetensi dengan baik dalam hal</v>
      </c>
      <c r="O17" s="23">
        <v>75</v>
      </c>
      <c r="P17" s="18" t="str">
        <f t="shared" si="21"/>
        <v>Mencapai kompetensi dengan baik dalam hal</v>
      </c>
      <c r="Q17" s="23">
        <v>75</v>
      </c>
      <c r="R17" s="18" t="str">
        <f t="shared" si="22"/>
        <v>Mencapai kompetensi dengan baik dalam hal</v>
      </c>
      <c r="S17" s="23">
        <v>81</v>
      </c>
      <c r="T17" s="18" t="str">
        <f t="shared" si="23"/>
        <v>Mencapai kompetensi dengan baik dalam hal</v>
      </c>
      <c r="U17" s="23">
        <v>70</v>
      </c>
      <c r="V17" s="18" t="str">
        <f t="shared" si="24"/>
        <v>Perlu peningkatan dalam hal</v>
      </c>
      <c r="W17" s="23">
        <v>70</v>
      </c>
      <c r="X17" s="18" t="str">
        <f t="shared" si="25"/>
        <v>Perlu peningkatan dalam hal</v>
      </c>
      <c r="Y17" s="23">
        <v>75</v>
      </c>
      <c r="Z17" s="18" t="str">
        <f t="shared" si="26"/>
        <v>Mencapai kompetensi dengan baik dalam hal</v>
      </c>
      <c r="AA17" s="23">
        <v>76</v>
      </c>
      <c r="AB17" s="18" t="str">
        <f t="shared" si="27"/>
        <v>Mencapai kompetensi dengan baik dalam hal</v>
      </c>
      <c r="AC17" s="23">
        <v>78</v>
      </c>
      <c r="AD17" s="18" t="str">
        <f t="shared" si="28"/>
        <v>Mencapai kompetensi dengan baik dalam hal</v>
      </c>
      <c r="AE17" s="23">
        <v>70</v>
      </c>
      <c r="AF17" s="18" t="str">
        <f t="shared" si="29"/>
        <v>Perlu peningkatan dalam hal</v>
      </c>
      <c r="AG17" s="23">
        <v>75</v>
      </c>
      <c r="AH17" s="18" t="str">
        <f t="shared" si="10"/>
        <v>Mencapai kompetensi dengan baik dalam hal</v>
      </c>
      <c r="AI17" s="23">
        <v>83</v>
      </c>
      <c r="AJ17" s="18" t="str">
        <f t="shared" si="11"/>
        <v>Mencapai kompetensi dengan baik dalam hal</v>
      </c>
      <c r="AK17" s="23">
        <v>80</v>
      </c>
      <c r="AL17" s="18" t="str">
        <f t="shared" si="30"/>
        <v>Mencapai kompetensi dengan baik dalam hal</v>
      </c>
      <c r="AM17" s="23">
        <v>75</v>
      </c>
      <c r="AN17" s="18" t="str">
        <f t="shared" si="31"/>
        <v>Mencapai kompetensi dengan baik dalam hal</v>
      </c>
      <c r="AO17" s="23">
        <v>76</v>
      </c>
      <c r="AP17" s="18" t="str">
        <f t="shared" si="14"/>
        <v>Mencapai kompetensi dengan baik dalam hal</v>
      </c>
      <c r="AQ17" s="23">
        <v>67</v>
      </c>
      <c r="AR17" s="18" t="str">
        <f t="shared" si="32"/>
        <v>Perlu peningkatan dalam hal</v>
      </c>
      <c r="AS17" s="62">
        <f t="shared" si="33"/>
        <v>76</v>
      </c>
      <c r="AT17" s="23">
        <v>78</v>
      </c>
      <c r="AU17" s="18" t="str">
        <f t="shared" si="16"/>
        <v>Mencapai kompetensi dengan baik dalam hal</v>
      </c>
      <c r="AV17" s="23">
        <v>80</v>
      </c>
      <c r="AW17" s="18" t="str">
        <f t="shared" si="34"/>
        <v>Mencapai kompetensi dengan baik dalam hal</v>
      </c>
      <c r="AX17" s="23">
        <v>5</v>
      </c>
      <c r="AY17" s="23">
        <v>2</v>
      </c>
      <c r="AZ17" s="23">
        <v>5</v>
      </c>
      <c r="BA17" s="23">
        <v>1</v>
      </c>
      <c r="BB17" s="23" t="s">
        <v>82</v>
      </c>
      <c r="BC17" s="18" t="s">
        <v>83</v>
      </c>
      <c r="BD17" s="23" t="s">
        <v>104</v>
      </c>
      <c r="BE17" s="18" t="str">
        <f t="shared" si="18"/>
        <v>Cukup</v>
      </c>
      <c r="BF17" s="23">
        <v>2</v>
      </c>
      <c r="BG17" s="18" t="s">
        <v>162</v>
      </c>
      <c r="BH17" s="18" t="s">
        <v>83</v>
      </c>
      <c r="BI17" s="23" t="s">
        <v>84</v>
      </c>
      <c r="BJ17" s="18" t="str">
        <f t="shared" si="19"/>
        <v>Baik</v>
      </c>
      <c r="BK17" s="23"/>
      <c r="BL17" s="23"/>
      <c r="BM17" s="23"/>
      <c r="BN17" s="23"/>
      <c r="BO17" s="18"/>
      <c r="BP17" s="54"/>
      <c r="BQ17" s="54"/>
      <c r="BR17" s="54"/>
    </row>
    <row r="18" spans="1:70" ht="24.95" customHeight="1" x14ac:dyDescent="0.25">
      <c r="A18" s="23">
        <v>17</v>
      </c>
      <c r="B18" s="23">
        <v>2525742</v>
      </c>
      <c r="C18" s="23" t="s">
        <v>328</v>
      </c>
      <c r="D18" s="18" t="s">
        <v>329</v>
      </c>
      <c r="E18" s="23" t="s">
        <v>290</v>
      </c>
      <c r="F18" s="23" t="s">
        <v>291</v>
      </c>
      <c r="G18" s="23" t="s">
        <v>292</v>
      </c>
      <c r="H18" s="23" t="s">
        <v>293</v>
      </c>
      <c r="I18" s="60" t="s">
        <v>76</v>
      </c>
      <c r="J18" s="61" t="s">
        <v>77</v>
      </c>
      <c r="K18" s="61" t="s">
        <v>78</v>
      </c>
      <c r="L18" s="61" t="s">
        <v>79</v>
      </c>
      <c r="M18" s="23">
        <v>82</v>
      </c>
      <c r="N18" s="18" t="str">
        <f t="shared" si="20"/>
        <v>Mencapai kompetensi dengan baik dalam hal</v>
      </c>
      <c r="O18" s="23">
        <v>78</v>
      </c>
      <c r="P18" s="18" t="str">
        <f t="shared" si="21"/>
        <v>Mencapai kompetensi dengan baik dalam hal</v>
      </c>
      <c r="Q18" s="23">
        <v>80</v>
      </c>
      <c r="R18" s="18" t="str">
        <f t="shared" si="22"/>
        <v>Mencapai kompetensi dengan baik dalam hal</v>
      </c>
      <c r="S18" s="23">
        <v>80</v>
      </c>
      <c r="T18" s="18" t="str">
        <f t="shared" si="23"/>
        <v>Mencapai kompetensi dengan baik dalam hal</v>
      </c>
      <c r="U18" s="23">
        <v>80</v>
      </c>
      <c r="V18" s="18" t="str">
        <f t="shared" si="24"/>
        <v>Mencapai kompetensi dengan baik dalam hal</v>
      </c>
      <c r="W18" s="23">
        <v>75</v>
      </c>
      <c r="X18" s="18" t="str">
        <f t="shared" si="25"/>
        <v>Mencapai kompetensi dengan baik dalam hal</v>
      </c>
      <c r="Y18" s="23">
        <v>75</v>
      </c>
      <c r="Z18" s="18" t="str">
        <f t="shared" si="26"/>
        <v>Mencapai kompetensi dengan baik dalam hal</v>
      </c>
      <c r="AA18" s="23">
        <v>76</v>
      </c>
      <c r="AB18" s="18" t="str">
        <f t="shared" si="27"/>
        <v>Mencapai kompetensi dengan baik dalam hal</v>
      </c>
      <c r="AC18" s="23">
        <v>83</v>
      </c>
      <c r="AD18" s="18" t="str">
        <f t="shared" si="28"/>
        <v>Mencapai kompetensi dengan baik dalam hal</v>
      </c>
      <c r="AE18" s="23">
        <v>78</v>
      </c>
      <c r="AF18" s="18" t="str">
        <f t="shared" si="29"/>
        <v>Mencapai kompetensi dengan baik dalam hal</v>
      </c>
      <c r="AG18" s="23">
        <v>80</v>
      </c>
      <c r="AH18" s="18" t="str">
        <f t="shared" si="10"/>
        <v>Mencapai kompetensi dengan baik dalam hal</v>
      </c>
      <c r="AI18" s="23">
        <v>86</v>
      </c>
      <c r="AJ18" s="18" t="str">
        <f t="shared" si="11"/>
        <v>Mencapai kompetensi dengan baik dalam hal</v>
      </c>
      <c r="AK18" s="23">
        <v>82</v>
      </c>
      <c r="AL18" s="18" t="str">
        <f t="shared" si="30"/>
        <v>Mencapai kompetensi dengan baik dalam hal</v>
      </c>
      <c r="AM18" s="23">
        <v>80</v>
      </c>
      <c r="AN18" s="18" t="str">
        <f t="shared" si="31"/>
        <v>Mencapai kompetensi dengan baik dalam hal</v>
      </c>
      <c r="AO18" s="23">
        <v>84</v>
      </c>
      <c r="AP18" s="18" t="str">
        <f t="shared" si="14"/>
        <v>Mencapai kompetensi dengan baik dalam hal</v>
      </c>
      <c r="AQ18" s="23">
        <v>82</v>
      </c>
      <c r="AR18" s="18" t="str">
        <f t="shared" si="32"/>
        <v>Mencapai kompetensi dengan baik dalam hal</v>
      </c>
      <c r="AS18" s="62">
        <f t="shared" si="33"/>
        <v>82.333333333333329</v>
      </c>
      <c r="AT18" s="23">
        <v>83</v>
      </c>
      <c r="AU18" s="18" t="str">
        <f t="shared" si="16"/>
        <v>Mencapai kompetensi dengan baik dalam hal</v>
      </c>
      <c r="AV18" s="23">
        <v>82</v>
      </c>
      <c r="AW18" s="18" t="str">
        <f t="shared" si="34"/>
        <v>Mencapai kompetensi dengan baik dalam hal</v>
      </c>
      <c r="AX18" s="23" t="s">
        <v>81</v>
      </c>
      <c r="AY18" s="23" t="s">
        <v>81</v>
      </c>
      <c r="AZ18" s="23" t="s">
        <v>81</v>
      </c>
      <c r="BA18" s="23">
        <v>1</v>
      </c>
      <c r="BB18" s="23" t="s">
        <v>82</v>
      </c>
      <c r="BC18" s="18" t="s">
        <v>83</v>
      </c>
      <c r="BD18" s="23" t="s">
        <v>86</v>
      </c>
      <c r="BE18" s="18" t="str">
        <f t="shared" si="18"/>
        <v>Sangat baik</v>
      </c>
      <c r="BF18" s="23">
        <v>2</v>
      </c>
      <c r="BG18" s="18" t="s">
        <v>170</v>
      </c>
      <c r="BH18" s="18" t="s">
        <v>83</v>
      </c>
      <c r="BI18" s="23" t="s">
        <v>84</v>
      </c>
      <c r="BJ18" s="18" t="str">
        <f t="shared" si="19"/>
        <v>Baik</v>
      </c>
      <c r="BK18" s="23"/>
      <c r="BL18" s="23"/>
      <c r="BM18" s="23"/>
      <c r="BN18" s="23"/>
      <c r="BO18" s="18"/>
      <c r="BP18" s="54"/>
      <c r="BQ18" s="54"/>
      <c r="BR18" s="54"/>
    </row>
    <row r="19" spans="1:70" ht="24.95" customHeight="1" x14ac:dyDescent="0.25">
      <c r="A19" s="23">
        <v>18</v>
      </c>
      <c r="B19" s="23">
        <v>2525743</v>
      </c>
      <c r="C19" s="23" t="s">
        <v>330</v>
      </c>
      <c r="D19" s="18" t="s">
        <v>331</v>
      </c>
      <c r="E19" s="23" t="s">
        <v>290</v>
      </c>
      <c r="F19" s="23" t="s">
        <v>291</v>
      </c>
      <c r="G19" s="23" t="s">
        <v>292</v>
      </c>
      <c r="H19" s="23" t="s">
        <v>293</v>
      </c>
      <c r="I19" s="60" t="s">
        <v>76</v>
      </c>
      <c r="J19" s="61" t="s">
        <v>77</v>
      </c>
      <c r="K19" s="61" t="s">
        <v>78</v>
      </c>
      <c r="L19" s="61" t="s">
        <v>79</v>
      </c>
      <c r="M19" s="23">
        <v>75</v>
      </c>
      <c r="N19" s="18" t="str">
        <f t="shared" si="20"/>
        <v>Mencapai kompetensi dengan baik dalam hal</v>
      </c>
      <c r="O19" s="23">
        <v>77</v>
      </c>
      <c r="P19" s="18" t="str">
        <f t="shared" si="21"/>
        <v>Mencapai kompetensi dengan baik dalam hal</v>
      </c>
      <c r="Q19" s="23">
        <v>75</v>
      </c>
      <c r="R19" s="18" t="str">
        <f t="shared" si="22"/>
        <v>Mencapai kompetensi dengan baik dalam hal</v>
      </c>
      <c r="S19" s="23">
        <v>81</v>
      </c>
      <c r="T19" s="18" t="str">
        <f t="shared" si="23"/>
        <v>Mencapai kompetensi dengan baik dalam hal</v>
      </c>
      <c r="U19" s="23">
        <v>78</v>
      </c>
      <c r="V19" s="18" t="str">
        <f t="shared" si="24"/>
        <v>Mencapai kompetensi dengan baik dalam hal</v>
      </c>
      <c r="W19" s="23">
        <v>75</v>
      </c>
      <c r="X19" s="18" t="str">
        <f t="shared" si="25"/>
        <v>Mencapai kompetensi dengan baik dalam hal</v>
      </c>
      <c r="Y19" s="23">
        <v>75</v>
      </c>
      <c r="Z19" s="18" t="str">
        <f t="shared" si="26"/>
        <v>Mencapai kompetensi dengan baik dalam hal</v>
      </c>
      <c r="AA19" s="23">
        <v>76</v>
      </c>
      <c r="AB19" s="18" t="str">
        <f t="shared" si="27"/>
        <v>Mencapai kompetensi dengan baik dalam hal</v>
      </c>
      <c r="AC19" s="23">
        <v>80</v>
      </c>
      <c r="AD19" s="18" t="str">
        <f t="shared" si="28"/>
        <v>Mencapai kompetensi dengan baik dalam hal</v>
      </c>
      <c r="AE19" s="23">
        <v>78</v>
      </c>
      <c r="AF19" s="18" t="str">
        <f t="shared" si="29"/>
        <v>Mencapai kompetensi dengan baik dalam hal</v>
      </c>
      <c r="AG19" s="23">
        <v>85</v>
      </c>
      <c r="AH19" s="18" t="str">
        <f t="shared" si="10"/>
        <v>Mencapai kompetensi dengan baik dalam hal</v>
      </c>
      <c r="AI19" s="23">
        <v>90</v>
      </c>
      <c r="AJ19" s="18" t="str">
        <f t="shared" si="11"/>
        <v>Mencapai kompetensi dengan sangat baik dalam hal</v>
      </c>
      <c r="AK19" s="23">
        <v>84</v>
      </c>
      <c r="AL19" s="18" t="str">
        <f t="shared" si="30"/>
        <v>Mencapai kompetensi dengan baik dalam hal</v>
      </c>
      <c r="AM19" s="23">
        <v>85</v>
      </c>
      <c r="AN19" s="18" t="str">
        <f t="shared" si="31"/>
        <v>Mencapai kompetensi dengan baik dalam hal</v>
      </c>
      <c r="AO19" s="23">
        <v>84</v>
      </c>
      <c r="AP19" s="18" t="str">
        <f t="shared" si="14"/>
        <v>Mencapai kompetensi dengan baik dalam hal</v>
      </c>
      <c r="AQ19" s="23">
        <v>82</v>
      </c>
      <c r="AR19" s="18" t="str">
        <f t="shared" si="32"/>
        <v>Mencapai kompetensi dengan baik dalam hal</v>
      </c>
      <c r="AS19" s="62">
        <f t="shared" si="33"/>
        <v>85</v>
      </c>
      <c r="AT19" s="23">
        <v>80</v>
      </c>
      <c r="AU19" s="18" t="str">
        <f t="shared" si="16"/>
        <v>Mencapai kompetensi dengan baik dalam hal</v>
      </c>
      <c r="AV19" s="23">
        <v>80</v>
      </c>
      <c r="AW19" s="18" t="str">
        <f t="shared" si="34"/>
        <v>Mencapai kompetensi dengan baik dalam hal</v>
      </c>
      <c r="AX19" s="23" t="s">
        <v>81</v>
      </c>
      <c r="AY19" s="23">
        <v>1</v>
      </c>
      <c r="AZ19" s="23" t="s">
        <v>81</v>
      </c>
      <c r="BA19" s="23">
        <v>1</v>
      </c>
      <c r="BB19" s="23" t="s">
        <v>82</v>
      </c>
      <c r="BC19" s="18" t="s">
        <v>83</v>
      </c>
      <c r="BD19" s="23" t="s">
        <v>84</v>
      </c>
      <c r="BE19" s="18" t="str">
        <f t="shared" si="18"/>
        <v>Baik</v>
      </c>
      <c r="BF19" s="23">
        <v>2</v>
      </c>
      <c r="BG19" s="18" t="s">
        <v>298</v>
      </c>
      <c r="BH19" s="18" t="s">
        <v>83</v>
      </c>
      <c r="BI19" s="23" t="s">
        <v>84</v>
      </c>
      <c r="BJ19" s="18" t="str">
        <f t="shared" si="19"/>
        <v>Baik</v>
      </c>
      <c r="BK19" s="23"/>
      <c r="BL19" s="23"/>
      <c r="BM19" s="23"/>
      <c r="BN19" s="23"/>
      <c r="BO19" s="18"/>
      <c r="BP19" s="54"/>
      <c r="BQ19" s="54"/>
      <c r="BR19" s="54"/>
    </row>
    <row r="20" spans="1:70" ht="24.95" customHeight="1" x14ac:dyDescent="0.25">
      <c r="A20" s="23">
        <v>19</v>
      </c>
      <c r="B20" s="23">
        <v>2525744</v>
      </c>
      <c r="C20" s="23" t="s">
        <v>332</v>
      </c>
      <c r="D20" s="18" t="s">
        <v>333</v>
      </c>
      <c r="E20" s="23" t="s">
        <v>290</v>
      </c>
      <c r="F20" s="23" t="s">
        <v>291</v>
      </c>
      <c r="G20" s="23" t="s">
        <v>292</v>
      </c>
      <c r="H20" s="23" t="s">
        <v>293</v>
      </c>
      <c r="I20" s="60" t="s">
        <v>76</v>
      </c>
      <c r="J20" s="61" t="s">
        <v>77</v>
      </c>
      <c r="K20" s="61" t="s">
        <v>78</v>
      </c>
      <c r="L20" s="61" t="s">
        <v>79</v>
      </c>
      <c r="M20" s="23">
        <v>81</v>
      </c>
      <c r="N20" s="18" t="str">
        <f t="shared" si="20"/>
        <v>Mencapai kompetensi dengan baik dalam hal</v>
      </c>
      <c r="O20" s="23">
        <v>76</v>
      </c>
      <c r="P20" s="18" t="str">
        <f t="shared" si="21"/>
        <v>Mencapai kompetensi dengan baik dalam hal</v>
      </c>
      <c r="Q20" s="23">
        <v>76</v>
      </c>
      <c r="R20" s="18" t="str">
        <f t="shared" si="22"/>
        <v>Mencapai kompetensi dengan baik dalam hal</v>
      </c>
      <c r="S20" s="23">
        <v>80</v>
      </c>
      <c r="T20" s="18" t="str">
        <f t="shared" si="23"/>
        <v>Mencapai kompetensi dengan baik dalam hal</v>
      </c>
      <c r="U20" s="23">
        <v>72</v>
      </c>
      <c r="V20" s="18" t="str">
        <f t="shared" si="24"/>
        <v>Perlu peningkatan dalam hal</v>
      </c>
      <c r="W20" s="23">
        <v>75</v>
      </c>
      <c r="X20" s="18" t="str">
        <f t="shared" si="25"/>
        <v>Mencapai kompetensi dengan baik dalam hal</v>
      </c>
      <c r="Y20" s="23">
        <v>75</v>
      </c>
      <c r="Z20" s="18" t="str">
        <f t="shared" si="26"/>
        <v>Mencapai kompetensi dengan baik dalam hal</v>
      </c>
      <c r="AA20" s="23">
        <v>76</v>
      </c>
      <c r="AB20" s="18" t="str">
        <f t="shared" si="27"/>
        <v>Mencapai kompetensi dengan baik dalam hal</v>
      </c>
      <c r="AC20" s="23">
        <v>85</v>
      </c>
      <c r="AD20" s="18" t="str">
        <f t="shared" si="28"/>
        <v>Mencapai kompetensi dengan baik dalam hal</v>
      </c>
      <c r="AE20" s="23">
        <v>76</v>
      </c>
      <c r="AF20" s="18" t="str">
        <f t="shared" si="29"/>
        <v>Mencapai kompetensi dengan baik dalam hal</v>
      </c>
      <c r="AG20" s="23">
        <v>80</v>
      </c>
      <c r="AH20" s="18" t="str">
        <f t="shared" si="10"/>
        <v>Mencapai kompetensi dengan baik dalam hal</v>
      </c>
      <c r="AI20" s="23">
        <v>83</v>
      </c>
      <c r="AJ20" s="18" t="str">
        <f t="shared" si="11"/>
        <v>Mencapai kompetensi dengan baik dalam hal</v>
      </c>
      <c r="AK20" s="23">
        <v>81</v>
      </c>
      <c r="AL20" s="18" t="str">
        <f t="shared" si="30"/>
        <v>Mencapai kompetensi dengan baik dalam hal</v>
      </c>
      <c r="AM20" s="23">
        <v>80</v>
      </c>
      <c r="AN20" s="18" t="str">
        <f t="shared" si="31"/>
        <v>Mencapai kompetensi dengan baik dalam hal</v>
      </c>
      <c r="AO20" s="23">
        <v>83</v>
      </c>
      <c r="AP20" s="18" t="str">
        <f t="shared" si="14"/>
        <v>Mencapai kompetensi dengan baik dalam hal</v>
      </c>
      <c r="AQ20" s="23">
        <v>83</v>
      </c>
      <c r="AR20" s="18" t="str">
        <f t="shared" si="32"/>
        <v>Mencapai kompetensi dengan baik dalam hal</v>
      </c>
      <c r="AS20" s="62">
        <f t="shared" si="33"/>
        <v>81.666666666666671</v>
      </c>
      <c r="AT20" s="23">
        <v>85</v>
      </c>
      <c r="AU20" s="18" t="str">
        <f t="shared" si="16"/>
        <v>Mencapai kompetensi dengan baik dalam hal</v>
      </c>
      <c r="AV20" s="23">
        <v>79</v>
      </c>
      <c r="AW20" s="18" t="str">
        <f t="shared" si="34"/>
        <v>Mencapai kompetensi dengan baik dalam hal</v>
      </c>
      <c r="AX20" s="23">
        <v>5</v>
      </c>
      <c r="AY20" s="23">
        <v>1</v>
      </c>
      <c r="AZ20" s="23" t="s">
        <v>81</v>
      </c>
      <c r="BA20" s="23">
        <v>1</v>
      </c>
      <c r="BB20" s="23" t="s">
        <v>82</v>
      </c>
      <c r="BC20" s="18" t="s">
        <v>83</v>
      </c>
      <c r="BD20" s="23" t="s">
        <v>104</v>
      </c>
      <c r="BE20" s="18" t="str">
        <f t="shared" si="18"/>
        <v>Cukup</v>
      </c>
      <c r="BF20" s="23">
        <v>2</v>
      </c>
      <c r="BG20" s="18" t="s">
        <v>179</v>
      </c>
      <c r="BH20" s="18" t="s">
        <v>83</v>
      </c>
      <c r="BI20" s="23" t="s">
        <v>84</v>
      </c>
      <c r="BJ20" s="18" t="str">
        <f t="shared" si="19"/>
        <v>Baik</v>
      </c>
      <c r="BK20" s="23"/>
      <c r="BL20" s="23"/>
      <c r="BM20" s="23"/>
      <c r="BN20" s="23"/>
      <c r="BO20" s="18"/>
      <c r="BP20" s="54"/>
      <c r="BQ20" s="54"/>
      <c r="BR20" s="54"/>
    </row>
    <row r="21" spans="1:70" ht="24.95" customHeight="1" x14ac:dyDescent="0.25">
      <c r="A21" s="23">
        <v>20</v>
      </c>
      <c r="B21" s="23">
        <v>2525745</v>
      </c>
      <c r="C21" s="23" t="s">
        <v>334</v>
      </c>
      <c r="D21" s="18" t="s">
        <v>335</v>
      </c>
      <c r="E21" s="23" t="s">
        <v>290</v>
      </c>
      <c r="F21" s="23" t="s">
        <v>291</v>
      </c>
      <c r="G21" s="23" t="s">
        <v>292</v>
      </c>
      <c r="H21" s="23" t="s">
        <v>293</v>
      </c>
      <c r="I21" s="60" t="s">
        <v>76</v>
      </c>
      <c r="J21" s="61" t="s">
        <v>77</v>
      </c>
      <c r="K21" s="61" t="s">
        <v>78</v>
      </c>
      <c r="L21" s="61" t="s">
        <v>79</v>
      </c>
      <c r="M21" s="23">
        <v>77</v>
      </c>
      <c r="N21" s="18" t="str">
        <f t="shared" si="20"/>
        <v>Mencapai kompetensi dengan baik dalam hal</v>
      </c>
      <c r="O21" s="23">
        <v>75</v>
      </c>
      <c r="P21" s="18" t="str">
        <f t="shared" si="21"/>
        <v>Mencapai kompetensi dengan baik dalam hal</v>
      </c>
      <c r="Q21" s="23">
        <v>78</v>
      </c>
      <c r="R21" s="18" t="str">
        <f t="shared" si="22"/>
        <v>Mencapai kompetensi dengan baik dalam hal</v>
      </c>
      <c r="S21" s="23">
        <v>82</v>
      </c>
      <c r="T21" s="18" t="str">
        <f t="shared" si="23"/>
        <v>Mencapai kompetensi dengan baik dalam hal</v>
      </c>
      <c r="U21" s="23">
        <v>77</v>
      </c>
      <c r="V21" s="18" t="str">
        <f t="shared" si="24"/>
        <v>Mencapai kompetensi dengan baik dalam hal</v>
      </c>
      <c r="W21" s="23">
        <v>75</v>
      </c>
      <c r="X21" s="18" t="str">
        <f t="shared" si="25"/>
        <v>Mencapai kompetensi dengan baik dalam hal</v>
      </c>
      <c r="Y21" s="23">
        <v>75</v>
      </c>
      <c r="Z21" s="18" t="str">
        <f t="shared" si="26"/>
        <v>Mencapai kompetensi dengan baik dalam hal</v>
      </c>
      <c r="AA21" s="23">
        <v>76</v>
      </c>
      <c r="AB21" s="18" t="str">
        <f t="shared" si="27"/>
        <v>Mencapai kompetensi dengan baik dalam hal</v>
      </c>
      <c r="AC21" s="23">
        <v>84</v>
      </c>
      <c r="AD21" s="18" t="str">
        <f t="shared" si="28"/>
        <v>Mencapai kompetensi dengan baik dalam hal</v>
      </c>
      <c r="AE21" s="23">
        <v>79</v>
      </c>
      <c r="AF21" s="18" t="str">
        <f t="shared" si="29"/>
        <v>Mencapai kompetensi dengan baik dalam hal</v>
      </c>
      <c r="AG21" s="23">
        <v>81</v>
      </c>
      <c r="AH21" s="18" t="str">
        <f t="shared" si="10"/>
        <v>Mencapai kompetensi dengan baik dalam hal</v>
      </c>
      <c r="AI21" s="23">
        <v>84</v>
      </c>
      <c r="AJ21" s="18" t="str">
        <f t="shared" si="11"/>
        <v>Mencapai kompetensi dengan baik dalam hal</v>
      </c>
      <c r="AK21" s="23">
        <v>82</v>
      </c>
      <c r="AL21" s="18" t="str">
        <f t="shared" si="30"/>
        <v>Mencapai kompetensi dengan baik dalam hal</v>
      </c>
      <c r="AM21" s="23">
        <v>80</v>
      </c>
      <c r="AN21" s="18" t="str">
        <f t="shared" si="31"/>
        <v>Mencapai kompetensi dengan baik dalam hal</v>
      </c>
      <c r="AO21" s="23">
        <v>82</v>
      </c>
      <c r="AP21" s="18" t="str">
        <f t="shared" si="14"/>
        <v>Mencapai kompetensi dengan baik dalam hal</v>
      </c>
      <c r="AQ21" s="23">
        <v>82</v>
      </c>
      <c r="AR21" s="18" t="str">
        <f t="shared" si="32"/>
        <v>Mencapai kompetensi dengan baik dalam hal</v>
      </c>
      <c r="AS21" s="62">
        <f t="shared" si="33"/>
        <v>81.833333333333329</v>
      </c>
      <c r="AT21" s="23">
        <v>84</v>
      </c>
      <c r="AU21" s="18" t="str">
        <f t="shared" si="16"/>
        <v>Mencapai kompetensi dengan baik dalam hal</v>
      </c>
      <c r="AV21" s="23">
        <v>80</v>
      </c>
      <c r="AW21" s="18" t="str">
        <f t="shared" si="34"/>
        <v>Mencapai kompetensi dengan baik dalam hal</v>
      </c>
      <c r="AX21" s="23">
        <v>1</v>
      </c>
      <c r="AY21" s="23" t="s">
        <v>81</v>
      </c>
      <c r="AZ21" s="23" t="s">
        <v>81</v>
      </c>
      <c r="BA21" s="23">
        <v>1</v>
      </c>
      <c r="BB21" s="23" t="s">
        <v>82</v>
      </c>
      <c r="BC21" s="18" t="s">
        <v>83</v>
      </c>
      <c r="BD21" s="23" t="s">
        <v>84</v>
      </c>
      <c r="BE21" s="18" t="str">
        <f t="shared" si="18"/>
        <v>Baik</v>
      </c>
      <c r="BF21" s="23">
        <v>2</v>
      </c>
      <c r="BG21" s="18" t="s">
        <v>108</v>
      </c>
      <c r="BH21" s="18" t="s">
        <v>83</v>
      </c>
      <c r="BI21" s="23" t="s">
        <v>86</v>
      </c>
      <c r="BJ21" s="18" t="str">
        <f t="shared" si="19"/>
        <v>Sangat baik</v>
      </c>
      <c r="BK21" s="23"/>
      <c r="BL21" s="23"/>
      <c r="BM21" s="23"/>
      <c r="BN21" s="23"/>
      <c r="BO21" s="18"/>
      <c r="BP21" s="54"/>
      <c r="BQ21" s="54"/>
      <c r="BR21" s="54"/>
    </row>
    <row r="22" spans="1:70" ht="24.95" customHeight="1" x14ac:dyDescent="0.25">
      <c r="A22" s="23">
        <v>21</v>
      </c>
      <c r="B22" s="23">
        <v>2525746</v>
      </c>
      <c r="C22" s="23" t="s">
        <v>336</v>
      </c>
      <c r="D22" s="18" t="s">
        <v>337</v>
      </c>
      <c r="E22" s="23" t="s">
        <v>290</v>
      </c>
      <c r="F22" s="23" t="s">
        <v>291</v>
      </c>
      <c r="G22" s="23" t="s">
        <v>292</v>
      </c>
      <c r="H22" s="23" t="s">
        <v>293</v>
      </c>
      <c r="I22" s="60" t="s">
        <v>76</v>
      </c>
      <c r="J22" s="61" t="s">
        <v>77</v>
      </c>
      <c r="K22" s="61" t="s">
        <v>78</v>
      </c>
      <c r="L22" s="61" t="s">
        <v>79</v>
      </c>
      <c r="M22" s="23">
        <v>82</v>
      </c>
      <c r="N22" s="18" t="str">
        <f t="shared" si="20"/>
        <v>Mencapai kompetensi dengan baik dalam hal</v>
      </c>
      <c r="O22" s="23">
        <v>75</v>
      </c>
      <c r="P22" s="18" t="str">
        <f t="shared" si="21"/>
        <v>Mencapai kompetensi dengan baik dalam hal</v>
      </c>
      <c r="Q22" s="23">
        <v>77</v>
      </c>
      <c r="R22" s="18" t="str">
        <f t="shared" si="22"/>
        <v>Mencapai kompetensi dengan baik dalam hal</v>
      </c>
      <c r="S22" s="23">
        <v>81</v>
      </c>
      <c r="T22" s="18" t="str">
        <f t="shared" si="23"/>
        <v>Mencapai kompetensi dengan baik dalam hal</v>
      </c>
      <c r="U22" s="23">
        <v>80</v>
      </c>
      <c r="V22" s="18" t="str">
        <f t="shared" si="24"/>
        <v>Mencapai kompetensi dengan baik dalam hal</v>
      </c>
      <c r="W22" s="23">
        <v>79</v>
      </c>
      <c r="X22" s="18" t="str">
        <f t="shared" si="25"/>
        <v>Mencapai kompetensi dengan baik dalam hal</v>
      </c>
      <c r="Y22" s="23">
        <v>75</v>
      </c>
      <c r="Z22" s="18" t="str">
        <f t="shared" si="26"/>
        <v>Mencapai kompetensi dengan baik dalam hal</v>
      </c>
      <c r="AA22" s="23">
        <v>79</v>
      </c>
      <c r="AB22" s="18" t="str">
        <f t="shared" si="27"/>
        <v>Mencapai kompetensi dengan baik dalam hal</v>
      </c>
      <c r="AC22" s="23">
        <v>78</v>
      </c>
      <c r="AD22" s="18" t="str">
        <f t="shared" si="28"/>
        <v>Mencapai kompetensi dengan baik dalam hal</v>
      </c>
      <c r="AE22" s="23">
        <v>82</v>
      </c>
      <c r="AF22" s="18" t="str">
        <f t="shared" si="29"/>
        <v>Mencapai kompetensi dengan baik dalam hal</v>
      </c>
      <c r="AG22" s="23">
        <v>85</v>
      </c>
      <c r="AH22" s="18" t="str">
        <f t="shared" si="10"/>
        <v>Mencapai kompetensi dengan baik dalam hal</v>
      </c>
      <c r="AI22" s="23">
        <v>89</v>
      </c>
      <c r="AJ22" s="18" t="str">
        <f t="shared" si="11"/>
        <v>Mencapai kompetensi dengan baik dalam hal</v>
      </c>
      <c r="AK22" s="23">
        <v>84</v>
      </c>
      <c r="AL22" s="18" t="str">
        <f t="shared" si="30"/>
        <v>Mencapai kompetensi dengan baik dalam hal</v>
      </c>
      <c r="AM22" s="23">
        <v>85</v>
      </c>
      <c r="AN22" s="18" t="str">
        <f t="shared" si="31"/>
        <v>Mencapai kompetensi dengan baik dalam hal</v>
      </c>
      <c r="AO22" s="23">
        <v>84</v>
      </c>
      <c r="AP22" s="18" t="str">
        <f t="shared" si="14"/>
        <v>Mencapai kompetensi dengan baik dalam hal</v>
      </c>
      <c r="AQ22" s="23">
        <v>82</v>
      </c>
      <c r="AR22" s="18" t="str">
        <f t="shared" si="32"/>
        <v>Mencapai kompetensi dengan baik dalam hal</v>
      </c>
      <c r="AS22" s="62">
        <f t="shared" si="33"/>
        <v>84.833333333333329</v>
      </c>
      <c r="AT22" s="23">
        <v>78</v>
      </c>
      <c r="AU22" s="18" t="str">
        <f t="shared" si="16"/>
        <v>Mencapai kompetensi dengan baik dalam hal</v>
      </c>
      <c r="AV22" s="23">
        <v>79</v>
      </c>
      <c r="AW22" s="18" t="str">
        <f t="shared" si="34"/>
        <v>Mencapai kompetensi dengan baik dalam hal</v>
      </c>
      <c r="AX22" s="23" t="s">
        <v>81</v>
      </c>
      <c r="AY22" s="23" t="s">
        <v>81</v>
      </c>
      <c r="AZ22" s="23" t="s">
        <v>81</v>
      </c>
      <c r="BA22" s="23">
        <v>1</v>
      </c>
      <c r="BB22" s="23" t="s">
        <v>82</v>
      </c>
      <c r="BC22" s="18" t="s">
        <v>83</v>
      </c>
      <c r="BD22" s="23" t="s">
        <v>86</v>
      </c>
      <c r="BE22" s="18" t="str">
        <f t="shared" si="18"/>
        <v>Sangat baik</v>
      </c>
      <c r="BF22" s="23">
        <v>2</v>
      </c>
      <c r="BG22" s="18" t="s">
        <v>99</v>
      </c>
      <c r="BH22" s="18" t="s">
        <v>83</v>
      </c>
      <c r="BI22" s="23" t="s">
        <v>84</v>
      </c>
      <c r="BJ22" s="18" t="str">
        <f t="shared" si="19"/>
        <v>Baik</v>
      </c>
      <c r="BK22" s="23"/>
      <c r="BL22" s="23"/>
      <c r="BM22" s="23"/>
      <c r="BN22" s="23"/>
      <c r="BO22" s="18"/>
      <c r="BP22" s="54"/>
      <c r="BQ22" s="54"/>
      <c r="BR22" s="54"/>
    </row>
    <row r="23" spans="1:70" ht="24.95" customHeight="1" x14ac:dyDescent="0.25">
      <c r="A23" s="23">
        <v>22</v>
      </c>
      <c r="B23" s="23">
        <v>2525747</v>
      </c>
      <c r="C23" s="23" t="s">
        <v>338</v>
      </c>
      <c r="D23" s="18" t="s">
        <v>339</v>
      </c>
      <c r="E23" s="23" t="s">
        <v>290</v>
      </c>
      <c r="F23" s="23" t="s">
        <v>291</v>
      </c>
      <c r="G23" s="23" t="s">
        <v>292</v>
      </c>
      <c r="H23" s="23" t="s">
        <v>293</v>
      </c>
      <c r="I23" s="60" t="s">
        <v>76</v>
      </c>
      <c r="J23" s="61" t="s">
        <v>77</v>
      </c>
      <c r="K23" s="61" t="s">
        <v>78</v>
      </c>
      <c r="L23" s="61" t="s">
        <v>79</v>
      </c>
      <c r="M23" s="23">
        <v>76</v>
      </c>
      <c r="N23" s="18" t="str">
        <f t="shared" si="20"/>
        <v>Mencapai kompetensi dengan baik dalam hal</v>
      </c>
      <c r="O23" s="23">
        <v>76</v>
      </c>
      <c r="P23" s="18" t="str">
        <f t="shared" si="21"/>
        <v>Mencapai kompetensi dengan baik dalam hal</v>
      </c>
      <c r="Q23" s="23">
        <v>80</v>
      </c>
      <c r="R23" s="18" t="str">
        <f t="shared" si="22"/>
        <v>Mencapai kompetensi dengan baik dalam hal</v>
      </c>
      <c r="S23" s="23">
        <v>81</v>
      </c>
      <c r="T23" s="18" t="str">
        <f t="shared" si="23"/>
        <v>Mencapai kompetensi dengan baik dalam hal</v>
      </c>
      <c r="U23" s="23">
        <v>77</v>
      </c>
      <c r="V23" s="18" t="str">
        <f t="shared" si="24"/>
        <v>Mencapai kompetensi dengan baik dalam hal</v>
      </c>
      <c r="W23" s="23">
        <v>75</v>
      </c>
      <c r="X23" s="18" t="str">
        <f t="shared" si="25"/>
        <v>Mencapai kompetensi dengan baik dalam hal</v>
      </c>
      <c r="Y23" s="23">
        <v>75</v>
      </c>
      <c r="Z23" s="18" t="str">
        <f t="shared" si="26"/>
        <v>Mencapai kompetensi dengan baik dalam hal</v>
      </c>
      <c r="AA23" s="23">
        <v>77</v>
      </c>
      <c r="AB23" s="18" t="str">
        <f t="shared" si="27"/>
        <v>Mencapai kompetensi dengan baik dalam hal</v>
      </c>
      <c r="AC23" s="23">
        <v>79</v>
      </c>
      <c r="AD23" s="18" t="str">
        <f t="shared" si="28"/>
        <v>Mencapai kompetensi dengan baik dalam hal</v>
      </c>
      <c r="AE23" s="23">
        <v>79</v>
      </c>
      <c r="AF23" s="18" t="str">
        <f t="shared" si="29"/>
        <v>Mencapai kompetensi dengan baik dalam hal</v>
      </c>
      <c r="AG23" s="23">
        <v>80</v>
      </c>
      <c r="AH23" s="18" t="str">
        <f t="shared" si="10"/>
        <v>Mencapai kompetensi dengan baik dalam hal</v>
      </c>
      <c r="AI23" s="23">
        <v>85</v>
      </c>
      <c r="AJ23" s="18" t="str">
        <f t="shared" si="11"/>
        <v>Mencapai kompetensi dengan baik dalam hal</v>
      </c>
      <c r="AK23" s="23">
        <v>83</v>
      </c>
      <c r="AL23" s="18" t="str">
        <f t="shared" si="30"/>
        <v>Mencapai kompetensi dengan baik dalam hal</v>
      </c>
      <c r="AM23" s="23">
        <v>80</v>
      </c>
      <c r="AN23" s="18" t="str">
        <f t="shared" si="31"/>
        <v>Mencapai kompetensi dengan baik dalam hal</v>
      </c>
      <c r="AO23" s="23">
        <v>84</v>
      </c>
      <c r="AP23" s="18" t="str">
        <f t="shared" si="14"/>
        <v>Mencapai kompetensi dengan baik dalam hal</v>
      </c>
      <c r="AQ23" s="23">
        <v>83</v>
      </c>
      <c r="AR23" s="18" t="str">
        <f t="shared" si="32"/>
        <v>Mencapai kompetensi dengan baik dalam hal</v>
      </c>
      <c r="AS23" s="62">
        <f t="shared" si="33"/>
        <v>82.5</v>
      </c>
      <c r="AT23" s="23">
        <v>79</v>
      </c>
      <c r="AU23" s="18" t="str">
        <f t="shared" si="16"/>
        <v>Mencapai kompetensi dengan baik dalam hal</v>
      </c>
      <c r="AV23" s="23">
        <v>78</v>
      </c>
      <c r="AW23" s="18" t="str">
        <f t="shared" si="34"/>
        <v>Mencapai kompetensi dengan baik dalam hal</v>
      </c>
      <c r="AX23" s="23">
        <v>1</v>
      </c>
      <c r="AY23" s="23" t="s">
        <v>81</v>
      </c>
      <c r="AZ23" s="23" t="s">
        <v>81</v>
      </c>
      <c r="BA23" s="23">
        <v>1</v>
      </c>
      <c r="BB23" s="23" t="s">
        <v>82</v>
      </c>
      <c r="BC23" s="18" t="s">
        <v>83</v>
      </c>
      <c r="BD23" s="23" t="s">
        <v>86</v>
      </c>
      <c r="BE23" s="18" t="str">
        <f t="shared" si="18"/>
        <v>Sangat baik</v>
      </c>
      <c r="BF23" s="23">
        <v>2</v>
      </c>
      <c r="BG23" s="18" t="s">
        <v>99</v>
      </c>
      <c r="BH23" s="18" t="s">
        <v>83</v>
      </c>
      <c r="BI23" s="23" t="s">
        <v>84</v>
      </c>
      <c r="BJ23" s="18" t="str">
        <f t="shared" si="19"/>
        <v>Baik</v>
      </c>
      <c r="BK23" s="23"/>
      <c r="BL23" s="23"/>
      <c r="BM23" s="23"/>
      <c r="BN23" s="23"/>
      <c r="BO23" s="18"/>
      <c r="BP23" s="54"/>
      <c r="BQ23" s="54"/>
      <c r="BR23" s="54"/>
    </row>
    <row r="24" spans="1:70" ht="24.95" customHeight="1" x14ac:dyDescent="0.25">
      <c r="A24" s="23">
        <v>23</v>
      </c>
      <c r="B24" s="23">
        <v>2525748</v>
      </c>
      <c r="C24" s="23" t="s">
        <v>340</v>
      </c>
      <c r="D24" s="18" t="s">
        <v>341</v>
      </c>
      <c r="E24" s="23" t="s">
        <v>290</v>
      </c>
      <c r="F24" s="23" t="s">
        <v>291</v>
      </c>
      <c r="G24" s="23" t="s">
        <v>292</v>
      </c>
      <c r="H24" s="23" t="s">
        <v>293</v>
      </c>
      <c r="I24" s="60" t="s">
        <v>76</v>
      </c>
      <c r="J24" s="61" t="s">
        <v>77</v>
      </c>
      <c r="K24" s="61" t="s">
        <v>78</v>
      </c>
      <c r="L24" s="61" t="s">
        <v>79</v>
      </c>
      <c r="M24" s="23">
        <v>83</v>
      </c>
      <c r="N24" s="18" t="str">
        <f t="shared" si="20"/>
        <v>Mencapai kompetensi dengan baik dalam hal</v>
      </c>
      <c r="O24" s="23">
        <v>77</v>
      </c>
      <c r="P24" s="18" t="str">
        <f t="shared" si="21"/>
        <v>Mencapai kompetensi dengan baik dalam hal</v>
      </c>
      <c r="Q24" s="23">
        <v>77</v>
      </c>
      <c r="R24" s="18" t="str">
        <f t="shared" si="22"/>
        <v>Mencapai kompetensi dengan baik dalam hal</v>
      </c>
      <c r="S24" s="23">
        <v>82</v>
      </c>
      <c r="T24" s="18" t="str">
        <f t="shared" si="23"/>
        <v>Mencapai kompetensi dengan baik dalam hal</v>
      </c>
      <c r="U24" s="23">
        <v>83</v>
      </c>
      <c r="V24" s="18" t="str">
        <f t="shared" si="24"/>
        <v>Mencapai kompetensi dengan baik dalam hal</v>
      </c>
      <c r="W24" s="23">
        <v>81</v>
      </c>
      <c r="X24" s="18" t="str">
        <f t="shared" si="25"/>
        <v>Mencapai kompetensi dengan baik dalam hal</v>
      </c>
      <c r="Y24" s="23">
        <v>82</v>
      </c>
      <c r="Z24" s="18" t="str">
        <f t="shared" si="26"/>
        <v>Mencapai kompetensi dengan baik dalam hal</v>
      </c>
      <c r="AA24" s="23">
        <v>79</v>
      </c>
      <c r="AB24" s="18" t="str">
        <f t="shared" si="27"/>
        <v>Mencapai kompetensi dengan baik dalam hal</v>
      </c>
      <c r="AC24" s="23">
        <v>88</v>
      </c>
      <c r="AD24" s="18" t="str">
        <f t="shared" si="28"/>
        <v>Mencapai kompetensi dengan baik dalam hal</v>
      </c>
      <c r="AE24" s="23">
        <v>86</v>
      </c>
      <c r="AF24" s="18" t="str">
        <f t="shared" si="29"/>
        <v>Mencapai kompetensi dengan baik dalam hal</v>
      </c>
      <c r="AG24" s="23">
        <v>80</v>
      </c>
      <c r="AH24" s="18" t="str">
        <f t="shared" si="10"/>
        <v>Mencapai kompetensi dengan baik dalam hal</v>
      </c>
      <c r="AI24" s="23">
        <v>93</v>
      </c>
      <c r="AJ24" s="18" t="str">
        <f t="shared" si="11"/>
        <v>Mencapai kompetensi dengan sangat baik dalam hal</v>
      </c>
      <c r="AK24" s="23">
        <v>92</v>
      </c>
      <c r="AL24" s="18" t="str">
        <f t="shared" si="30"/>
        <v>Mencapai kompetensi dengan sangat baik dalam hal</v>
      </c>
      <c r="AM24" s="23">
        <v>80</v>
      </c>
      <c r="AN24" s="18" t="str">
        <f t="shared" si="31"/>
        <v>Mencapai kompetensi dengan baik dalam hal</v>
      </c>
      <c r="AO24" s="23">
        <v>85</v>
      </c>
      <c r="AP24" s="18" t="str">
        <f t="shared" si="14"/>
        <v>Mencapai kompetensi dengan baik dalam hal</v>
      </c>
      <c r="AQ24" s="23">
        <v>84</v>
      </c>
      <c r="AR24" s="18" t="str">
        <f t="shared" si="32"/>
        <v>Mencapai kompetensi dengan baik dalam hal</v>
      </c>
      <c r="AS24" s="62">
        <f t="shared" si="33"/>
        <v>85.666666666666671</v>
      </c>
      <c r="AT24" s="23">
        <v>88</v>
      </c>
      <c r="AU24" s="18" t="str">
        <f t="shared" si="16"/>
        <v>Mencapai kompetensi dengan baik dalam hal</v>
      </c>
      <c r="AV24" s="23">
        <v>82</v>
      </c>
      <c r="AW24" s="18" t="str">
        <f t="shared" si="34"/>
        <v>Mencapai kompetensi dengan baik dalam hal</v>
      </c>
      <c r="AX24" s="23" t="s">
        <v>81</v>
      </c>
      <c r="AY24" s="23" t="s">
        <v>81</v>
      </c>
      <c r="AZ24" s="23" t="s">
        <v>81</v>
      </c>
      <c r="BA24" s="23">
        <v>1</v>
      </c>
      <c r="BB24" s="23" t="s">
        <v>82</v>
      </c>
      <c r="BC24" s="18" t="s">
        <v>83</v>
      </c>
      <c r="BD24" s="23" t="s">
        <v>86</v>
      </c>
      <c r="BE24" s="18" t="str">
        <f t="shared" si="18"/>
        <v>Sangat baik</v>
      </c>
      <c r="BF24" s="23">
        <v>2</v>
      </c>
      <c r="BG24" s="18" t="s">
        <v>108</v>
      </c>
      <c r="BH24" s="18" t="s">
        <v>83</v>
      </c>
      <c r="BI24" s="23" t="s">
        <v>84</v>
      </c>
      <c r="BJ24" s="18" t="str">
        <f t="shared" si="19"/>
        <v>Baik</v>
      </c>
      <c r="BK24" s="23"/>
      <c r="BL24" s="23"/>
      <c r="BM24" s="23"/>
      <c r="BN24" s="23"/>
      <c r="BO24" s="18"/>
      <c r="BP24" s="54"/>
      <c r="BQ24" s="54"/>
      <c r="BR24" s="54"/>
    </row>
    <row r="25" spans="1:70" ht="24.95" customHeight="1" x14ac:dyDescent="0.25">
      <c r="A25" s="23">
        <v>24</v>
      </c>
      <c r="B25" s="23">
        <v>2525749</v>
      </c>
      <c r="C25" s="23" t="s">
        <v>342</v>
      </c>
      <c r="D25" s="18" t="s">
        <v>343</v>
      </c>
      <c r="E25" s="23" t="s">
        <v>290</v>
      </c>
      <c r="F25" s="23" t="s">
        <v>291</v>
      </c>
      <c r="G25" s="23" t="s">
        <v>292</v>
      </c>
      <c r="H25" s="23" t="s">
        <v>293</v>
      </c>
      <c r="I25" s="60" t="s">
        <v>76</v>
      </c>
      <c r="J25" s="61" t="s">
        <v>77</v>
      </c>
      <c r="K25" s="61" t="s">
        <v>78</v>
      </c>
      <c r="L25" s="61" t="s">
        <v>79</v>
      </c>
      <c r="M25" s="23">
        <v>80</v>
      </c>
      <c r="N25" s="18" t="str">
        <f t="shared" si="20"/>
        <v>Mencapai kompetensi dengan baik dalam hal</v>
      </c>
      <c r="O25" s="23">
        <v>76</v>
      </c>
      <c r="P25" s="18" t="str">
        <f t="shared" si="21"/>
        <v>Mencapai kompetensi dengan baik dalam hal</v>
      </c>
      <c r="Q25" s="23">
        <v>79</v>
      </c>
      <c r="R25" s="18" t="str">
        <f t="shared" si="22"/>
        <v>Mencapai kompetensi dengan baik dalam hal</v>
      </c>
      <c r="S25" s="23">
        <v>82</v>
      </c>
      <c r="T25" s="18" t="str">
        <f t="shared" si="23"/>
        <v>Mencapai kompetensi dengan baik dalam hal</v>
      </c>
      <c r="U25" s="23">
        <v>77</v>
      </c>
      <c r="V25" s="18" t="str">
        <f t="shared" si="24"/>
        <v>Mencapai kompetensi dengan baik dalam hal</v>
      </c>
      <c r="W25" s="23">
        <v>75</v>
      </c>
      <c r="X25" s="18" t="str">
        <f t="shared" si="25"/>
        <v>Mencapai kompetensi dengan baik dalam hal</v>
      </c>
      <c r="Y25" s="23">
        <v>82</v>
      </c>
      <c r="Z25" s="18" t="str">
        <f t="shared" si="26"/>
        <v>Mencapai kompetensi dengan baik dalam hal</v>
      </c>
      <c r="AA25" s="23">
        <v>84</v>
      </c>
      <c r="AB25" s="18" t="str">
        <f t="shared" si="27"/>
        <v>Mencapai kompetensi dengan baik dalam hal</v>
      </c>
      <c r="AC25" s="23">
        <v>87</v>
      </c>
      <c r="AD25" s="18" t="str">
        <f t="shared" si="28"/>
        <v>Mencapai kompetensi dengan baik dalam hal</v>
      </c>
      <c r="AE25" s="23">
        <v>81</v>
      </c>
      <c r="AF25" s="18" t="str">
        <f t="shared" si="29"/>
        <v>Mencapai kompetensi dengan baik dalam hal</v>
      </c>
      <c r="AG25" s="23">
        <v>81</v>
      </c>
      <c r="AH25" s="18" t="str">
        <f t="shared" si="10"/>
        <v>Mencapai kompetensi dengan baik dalam hal</v>
      </c>
      <c r="AI25" s="23">
        <v>92</v>
      </c>
      <c r="AJ25" s="18" t="str">
        <f t="shared" si="11"/>
        <v>Mencapai kompetensi dengan sangat baik dalam hal</v>
      </c>
      <c r="AK25" s="23">
        <v>86</v>
      </c>
      <c r="AL25" s="18" t="str">
        <f t="shared" si="30"/>
        <v>Mencapai kompetensi dengan baik dalam hal</v>
      </c>
      <c r="AM25" s="23">
        <v>80</v>
      </c>
      <c r="AN25" s="18" t="str">
        <f t="shared" si="31"/>
        <v>Mencapai kompetensi dengan baik dalam hal</v>
      </c>
      <c r="AO25" s="23">
        <v>82</v>
      </c>
      <c r="AP25" s="18" t="str">
        <f t="shared" si="14"/>
        <v>Mencapai kompetensi dengan baik dalam hal</v>
      </c>
      <c r="AQ25" s="23">
        <v>83</v>
      </c>
      <c r="AR25" s="18" t="str">
        <f t="shared" si="32"/>
        <v>Mencapai kompetensi dengan baik dalam hal</v>
      </c>
      <c r="AS25" s="62">
        <f t="shared" si="33"/>
        <v>84</v>
      </c>
      <c r="AT25" s="23">
        <v>87</v>
      </c>
      <c r="AU25" s="18" t="str">
        <f t="shared" si="16"/>
        <v>Mencapai kompetensi dengan baik dalam hal</v>
      </c>
      <c r="AV25" s="23">
        <v>78</v>
      </c>
      <c r="AW25" s="18" t="str">
        <f t="shared" si="34"/>
        <v>Mencapai kompetensi dengan baik dalam hal</v>
      </c>
      <c r="AX25" s="23" t="s">
        <v>81</v>
      </c>
      <c r="AY25" s="23" t="s">
        <v>81</v>
      </c>
      <c r="AZ25" s="23" t="s">
        <v>81</v>
      </c>
      <c r="BA25" s="23">
        <v>1</v>
      </c>
      <c r="BB25" s="23" t="s">
        <v>82</v>
      </c>
      <c r="BC25" s="18" t="s">
        <v>83</v>
      </c>
      <c r="BD25" s="23" t="s">
        <v>86</v>
      </c>
      <c r="BE25" s="18" t="str">
        <f t="shared" si="18"/>
        <v>Sangat baik</v>
      </c>
      <c r="BF25" s="23">
        <v>2</v>
      </c>
      <c r="BG25" s="18" t="s">
        <v>125</v>
      </c>
      <c r="BH25" s="18" t="s">
        <v>83</v>
      </c>
      <c r="BI25" s="23" t="s">
        <v>104</v>
      </c>
      <c r="BJ25" s="18" t="str">
        <f t="shared" si="19"/>
        <v>Cukup</v>
      </c>
      <c r="BK25" s="23"/>
      <c r="BL25" s="23"/>
      <c r="BM25" s="23"/>
      <c r="BN25" s="23"/>
      <c r="BO25" s="18"/>
      <c r="BP25" s="54"/>
      <c r="BQ25" s="54"/>
      <c r="BR25" s="54"/>
    </row>
    <row r="26" spans="1:70" ht="24.95" customHeight="1" x14ac:dyDescent="0.25">
      <c r="A26" s="23">
        <v>25</v>
      </c>
      <c r="B26" s="23">
        <v>2525750</v>
      </c>
      <c r="C26" s="23" t="s">
        <v>344</v>
      </c>
      <c r="D26" s="18" t="s">
        <v>345</v>
      </c>
      <c r="E26" s="23" t="s">
        <v>290</v>
      </c>
      <c r="F26" s="23" t="s">
        <v>291</v>
      </c>
      <c r="G26" s="23" t="s">
        <v>292</v>
      </c>
      <c r="H26" s="23" t="s">
        <v>293</v>
      </c>
      <c r="I26" s="60" t="s">
        <v>76</v>
      </c>
      <c r="J26" s="61" t="s">
        <v>77</v>
      </c>
      <c r="K26" s="61" t="s">
        <v>78</v>
      </c>
      <c r="L26" s="61" t="s">
        <v>79</v>
      </c>
      <c r="M26" s="23">
        <v>76</v>
      </c>
      <c r="N26" s="18" t="str">
        <f t="shared" si="20"/>
        <v>Mencapai kompetensi dengan baik dalam hal</v>
      </c>
      <c r="O26" s="23">
        <v>76</v>
      </c>
      <c r="P26" s="18" t="str">
        <f t="shared" si="21"/>
        <v>Mencapai kompetensi dengan baik dalam hal</v>
      </c>
      <c r="Q26" s="23">
        <v>75</v>
      </c>
      <c r="R26" s="18" t="str">
        <f t="shared" si="22"/>
        <v>Mencapai kompetensi dengan baik dalam hal</v>
      </c>
      <c r="S26" s="23">
        <v>81</v>
      </c>
      <c r="T26" s="18" t="str">
        <f t="shared" si="23"/>
        <v>Mencapai kompetensi dengan baik dalam hal</v>
      </c>
      <c r="U26" s="23">
        <v>76</v>
      </c>
      <c r="V26" s="18" t="str">
        <f t="shared" si="24"/>
        <v>Mencapai kompetensi dengan baik dalam hal</v>
      </c>
      <c r="W26" s="23">
        <v>77</v>
      </c>
      <c r="X26" s="18" t="str">
        <f t="shared" si="25"/>
        <v>Mencapai kompetensi dengan baik dalam hal</v>
      </c>
      <c r="Y26" s="23">
        <v>75</v>
      </c>
      <c r="Z26" s="18" t="str">
        <f t="shared" si="26"/>
        <v>Mencapai kompetensi dengan baik dalam hal</v>
      </c>
      <c r="AA26" s="23">
        <v>76</v>
      </c>
      <c r="AB26" s="18" t="str">
        <f t="shared" si="27"/>
        <v>Mencapai kompetensi dengan baik dalam hal</v>
      </c>
      <c r="AC26" s="23">
        <v>88</v>
      </c>
      <c r="AD26" s="18" t="str">
        <f t="shared" si="28"/>
        <v>Mencapai kompetensi dengan baik dalam hal</v>
      </c>
      <c r="AE26" s="23">
        <v>83</v>
      </c>
      <c r="AF26" s="18" t="str">
        <f t="shared" si="29"/>
        <v>Mencapai kompetensi dengan baik dalam hal</v>
      </c>
      <c r="AG26" s="23">
        <v>80</v>
      </c>
      <c r="AH26" s="18" t="str">
        <f t="shared" si="10"/>
        <v>Mencapai kompetensi dengan baik dalam hal</v>
      </c>
      <c r="AI26" s="23">
        <v>89</v>
      </c>
      <c r="AJ26" s="18" t="str">
        <f t="shared" si="11"/>
        <v>Mencapai kompetensi dengan baik dalam hal</v>
      </c>
      <c r="AK26" s="23">
        <v>83</v>
      </c>
      <c r="AL26" s="18" t="str">
        <f t="shared" si="30"/>
        <v>Mencapai kompetensi dengan baik dalam hal</v>
      </c>
      <c r="AM26" s="23">
        <v>80</v>
      </c>
      <c r="AN26" s="18" t="str">
        <f t="shared" si="31"/>
        <v>Mencapai kompetensi dengan baik dalam hal</v>
      </c>
      <c r="AO26" s="23">
        <v>83</v>
      </c>
      <c r="AP26" s="18" t="str">
        <f t="shared" si="14"/>
        <v>Mencapai kompetensi dengan baik dalam hal</v>
      </c>
      <c r="AQ26" s="23">
        <v>82</v>
      </c>
      <c r="AR26" s="18" t="str">
        <f t="shared" si="32"/>
        <v>Mencapai kompetensi dengan baik dalam hal</v>
      </c>
      <c r="AS26" s="62">
        <f t="shared" si="33"/>
        <v>82.833333333333329</v>
      </c>
      <c r="AT26" s="23">
        <v>88</v>
      </c>
      <c r="AU26" s="18" t="str">
        <f t="shared" si="16"/>
        <v>Mencapai kompetensi dengan baik dalam hal</v>
      </c>
      <c r="AV26" s="23">
        <v>79</v>
      </c>
      <c r="AW26" s="18" t="str">
        <f t="shared" si="34"/>
        <v>Mencapai kompetensi dengan baik dalam hal</v>
      </c>
      <c r="AX26" s="23">
        <v>3</v>
      </c>
      <c r="AY26" s="23" t="s">
        <v>81</v>
      </c>
      <c r="AZ26" s="23" t="s">
        <v>81</v>
      </c>
      <c r="BA26" s="23">
        <v>1</v>
      </c>
      <c r="BB26" s="23" t="s">
        <v>82</v>
      </c>
      <c r="BC26" s="18" t="s">
        <v>83</v>
      </c>
      <c r="BD26" s="23" t="s">
        <v>84</v>
      </c>
      <c r="BE26" s="18" t="str">
        <f t="shared" si="18"/>
        <v>Baik</v>
      </c>
      <c r="BF26" s="23">
        <v>2</v>
      </c>
      <c r="BG26" s="18" t="s">
        <v>103</v>
      </c>
      <c r="BH26" s="18" t="s">
        <v>83</v>
      </c>
      <c r="BI26" s="23" t="s">
        <v>84</v>
      </c>
      <c r="BJ26" s="18" t="str">
        <f t="shared" si="19"/>
        <v>Baik</v>
      </c>
      <c r="BK26" s="23"/>
      <c r="BL26" s="23"/>
      <c r="BM26" s="23"/>
      <c r="BN26" s="23"/>
      <c r="BO26" s="18"/>
      <c r="BP26" s="54"/>
      <c r="BQ26" s="54"/>
      <c r="BR26" s="54"/>
    </row>
    <row r="27" spans="1:70" ht="24.95" customHeight="1" x14ac:dyDescent="0.25">
      <c r="A27" s="23">
        <v>26</v>
      </c>
      <c r="B27" s="23">
        <v>2525751</v>
      </c>
      <c r="C27" s="23" t="s">
        <v>346</v>
      </c>
      <c r="D27" s="18" t="s">
        <v>347</v>
      </c>
      <c r="E27" s="23" t="s">
        <v>290</v>
      </c>
      <c r="F27" s="23" t="s">
        <v>291</v>
      </c>
      <c r="G27" s="23" t="s">
        <v>292</v>
      </c>
      <c r="H27" s="23" t="s">
        <v>293</v>
      </c>
      <c r="I27" s="60" t="s">
        <v>76</v>
      </c>
      <c r="J27" s="61" t="s">
        <v>77</v>
      </c>
      <c r="K27" s="61" t="s">
        <v>78</v>
      </c>
      <c r="L27" s="61" t="s">
        <v>79</v>
      </c>
      <c r="M27" s="23">
        <v>81</v>
      </c>
      <c r="N27" s="18" t="str">
        <f t="shared" si="20"/>
        <v>Mencapai kompetensi dengan baik dalam hal</v>
      </c>
      <c r="O27" s="23">
        <v>79</v>
      </c>
      <c r="P27" s="18" t="str">
        <f t="shared" si="21"/>
        <v>Mencapai kompetensi dengan baik dalam hal</v>
      </c>
      <c r="Q27" s="23">
        <v>79</v>
      </c>
      <c r="R27" s="18" t="str">
        <f t="shared" si="22"/>
        <v>Mencapai kompetensi dengan baik dalam hal</v>
      </c>
      <c r="S27" s="23">
        <v>83</v>
      </c>
      <c r="T27" s="18" t="str">
        <f t="shared" si="23"/>
        <v>Mencapai kompetensi dengan baik dalam hal</v>
      </c>
      <c r="U27" s="23">
        <v>86</v>
      </c>
      <c r="V27" s="18" t="str">
        <f t="shared" si="24"/>
        <v>Mencapai kompetensi dengan baik dalam hal</v>
      </c>
      <c r="W27" s="23">
        <v>82</v>
      </c>
      <c r="X27" s="18" t="str">
        <f t="shared" si="25"/>
        <v>Mencapai kompetensi dengan baik dalam hal</v>
      </c>
      <c r="Y27" s="23">
        <v>75</v>
      </c>
      <c r="Z27" s="18" t="str">
        <f t="shared" si="26"/>
        <v>Mencapai kompetensi dengan baik dalam hal</v>
      </c>
      <c r="AA27" s="23">
        <v>79</v>
      </c>
      <c r="AB27" s="18" t="str">
        <f t="shared" si="27"/>
        <v>Mencapai kompetensi dengan baik dalam hal</v>
      </c>
      <c r="AC27" s="23">
        <v>85</v>
      </c>
      <c r="AD27" s="18" t="str">
        <f t="shared" si="28"/>
        <v>Mencapai kompetensi dengan baik dalam hal</v>
      </c>
      <c r="AE27" s="23">
        <v>85</v>
      </c>
      <c r="AF27" s="18" t="str">
        <f t="shared" si="29"/>
        <v>Mencapai kompetensi dengan baik dalam hal</v>
      </c>
      <c r="AG27" s="23">
        <v>85</v>
      </c>
      <c r="AH27" s="18" t="str">
        <f t="shared" si="10"/>
        <v>Mencapai kompetensi dengan baik dalam hal</v>
      </c>
      <c r="AI27" s="23">
        <v>90</v>
      </c>
      <c r="AJ27" s="18" t="str">
        <f t="shared" si="11"/>
        <v>Mencapai kompetensi dengan sangat baik dalam hal</v>
      </c>
      <c r="AK27" s="23">
        <v>84</v>
      </c>
      <c r="AL27" s="18" t="str">
        <f t="shared" si="30"/>
        <v>Mencapai kompetensi dengan baik dalam hal</v>
      </c>
      <c r="AM27" s="23">
        <v>85</v>
      </c>
      <c r="AN27" s="18" t="str">
        <f t="shared" si="31"/>
        <v>Mencapai kompetensi dengan baik dalam hal</v>
      </c>
      <c r="AO27" s="23">
        <v>84</v>
      </c>
      <c r="AP27" s="18" t="str">
        <f t="shared" si="14"/>
        <v>Mencapai kompetensi dengan baik dalam hal</v>
      </c>
      <c r="AQ27" s="23">
        <v>84</v>
      </c>
      <c r="AR27" s="18" t="str">
        <f t="shared" si="32"/>
        <v>Mencapai kompetensi dengan baik dalam hal</v>
      </c>
      <c r="AS27" s="62">
        <f t="shared" si="33"/>
        <v>85.333333333333329</v>
      </c>
      <c r="AT27" s="23">
        <v>85</v>
      </c>
      <c r="AU27" s="18" t="str">
        <f t="shared" si="16"/>
        <v>Mencapai kompetensi dengan baik dalam hal</v>
      </c>
      <c r="AV27" s="23">
        <v>82</v>
      </c>
      <c r="AW27" s="18" t="str">
        <f t="shared" si="34"/>
        <v>Mencapai kompetensi dengan baik dalam hal</v>
      </c>
      <c r="AX27" s="23" t="s">
        <v>81</v>
      </c>
      <c r="AY27" s="23">
        <v>1</v>
      </c>
      <c r="AZ27" s="23" t="s">
        <v>81</v>
      </c>
      <c r="BA27" s="23">
        <v>1</v>
      </c>
      <c r="BB27" s="23" t="s">
        <v>82</v>
      </c>
      <c r="BC27" s="18" t="s">
        <v>83</v>
      </c>
      <c r="BD27" s="23" t="s">
        <v>86</v>
      </c>
      <c r="BE27" s="18" t="str">
        <f t="shared" si="18"/>
        <v>Sangat baik</v>
      </c>
      <c r="BF27" s="23">
        <v>2</v>
      </c>
      <c r="BG27" s="18" t="s">
        <v>85</v>
      </c>
      <c r="BH27" s="18" t="s">
        <v>83</v>
      </c>
      <c r="BI27" s="23" t="s">
        <v>86</v>
      </c>
      <c r="BJ27" s="18" t="str">
        <f t="shared" si="19"/>
        <v>Sangat baik</v>
      </c>
      <c r="BK27" s="23">
        <v>3</v>
      </c>
      <c r="BL27" s="23" t="s">
        <v>87</v>
      </c>
      <c r="BM27" s="23" t="s">
        <v>83</v>
      </c>
      <c r="BN27" s="23" t="s">
        <v>84</v>
      </c>
      <c r="BO27" s="18" t="str">
        <f>VLOOKUP(BN27,grades4,2,TRUE)</f>
        <v>Baik</v>
      </c>
      <c r="BP27" s="54"/>
      <c r="BQ27" s="54"/>
      <c r="BR27" s="54"/>
    </row>
    <row r="28" spans="1:70" ht="24.95" customHeight="1" x14ac:dyDescent="0.25">
      <c r="A28" s="23">
        <v>27</v>
      </c>
      <c r="B28" s="23">
        <v>2525752</v>
      </c>
      <c r="C28" s="23" t="s">
        <v>348</v>
      </c>
      <c r="D28" s="18" t="s">
        <v>349</v>
      </c>
      <c r="E28" s="23" t="s">
        <v>290</v>
      </c>
      <c r="F28" s="23" t="s">
        <v>291</v>
      </c>
      <c r="G28" s="23" t="s">
        <v>292</v>
      </c>
      <c r="H28" s="23" t="s">
        <v>293</v>
      </c>
      <c r="I28" s="60" t="s">
        <v>76</v>
      </c>
      <c r="J28" s="61" t="s">
        <v>77</v>
      </c>
      <c r="K28" s="61" t="s">
        <v>78</v>
      </c>
      <c r="L28" s="61" t="s">
        <v>79</v>
      </c>
      <c r="M28" s="23">
        <v>83</v>
      </c>
      <c r="N28" s="18" t="str">
        <f t="shared" si="20"/>
        <v>Mencapai kompetensi dengan baik dalam hal</v>
      </c>
      <c r="O28" s="23">
        <v>80</v>
      </c>
      <c r="P28" s="18" t="str">
        <f t="shared" si="21"/>
        <v>Mencapai kompetensi dengan baik dalam hal</v>
      </c>
      <c r="Q28" s="23">
        <v>80</v>
      </c>
      <c r="R28" s="18" t="str">
        <f t="shared" si="22"/>
        <v>Mencapai kompetensi dengan baik dalam hal</v>
      </c>
      <c r="S28" s="23">
        <v>79</v>
      </c>
      <c r="T28" s="18" t="str">
        <f t="shared" si="23"/>
        <v>Mencapai kompetensi dengan baik dalam hal</v>
      </c>
      <c r="U28" s="23">
        <v>82</v>
      </c>
      <c r="V28" s="18" t="str">
        <f t="shared" si="24"/>
        <v>Mencapai kompetensi dengan baik dalam hal</v>
      </c>
      <c r="W28" s="23">
        <v>87</v>
      </c>
      <c r="X28" s="18" t="str">
        <f t="shared" si="25"/>
        <v>Mencapai kompetensi dengan baik dalam hal</v>
      </c>
      <c r="Y28" s="23">
        <v>78</v>
      </c>
      <c r="Z28" s="18" t="str">
        <f t="shared" si="26"/>
        <v>Mencapai kompetensi dengan baik dalam hal</v>
      </c>
      <c r="AA28" s="23">
        <v>80</v>
      </c>
      <c r="AB28" s="18" t="str">
        <f t="shared" si="27"/>
        <v>Mencapai kompetensi dengan baik dalam hal</v>
      </c>
      <c r="AC28" s="23">
        <v>85</v>
      </c>
      <c r="AD28" s="18" t="str">
        <f t="shared" si="28"/>
        <v>Mencapai kompetensi dengan baik dalam hal</v>
      </c>
      <c r="AE28" s="23">
        <v>88</v>
      </c>
      <c r="AF28" s="18" t="str">
        <f t="shared" si="29"/>
        <v>Mencapai kompetensi dengan baik dalam hal</v>
      </c>
      <c r="AG28" s="23">
        <v>86</v>
      </c>
      <c r="AH28" s="18" t="str">
        <f t="shared" si="10"/>
        <v>Mencapai kompetensi dengan baik dalam hal</v>
      </c>
      <c r="AI28" s="23">
        <v>96</v>
      </c>
      <c r="AJ28" s="18" t="str">
        <f t="shared" si="11"/>
        <v>Mencapai kompetensi dengan sangat baik dalam hal</v>
      </c>
      <c r="AK28" s="23">
        <v>88</v>
      </c>
      <c r="AL28" s="18" t="str">
        <f t="shared" si="30"/>
        <v>Mencapai kompetensi dengan baik dalam hal</v>
      </c>
      <c r="AM28" s="23">
        <v>88</v>
      </c>
      <c r="AN28" s="18" t="str">
        <f t="shared" si="31"/>
        <v>Mencapai kompetensi dengan baik dalam hal</v>
      </c>
      <c r="AO28" s="23">
        <v>85</v>
      </c>
      <c r="AP28" s="18" t="str">
        <f t="shared" si="14"/>
        <v>Mencapai kompetensi dengan baik dalam hal</v>
      </c>
      <c r="AQ28" s="23">
        <v>84</v>
      </c>
      <c r="AR28" s="18" t="str">
        <f t="shared" si="32"/>
        <v>Mencapai kompetensi dengan baik dalam hal</v>
      </c>
      <c r="AS28" s="62">
        <f t="shared" si="33"/>
        <v>87.833333333333329</v>
      </c>
      <c r="AT28" s="23">
        <v>85</v>
      </c>
      <c r="AU28" s="18" t="str">
        <f t="shared" si="16"/>
        <v>Mencapai kompetensi dengan baik dalam hal</v>
      </c>
      <c r="AV28" s="23">
        <v>82</v>
      </c>
      <c r="AW28" s="18" t="str">
        <f t="shared" si="34"/>
        <v>Mencapai kompetensi dengan baik dalam hal</v>
      </c>
      <c r="AX28" s="23" t="s">
        <v>81</v>
      </c>
      <c r="AY28" s="23" t="s">
        <v>81</v>
      </c>
      <c r="AZ28" s="23" t="s">
        <v>81</v>
      </c>
      <c r="BA28" s="23">
        <v>1</v>
      </c>
      <c r="BB28" s="23" t="s">
        <v>82</v>
      </c>
      <c r="BC28" s="18" t="s">
        <v>83</v>
      </c>
      <c r="BD28" s="23" t="s">
        <v>84</v>
      </c>
      <c r="BE28" s="18" t="str">
        <f t="shared" si="18"/>
        <v>Baik</v>
      </c>
      <c r="BF28" s="23">
        <v>2</v>
      </c>
      <c r="BG28" s="18" t="s">
        <v>236</v>
      </c>
      <c r="BH28" s="18" t="s">
        <v>83</v>
      </c>
      <c r="BI28" s="23" t="s">
        <v>110</v>
      </c>
      <c r="BJ28" s="18" t="str">
        <f t="shared" si="19"/>
        <v>Kurang</v>
      </c>
      <c r="BK28" s="23">
        <v>3</v>
      </c>
      <c r="BL28" s="23"/>
      <c r="BM28" s="23"/>
      <c r="BN28" s="23"/>
      <c r="BO28" s="18"/>
      <c r="BP28" s="54"/>
      <c r="BQ28" s="54"/>
      <c r="BR28" s="54"/>
    </row>
    <row r="29" spans="1:70" ht="24.95" customHeight="1" x14ac:dyDescent="0.25">
      <c r="A29" s="23">
        <v>28</v>
      </c>
      <c r="B29" s="23">
        <v>2525753</v>
      </c>
      <c r="C29" s="23" t="s">
        <v>350</v>
      </c>
      <c r="D29" s="18" t="s">
        <v>351</v>
      </c>
      <c r="E29" s="23" t="s">
        <v>290</v>
      </c>
      <c r="F29" s="23" t="s">
        <v>291</v>
      </c>
      <c r="G29" s="23" t="s">
        <v>292</v>
      </c>
      <c r="H29" s="23" t="s">
        <v>293</v>
      </c>
      <c r="I29" s="60" t="s">
        <v>76</v>
      </c>
      <c r="J29" s="61" t="s">
        <v>77</v>
      </c>
      <c r="K29" s="61" t="s">
        <v>78</v>
      </c>
      <c r="L29" s="61" t="s">
        <v>79</v>
      </c>
      <c r="M29" s="23">
        <v>83</v>
      </c>
      <c r="N29" s="18" t="str">
        <f t="shared" si="20"/>
        <v>Mencapai kompetensi dengan baik dalam hal</v>
      </c>
      <c r="O29" s="23">
        <v>78</v>
      </c>
      <c r="P29" s="18" t="str">
        <f t="shared" si="21"/>
        <v>Mencapai kompetensi dengan baik dalam hal</v>
      </c>
      <c r="Q29" s="23">
        <v>79</v>
      </c>
      <c r="R29" s="18" t="str">
        <f t="shared" si="22"/>
        <v>Mencapai kompetensi dengan baik dalam hal</v>
      </c>
      <c r="S29" s="23">
        <v>83</v>
      </c>
      <c r="T29" s="18" t="str">
        <f t="shared" si="23"/>
        <v>Mencapai kompetensi dengan baik dalam hal</v>
      </c>
      <c r="U29" s="23">
        <v>88</v>
      </c>
      <c r="V29" s="18" t="str">
        <f t="shared" si="24"/>
        <v>Mencapai kompetensi dengan baik dalam hal</v>
      </c>
      <c r="W29" s="23">
        <v>78</v>
      </c>
      <c r="X29" s="18" t="str">
        <f t="shared" si="25"/>
        <v>Mencapai kompetensi dengan baik dalam hal</v>
      </c>
      <c r="Y29" s="23">
        <v>75</v>
      </c>
      <c r="Z29" s="18" t="str">
        <f t="shared" si="26"/>
        <v>Mencapai kompetensi dengan baik dalam hal</v>
      </c>
      <c r="AA29" s="23">
        <v>77</v>
      </c>
      <c r="AB29" s="18" t="str">
        <f t="shared" si="27"/>
        <v>Mencapai kompetensi dengan baik dalam hal</v>
      </c>
      <c r="AC29" s="23">
        <v>87</v>
      </c>
      <c r="AD29" s="18" t="str">
        <f t="shared" si="28"/>
        <v>Mencapai kompetensi dengan baik dalam hal</v>
      </c>
      <c r="AE29" s="23">
        <v>83</v>
      </c>
      <c r="AF29" s="18" t="str">
        <f t="shared" si="29"/>
        <v>Mencapai kompetensi dengan baik dalam hal</v>
      </c>
      <c r="AG29" s="23">
        <v>80</v>
      </c>
      <c r="AH29" s="18" t="str">
        <f t="shared" si="10"/>
        <v>Mencapai kompetensi dengan baik dalam hal</v>
      </c>
      <c r="AI29" s="23">
        <v>85</v>
      </c>
      <c r="AJ29" s="18" t="str">
        <f t="shared" si="11"/>
        <v>Mencapai kompetensi dengan baik dalam hal</v>
      </c>
      <c r="AK29" s="23">
        <v>88</v>
      </c>
      <c r="AL29" s="18" t="str">
        <f t="shared" si="30"/>
        <v>Mencapai kompetensi dengan baik dalam hal</v>
      </c>
      <c r="AM29" s="23">
        <v>80</v>
      </c>
      <c r="AN29" s="18" t="str">
        <f t="shared" si="31"/>
        <v>Mencapai kompetensi dengan baik dalam hal</v>
      </c>
      <c r="AO29" s="23">
        <v>84</v>
      </c>
      <c r="AP29" s="18" t="str">
        <f t="shared" si="14"/>
        <v>Mencapai kompetensi dengan baik dalam hal</v>
      </c>
      <c r="AQ29" s="23">
        <v>83</v>
      </c>
      <c r="AR29" s="18" t="str">
        <f t="shared" si="32"/>
        <v>Mencapai kompetensi dengan baik dalam hal</v>
      </c>
      <c r="AS29" s="62">
        <f t="shared" si="33"/>
        <v>83.333333333333329</v>
      </c>
      <c r="AT29" s="23">
        <v>87</v>
      </c>
      <c r="AU29" s="18" t="str">
        <f t="shared" si="16"/>
        <v>Mencapai kompetensi dengan baik dalam hal</v>
      </c>
      <c r="AV29" s="23">
        <v>80</v>
      </c>
      <c r="AW29" s="18" t="str">
        <f t="shared" si="34"/>
        <v>Mencapai kompetensi dengan baik dalam hal</v>
      </c>
      <c r="AX29" s="23">
        <v>2</v>
      </c>
      <c r="AY29" s="23" t="s">
        <v>81</v>
      </c>
      <c r="AZ29" s="23" t="s">
        <v>81</v>
      </c>
      <c r="BA29" s="23">
        <v>1</v>
      </c>
      <c r="BB29" s="23" t="s">
        <v>82</v>
      </c>
      <c r="BC29" s="18" t="s">
        <v>83</v>
      </c>
      <c r="BD29" s="23" t="s">
        <v>86</v>
      </c>
      <c r="BE29" s="18" t="str">
        <f t="shared" si="18"/>
        <v>Sangat baik</v>
      </c>
      <c r="BF29" s="23">
        <v>2</v>
      </c>
      <c r="BG29" s="18" t="s">
        <v>125</v>
      </c>
      <c r="BH29" s="18" t="s">
        <v>83</v>
      </c>
      <c r="BI29" s="23" t="s">
        <v>84</v>
      </c>
      <c r="BJ29" s="18" t="str">
        <f t="shared" si="19"/>
        <v>Baik</v>
      </c>
      <c r="BK29" s="23">
        <v>3</v>
      </c>
      <c r="BL29" s="23"/>
      <c r="BM29" s="23"/>
      <c r="BN29" s="23"/>
      <c r="BO29" s="18"/>
      <c r="BP29" s="54"/>
      <c r="BQ29" s="54"/>
      <c r="BR29" s="54"/>
    </row>
    <row r="30" spans="1:70" ht="24.95" customHeight="1" x14ac:dyDescent="0.25">
      <c r="A30" s="23">
        <v>29</v>
      </c>
      <c r="B30" s="23">
        <v>2525754</v>
      </c>
      <c r="C30" s="23" t="s">
        <v>352</v>
      </c>
      <c r="D30" s="18" t="s">
        <v>353</v>
      </c>
      <c r="E30" s="23" t="s">
        <v>290</v>
      </c>
      <c r="F30" s="23" t="s">
        <v>291</v>
      </c>
      <c r="G30" s="23" t="s">
        <v>292</v>
      </c>
      <c r="H30" s="23" t="s">
        <v>293</v>
      </c>
      <c r="I30" s="60" t="s">
        <v>76</v>
      </c>
      <c r="J30" s="61" t="s">
        <v>77</v>
      </c>
      <c r="K30" s="61" t="s">
        <v>78</v>
      </c>
      <c r="L30" s="61" t="s">
        <v>79</v>
      </c>
      <c r="M30" s="23">
        <v>79</v>
      </c>
      <c r="N30" s="18" t="str">
        <f t="shared" si="20"/>
        <v>Mencapai kompetensi dengan baik dalam hal</v>
      </c>
      <c r="O30" s="23">
        <v>75</v>
      </c>
      <c r="P30" s="18" t="str">
        <f t="shared" si="21"/>
        <v>Mencapai kompetensi dengan baik dalam hal</v>
      </c>
      <c r="Q30" s="23">
        <v>77</v>
      </c>
      <c r="R30" s="18" t="str">
        <f t="shared" si="22"/>
        <v>Mencapai kompetensi dengan baik dalam hal</v>
      </c>
      <c r="S30" s="23">
        <v>78</v>
      </c>
      <c r="T30" s="18" t="str">
        <f t="shared" si="23"/>
        <v>Mencapai kompetensi dengan baik dalam hal</v>
      </c>
      <c r="U30" s="23">
        <v>75</v>
      </c>
      <c r="V30" s="18" t="str">
        <f t="shared" si="24"/>
        <v>Mencapai kompetensi dengan baik dalam hal</v>
      </c>
      <c r="W30" s="23">
        <v>75</v>
      </c>
      <c r="X30" s="18" t="str">
        <f t="shared" si="25"/>
        <v>Mencapai kompetensi dengan baik dalam hal</v>
      </c>
      <c r="Y30" s="23">
        <v>75</v>
      </c>
      <c r="Z30" s="18" t="str">
        <f t="shared" si="26"/>
        <v>Mencapai kompetensi dengan baik dalam hal</v>
      </c>
      <c r="AA30" s="23">
        <v>76</v>
      </c>
      <c r="AB30" s="18" t="str">
        <f t="shared" si="27"/>
        <v>Mencapai kompetensi dengan baik dalam hal</v>
      </c>
      <c r="AC30" s="23">
        <v>85</v>
      </c>
      <c r="AD30" s="18" t="str">
        <f t="shared" si="28"/>
        <v>Mencapai kompetensi dengan baik dalam hal</v>
      </c>
      <c r="AE30" s="23">
        <v>80</v>
      </c>
      <c r="AF30" s="18" t="str">
        <f t="shared" si="29"/>
        <v>Mencapai kompetensi dengan baik dalam hal</v>
      </c>
      <c r="AG30" s="23">
        <v>84</v>
      </c>
      <c r="AH30" s="18" t="str">
        <f t="shared" si="10"/>
        <v>Mencapai kompetensi dengan baik dalam hal</v>
      </c>
      <c r="AI30" s="23">
        <v>87</v>
      </c>
      <c r="AJ30" s="18" t="str">
        <f t="shared" si="11"/>
        <v>Mencapai kompetensi dengan baik dalam hal</v>
      </c>
      <c r="AK30" s="23">
        <v>82</v>
      </c>
      <c r="AL30" s="18" t="str">
        <f t="shared" si="30"/>
        <v>Mencapai kompetensi dengan baik dalam hal</v>
      </c>
      <c r="AM30" s="23">
        <v>85</v>
      </c>
      <c r="AN30" s="18" t="str">
        <f t="shared" si="31"/>
        <v>Mencapai kompetensi dengan baik dalam hal</v>
      </c>
      <c r="AO30" s="23">
        <v>83</v>
      </c>
      <c r="AP30" s="18" t="str">
        <f t="shared" si="14"/>
        <v>Mencapai kompetensi dengan baik dalam hal</v>
      </c>
      <c r="AQ30" s="23">
        <v>82</v>
      </c>
      <c r="AR30" s="18" t="str">
        <f t="shared" si="32"/>
        <v>Mencapai kompetensi dengan baik dalam hal</v>
      </c>
      <c r="AS30" s="62">
        <f t="shared" si="33"/>
        <v>83.833333333333329</v>
      </c>
      <c r="AT30" s="23">
        <v>85</v>
      </c>
      <c r="AU30" s="18" t="str">
        <f t="shared" si="16"/>
        <v>Mencapai kompetensi dengan baik dalam hal</v>
      </c>
      <c r="AV30" s="23">
        <v>84</v>
      </c>
      <c r="AW30" s="18" t="str">
        <f t="shared" si="34"/>
        <v>Mencapai kompetensi dengan baik dalam hal</v>
      </c>
      <c r="AX30" s="23">
        <v>6</v>
      </c>
      <c r="AY30" s="23">
        <v>3</v>
      </c>
      <c r="AZ30" s="23" t="s">
        <v>81</v>
      </c>
      <c r="BA30" s="23">
        <v>1</v>
      </c>
      <c r="BB30" s="23" t="s">
        <v>82</v>
      </c>
      <c r="BC30" s="18" t="s">
        <v>83</v>
      </c>
      <c r="BD30" s="23" t="s">
        <v>104</v>
      </c>
      <c r="BE30" s="18" t="str">
        <f t="shared" si="18"/>
        <v>Cukup</v>
      </c>
      <c r="BF30" s="23">
        <v>2</v>
      </c>
      <c r="BG30" s="18" t="s">
        <v>108</v>
      </c>
      <c r="BH30" s="18" t="s">
        <v>83</v>
      </c>
      <c r="BI30" s="23" t="s">
        <v>86</v>
      </c>
      <c r="BJ30" s="18" t="str">
        <f t="shared" si="19"/>
        <v>Sangat baik</v>
      </c>
      <c r="BK30" s="23">
        <v>3</v>
      </c>
      <c r="BL30" s="23"/>
      <c r="BM30" s="23"/>
      <c r="BN30" s="23"/>
      <c r="BO30" s="18"/>
      <c r="BP30" s="54"/>
      <c r="BQ30" s="54"/>
      <c r="BR30" s="54"/>
    </row>
    <row r="31" spans="1:70" ht="24.95" customHeight="1" x14ac:dyDescent="0.25">
      <c r="A31" s="23">
        <v>30</v>
      </c>
      <c r="B31" s="23">
        <v>2525755</v>
      </c>
      <c r="C31" s="23" t="s">
        <v>354</v>
      </c>
      <c r="D31" s="18" t="s">
        <v>355</v>
      </c>
      <c r="E31" s="23" t="s">
        <v>290</v>
      </c>
      <c r="F31" s="23" t="s">
        <v>291</v>
      </c>
      <c r="G31" s="23" t="s">
        <v>292</v>
      </c>
      <c r="H31" s="23" t="s">
        <v>293</v>
      </c>
      <c r="I31" s="60" t="s">
        <v>76</v>
      </c>
      <c r="J31" s="61" t="s">
        <v>77</v>
      </c>
      <c r="K31" s="61" t="s">
        <v>78</v>
      </c>
      <c r="L31" s="61" t="s">
        <v>79</v>
      </c>
      <c r="M31" s="23">
        <v>76</v>
      </c>
      <c r="N31" s="18" t="str">
        <f t="shared" si="20"/>
        <v>Mencapai kompetensi dengan baik dalam hal</v>
      </c>
      <c r="O31" s="23">
        <v>76</v>
      </c>
      <c r="P31" s="18" t="str">
        <f t="shared" si="21"/>
        <v>Mencapai kompetensi dengan baik dalam hal</v>
      </c>
      <c r="Q31" s="23">
        <v>75</v>
      </c>
      <c r="R31" s="18" t="str">
        <f t="shared" si="22"/>
        <v>Mencapai kompetensi dengan baik dalam hal</v>
      </c>
      <c r="S31" s="23">
        <v>82</v>
      </c>
      <c r="T31" s="18" t="str">
        <f t="shared" si="23"/>
        <v>Mencapai kompetensi dengan baik dalam hal</v>
      </c>
      <c r="U31" s="23">
        <v>75</v>
      </c>
      <c r="V31" s="18" t="str">
        <f t="shared" si="24"/>
        <v>Mencapai kompetensi dengan baik dalam hal</v>
      </c>
      <c r="W31" s="23">
        <v>75</v>
      </c>
      <c r="X31" s="18" t="str">
        <f t="shared" si="25"/>
        <v>Mencapai kompetensi dengan baik dalam hal</v>
      </c>
      <c r="Y31" s="23">
        <v>75</v>
      </c>
      <c r="Z31" s="18" t="str">
        <f t="shared" si="26"/>
        <v>Mencapai kompetensi dengan baik dalam hal</v>
      </c>
      <c r="AA31" s="23">
        <v>77</v>
      </c>
      <c r="AB31" s="18" t="str">
        <f t="shared" si="27"/>
        <v>Mencapai kompetensi dengan baik dalam hal</v>
      </c>
      <c r="AC31" s="23">
        <v>85</v>
      </c>
      <c r="AD31" s="18" t="str">
        <f t="shared" si="28"/>
        <v>Mencapai kompetensi dengan baik dalam hal</v>
      </c>
      <c r="AE31" s="23">
        <v>70</v>
      </c>
      <c r="AF31" s="18" t="str">
        <f t="shared" si="29"/>
        <v>Perlu peningkatan dalam hal</v>
      </c>
      <c r="AG31" s="23">
        <v>80</v>
      </c>
      <c r="AH31" s="18" t="str">
        <f t="shared" si="10"/>
        <v>Mencapai kompetensi dengan baik dalam hal</v>
      </c>
      <c r="AI31" s="23">
        <v>87</v>
      </c>
      <c r="AJ31" s="18" t="str">
        <f t="shared" si="11"/>
        <v>Mencapai kompetensi dengan baik dalam hal</v>
      </c>
      <c r="AK31" s="23">
        <v>83</v>
      </c>
      <c r="AL31" s="18" t="str">
        <f t="shared" si="30"/>
        <v>Mencapai kompetensi dengan baik dalam hal</v>
      </c>
      <c r="AM31" s="23">
        <v>80</v>
      </c>
      <c r="AN31" s="18" t="str">
        <f t="shared" si="31"/>
        <v>Mencapai kompetensi dengan baik dalam hal</v>
      </c>
      <c r="AO31" s="23">
        <v>82</v>
      </c>
      <c r="AP31" s="18" t="str">
        <f t="shared" si="14"/>
        <v>Mencapai kompetensi dengan baik dalam hal</v>
      </c>
      <c r="AQ31" s="23">
        <v>83</v>
      </c>
      <c r="AR31" s="18" t="str">
        <f t="shared" si="32"/>
        <v>Mencapai kompetensi dengan baik dalam hal</v>
      </c>
      <c r="AS31" s="62">
        <f t="shared" si="33"/>
        <v>82.5</v>
      </c>
      <c r="AT31" s="23">
        <v>85</v>
      </c>
      <c r="AU31" s="18" t="str">
        <f t="shared" si="16"/>
        <v>Mencapai kompetensi dengan baik dalam hal</v>
      </c>
      <c r="AV31" s="23">
        <v>83</v>
      </c>
      <c r="AW31" s="18" t="str">
        <f t="shared" si="34"/>
        <v>Mencapai kompetensi dengan baik dalam hal</v>
      </c>
      <c r="AX31" s="23">
        <v>1</v>
      </c>
      <c r="AY31" s="23" t="s">
        <v>81</v>
      </c>
      <c r="AZ31" s="23" t="s">
        <v>81</v>
      </c>
      <c r="BA31" s="23">
        <v>1</v>
      </c>
      <c r="BB31" s="23" t="s">
        <v>82</v>
      </c>
      <c r="BC31" s="18" t="s">
        <v>83</v>
      </c>
      <c r="BD31" s="23" t="s">
        <v>84</v>
      </c>
      <c r="BE31" s="18" t="str">
        <f t="shared" si="18"/>
        <v>Baik</v>
      </c>
      <c r="BF31" s="23">
        <v>2</v>
      </c>
      <c r="BG31" s="18" t="s">
        <v>103</v>
      </c>
      <c r="BH31" s="18" t="s">
        <v>83</v>
      </c>
      <c r="BI31" s="23" t="s">
        <v>84</v>
      </c>
      <c r="BJ31" s="18" t="str">
        <f t="shared" si="19"/>
        <v>Baik</v>
      </c>
      <c r="BK31" s="23">
        <v>3</v>
      </c>
      <c r="BL31" s="23"/>
      <c r="BM31" s="23"/>
      <c r="BN31" s="23"/>
      <c r="BO31" s="18"/>
      <c r="BP31" s="54"/>
      <c r="BQ31" s="54"/>
      <c r="BR31" s="54"/>
    </row>
    <row r="32" spans="1:70" ht="24.95" customHeight="1" x14ac:dyDescent="0.25">
      <c r="A32" s="23">
        <v>31</v>
      </c>
      <c r="B32" s="23">
        <v>2525756</v>
      </c>
      <c r="C32" s="23" t="s">
        <v>356</v>
      </c>
      <c r="D32" s="18" t="s">
        <v>357</v>
      </c>
      <c r="E32" s="23" t="s">
        <v>290</v>
      </c>
      <c r="F32" s="23" t="s">
        <v>291</v>
      </c>
      <c r="G32" s="23" t="s">
        <v>292</v>
      </c>
      <c r="H32" s="23" t="s">
        <v>293</v>
      </c>
      <c r="I32" s="60" t="s">
        <v>76</v>
      </c>
      <c r="J32" s="61" t="s">
        <v>77</v>
      </c>
      <c r="K32" s="61" t="s">
        <v>78</v>
      </c>
      <c r="L32" s="61" t="s">
        <v>79</v>
      </c>
      <c r="M32" s="23">
        <v>75</v>
      </c>
      <c r="N32" s="18" t="str">
        <f t="shared" si="20"/>
        <v>Mencapai kompetensi dengan baik dalam hal</v>
      </c>
      <c r="O32" s="23">
        <v>77</v>
      </c>
      <c r="P32" s="18" t="str">
        <f t="shared" si="21"/>
        <v>Mencapai kompetensi dengan baik dalam hal</v>
      </c>
      <c r="Q32" s="23">
        <v>75</v>
      </c>
      <c r="R32" s="18" t="str">
        <f t="shared" si="22"/>
        <v>Mencapai kompetensi dengan baik dalam hal</v>
      </c>
      <c r="S32" s="23">
        <v>82</v>
      </c>
      <c r="T32" s="18" t="str">
        <f t="shared" si="23"/>
        <v>Mencapai kompetensi dengan baik dalam hal</v>
      </c>
      <c r="U32" s="23">
        <v>76</v>
      </c>
      <c r="V32" s="18" t="str">
        <f t="shared" si="24"/>
        <v>Mencapai kompetensi dengan baik dalam hal</v>
      </c>
      <c r="W32" s="23">
        <v>75</v>
      </c>
      <c r="X32" s="18" t="str">
        <f t="shared" si="25"/>
        <v>Mencapai kompetensi dengan baik dalam hal</v>
      </c>
      <c r="Y32" s="23">
        <v>75</v>
      </c>
      <c r="Z32" s="18" t="str">
        <f t="shared" si="26"/>
        <v>Mencapai kompetensi dengan baik dalam hal</v>
      </c>
      <c r="AA32" s="23">
        <v>77</v>
      </c>
      <c r="AB32" s="18" t="str">
        <f t="shared" si="27"/>
        <v>Mencapai kompetensi dengan baik dalam hal</v>
      </c>
      <c r="AC32" s="23">
        <v>85</v>
      </c>
      <c r="AD32" s="18" t="str">
        <f t="shared" si="28"/>
        <v>Mencapai kompetensi dengan baik dalam hal</v>
      </c>
      <c r="AE32" s="23">
        <v>76</v>
      </c>
      <c r="AF32" s="18" t="str">
        <f t="shared" si="29"/>
        <v>Mencapai kompetensi dengan baik dalam hal</v>
      </c>
      <c r="AG32" s="23">
        <v>80</v>
      </c>
      <c r="AH32" s="18" t="str">
        <f t="shared" si="10"/>
        <v>Mencapai kompetensi dengan baik dalam hal</v>
      </c>
      <c r="AI32" s="23">
        <v>88</v>
      </c>
      <c r="AJ32" s="18" t="str">
        <f t="shared" si="11"/>
        <v>Mencapai kompetensi dengan baik dalam hal</v>
      </c>
      <c r="AK32" s="23">
        <v>84</v>
      </c>
      <c r="AL32" s="18" t="str">
        <f t="shared" si="30"/>
        <v>Mencapai kompetensi dengan baik dalam hal</v>
      </c>
      <c r="AM32" s="23">
        <v>80</v>
      </c>
      <c r="AN32" s="18" t="str">
        <f t="shared" si="31"/>
        <v>Mencapai kompetensi dengan baik dalam hal</v>
      </c>
      <c r="AO32" s="23">
        <v>83</v>
      </c>
      <c r="AP32" s="18" t="str">
        <f t="shared" si="14"/>
        <v>Mencapai kompetensi dengan baik dalam hal</v>
      </c>
      <c r="AQ32" s="23">
        <v>83</v>
      </c>
      <c r="AR32" s="18" t="str">
        <f t="shared" si="32"/>
        <v>Mencapai kompetensi dengan baik dalam hal</v>
      </c>
      <c r="AS32" s="62">
        <f t="shared" si="33"/>
        <v>83</v>
      </c>
      <c r="AT32" s="23">
        <v>85</v>
      </c>
      <c r="AU32" s="18" t="str">
        <f t="shared" si="16"/>
        <v>Mencapai kompetensi dengan baik dalam hal</v>
      </c>
      <c r="AV32" s="23">
        <v>78</v>
      </c>
      <c r="AW32" s="18" t="str">
        <f t="shared" si="34"/>
        <v>Mencapai kompetensi dengan baik dalam hal</v>
      </c>
      <c r="AX32" s="23" t="s">
        <v>81</v>
      </c>
      <c r="AY32" s="23" t="s">
        <v>81</v>
      </c>
      <c r="AZ32" s="23" t="s">
        <v>81</v>
      </c>
      <c r="BA32" s="23">
        <v>1</v>
      </c>
      <c r="BB32" s="23" t="s">
        <v>82</v>
      </c>
      <c r="BC32" s="18" t="s">
        <v>83</v>
      </c>
      <c r="BD32" s="23" t="s">
        <v>86</v>
      </c>
      <c r="BE32" s="18" t="str">
        <f t="shared" si="18"/>
        <v>Sangat baik</v>
      </c>
      <c r="BF32" s="23">
        <v>2</v>
      </c>
      <c r="BG32" s="18" t="s">
        <v>103</v>
      </c>
      <c r="BH32" s="18" t="s">
        <v>83</v>
      </c>
      <c r="BI32" s="23" t="s">
        <v>84</v>
      </c>
      <c r="BJ32" s="18" t="str">
        <f t="shared" si="19"/>
        <v>Baik</v>
      </c>
      <c r="BK32" s="23">
        <v>3</v>
      </c>
      <c r="BL32" s="23"/>
      <c r="BM32" s="23"/>
      <c r="BN32" s="23"/>
      <c r="BO32" s="18"/>
      <c r="BP32" s="54"/>
      <c r="BQ32" s="54"/>
      <c r="BR32" s="54"/>
    </row>
    <row r="33" spans="1:70" ht="24.95" customHeight="1" x14ac:dyDescent="0.25">
      <c r="A33" s="23">
        <v>32</v>
      </c>
      <c r="B33" s="23">
        <v>2525757</v>
      </c>
      <c r="C33" s="23" t="s">
        <v>358</v>
      </c>
      <c r="D33" s="18" t="s">
        <v>359</v>
      </c>
      <c r="E33" s="23" t="s">
        <v>290</v>
      </c>
      <c r="F33" s="23" t="s">
        <v>291</v>
      </c>
      <c r="G33" s="23" t="s">
        <v>292</v>
      </c>
      <c r="H33" s="23" t="s">
        <v>293</v>
      </c>
      <c r="I33" s="60" t="s">
        <v>76</v>
      </c>
      <c r="J33" s="61" t="s">
        <v>77</v>
      </c>
      <c r="K33" s="61" t="s">
        <v>78</v>
      </c>
      <c r="L33" s="61" t="s">
        <v>79</v>
      </c>
      <c r="M33" s="23">
        <v>76</v>
      </c>
      <c r="N33" s="18" t="str">
        <f t="shared" si="20"/>
        <v>Mencapai kompetensi dengan baik dalam hal</v>
      </c>
      <c r="O33" s="23">
        <v>75</v>
      </c>
      <c r="P33" s="18" t="str">
        <f t="shared" si="21"/>
        <v>Mencapai kompetensi dengan baik dalam hal</v>
      </c>
      <c r="Q33" s="23">
        <v>75</v>
      </c>
      <c r="R33" s="18" t="str">
        <f t="shared" si="22"/>
        <v>Mencapai kompetensi dengan baik dalam hal</v>
      </c>
      <c r="S33" s="23">
        <v>82</v>
      </c>
      <c r="T33" s="18" t="str">
        <f t="shared" si="23"/>
        <v>Mencapai kompetensi dengan baik dalam hal</v>
      </c>
      <c r="U33" s="23">
        <v>77</v>
      </c>
      <c r="V33" s="18" t="str">
        <f t="shared" si="24"/>
        <v>Mencapai kompetensi dengan baik dalam hal</v>
      </c>
      <c r="W33" s="23">
        <v>70</v>
      </c>
      <c r="X33" s="18" t="str">
        <f t="shared" si="25"/>
        <v>Perlu peningkatan dalam hal</v>
      </c>
      <c r="Y33" s="23">
        <v>75</v>
      </c>
      <c r="Z33" s="18" t="str">
        <f t="shared" si="26"/>
        <v>Mencapai kompetensi dengan baik dalam hal</v>
      </c>
      <c r="AA33" s="23">
        <v>78</v>
      </c>
      <c r="AB33" s="18" t="str">
        <f t="shared" si="27"/>
        <v>Mencapai kompetensi dengan baik dalam hal</v>
      </c>
      <c r="AC33" s="23">
        <v>75</v>
      </c>
      <c r="AD33" s="18" t="str">
        <f t="shared" si="28"/>
        <v>Mencapai kompetensi dengan baik dalam hal</v>
      </c>
      <c r="AE33" s="23">
        <v>76</v>
      </c>
      <c r="AF33" s="18" t="str">
        <f t="shared" si="29"/>
        <v>Mencapai kompetensi dengan baik dalam hal</v>
      </c>
      <c r="AG33" s="23">
        <v>75</v>
      </c>
      <c r="AH33" s="18" t="str">
        <f t="shared" si="10"/>
        <v>Mencapai kompetensi dengan baik dalam hal</v>
      </c>
      <c r="AI33" s="23">
        <v>93</v>
      </c>
      <c r="AJ33" s="18" t="str">
        <f t="shared" si="11"/>
        <v>Mencapai kompetensi dengan sangat baik dalam hal</v>
      </c>
      <c r="AK33" s="23">
        <v>85</v>
      </c>
      <c r="AL33" s="18" t="str">
        <f t="shared" si="30"/>
        <v>Mencapai kompetensi dengan baik dalam hal</v>
      </c>
      <c r="AM33" s="23">
        <v>75</v>
      </c>
      <c r="AN33" s="18" t="str">
        <f t="shared" si="31"/>
        <v>Mencapai kompetensi dengan baik dalam hal</v>
      </c>
      <c r="AO33" s="23">
        <v>77</v>
      </c>
      <c r="AP33" s="18" t="str">
        <f t="shared" si="14"/>
        <v>Mencapai kompetensi dengan baik dalam hal</v>
      </c>
      <c r="AQ33" s="23">
        <v>67</v>
      </c>
      <c r="AR33" s="18" t="str">
        <f t="shared" si="32"/>
        <v>Perlu peningkatan dalam hal</v>
      </c>
      <c r="AS33" s="62">
        <f t="shared" si="33"/>
        <v>78.666666666666671</v>
      </c>
      <c r="AT33" s="23">
        <v>75</v>
      </c>
      <c r="AU33" s="18" t="str">
        <f t="shared" si="16"/>
        <v>Mencapai kompetensi dengan baik dalam hal</v>
      </c>
      <c r="AV33" s="23">
        <v>77</v>
      </c>
      <c r="AW33" s="18" t="str">
        <f t="shared" si="34"/>
        <v>Mencapai kompetensi dengan baik dalam hal</v>
      </c>
      <c r="AX33" s="23">
        <v>6</v>
      </c>
      <c r="AY33" s="23">
        <v>2</v>
      </c>
      <c r="AZ33" s="23">
        <v>2</v>
      </c>
      <c r="BA33" s="23">
        <v>1</v>
      </c>
      <c r="BB33" s="23" t="s">
        <v>82</v>
      </c>
      <c r="BC33" s="18" t="s">
        <v>83</v>
      </c>
      <c r="BD33" s="23" t="s">
        <v>110</v>
      </c>
      <c r="BE33" s="18" t="str">
        <f t="shared" si="18"/>
        <v>Kurang</v>
      </c>
      <c r="BF33" s="23">
        <v>2</v>
      </c>
      <c r="BG33" s="18" t="s">
        <v>298</v>
      </c>
      <c r="BH33" s="18" t="s">
        <v>83</v>
      </c>
      <c r="BI33" s="23" t="s">
        <v>104</v>
      </c>
      <c r="BJ33" s="18" t="str">
        <f t="shared" si="19"/>
        <v>Cukup</v>
      </c>
      <c r="BK33" s="23">
        <v>3</v>
      </c>
      <c r="BL33" s="23"/>
      <c r="BM33" s="23"/>
      <c r="BN33" s="23"/>
      <c r="BO33" s="18"/>
      <c r="BP33" s="54"/>
      <c r="BQ33" s="54"/>
      <c r="BR33" s="54"/>
    </row>
    <row r="34" spans="1:70" ht="24.95" customHeight="1" x14ac:dyDescent="0.25">
      <c r="A34" s="23">
        <v>33</v>
      </c>
      <c r="B34" s="23">
        <v>2525758</v>
      </c>
      <c r="C34" s="23" t="s">
        <v>360</v>
      </c>
      <c r="D34" s="18" t="s">
        <v>361</v>
      </c>
      <c r="E34" s="23" t="s">
        <v>290</v>
      </c>
      <c r="F34" s="23" t="s">
        <v>291</v>
      </c>
      <c r="G34" s="23" t="s">
        <v>292</v>
      </c>
      <c r="H34" s="23" t="s">
        <v>293</v>
      </c>
      <c r="I34" s="60" t="s">
        <v>76</v>
      </c>
      <c r="J34" s="61" t="s">
        <v>77</v>
      </c>
      <c r="K34" s="61" t="s">
        <v>78</v>
      </c>
      <c r="L34" s="61" t="s">
        <v>79</v>
      </c>
      <c r="M34" s="23">
        <v>81</v>
      </c>
      <c r="N34" s="18" t="str">
        <f t="shared" si="20"/>
        <v>Mencapai kompetensi dengan baik dalam hal</v>
      </c>
      <c r="O34" s="23">
        <v>76</v>
      </c>
      <c r="P34" s="18" t="str">
        <f t="shared" si="21"/>
        <v>Mencapai kompetensi dengan baik dalam hal</v>
      </c>
      <c r="Q34" s="23">
        <v>78</v>
      </c>
      <c r="R34" s="18" t="str">
        <f t="shared" si="22"/>
        <v>Mencapai kompetensi dengan baik dalam hal</v>
      </c>
      <c r="S34" s="23">
        <v>82</v>
      </c>
      <c r="T34" s="18" t="str">
        <f t="shared" si="23"/>
        <v>Mencapai kompetensi dengan baik dalam hal</v>
      </c>
      <c r="U34" s="23">
        <v>78</v>
      </c>
      <c r="V34" s="18" t="str">
        <f t="shared" si="24"/>
        <v>Mencapai kompetensi dengan baik dalam hal</v>
      </c>
      <c r="W34" s="23">
        <v>75</v>
      </c>
      <c r="X34" s="18" t="str">
        <f t="shared" si="25"/>
        <v>Mencapai kompetensi dengan baik dalam hal</v>
      </c>
      <c r="Y34" s="23">
        <v>80</v>
      </c>
      <c r="Z34" s="18" t="str">
        <f t="shared" si="26"/>
        <v>Mencapai kompetensi dengan baik dalam hal</v>
      </c>
      <c r="AA34" s="23">
        <v>78</v>
      </c>
      <c r="AB34" s="18" t="str">
        <f t="shared" si="27"/>
        <v>Mencapai kompetensi dengan baik dalam hal</v>
      </c>
      <c r="AC34" s="23">
        <v>88</v>
      </c>
      <c r="AD34" s="18" t="str">
        <f t="shared" si="28"/>
        <v>Mencapai kompetensi dengan baik dalam hal</v>
      </c>
      <c r="AE34" s="23">
        <v>85</v>
      </c>
      <c r="AF34" s="18" t="str">
        <f t="shared" si="29"/>
        <v>Mencapai kompetensi dengan baik dalam hal</v>
      </c>
      <c r="AG34" s="23">
        <v>84</v>
      </c>
      <c r="AH34" s="18" t="str">
        <f t="shared" si="10"/>
        <v>Mencapai kompetensi dengan baik dalam hal</v>
      </c>
      <c r="AI34" s="23">
        <v>96</v>
      </c>
      <c r="AJ34" s="18" t="str">
        <f t="shared" si="11"/>
        <v>Mencapai kompetensi dengan sangat baik dalam hal</v>
      </c>
      <c r="AK34" s="23">
        <v>92</v>
      </c>
      <c r="AL34" s="18" t="str">
        <f t="shared" si="30"/>
        <v>Mencapai kompetensi dengan sangat baik dalam hal</v>
      </c>
      <c r="AM34" s="23">
        <v>85</v>
      </c>
      <c r="AN34" s="18" t="str">
        <f t="shared" si="31"/>
        <v>Mencapai kompetensi dengan baik dalam hal</v>
      </c>
      <c r="AO34" s="23">
        <v>84</v>
      </c>
      <c r="AP34" s="18" t="str">
        <f t="shared" si="14"/>
        <v>Mencapai kompetensi dengan baik dalam hal</v>
      </c>
      <c r="AQ34" s="23">
        <v>85</v>
      </c>
      <c r="AR34" s="18" t="str">
        <f t="shared" si="32"/>
        <v>Mencapai kompetensi dengan baik dalam hal</v>
      </c>
      <c r="AS34" s="62">
        <f t="shared" si="33"/>
        <v>87.666666666666671</v>
      </c>
      <c r="AT34" s="23">
        <v>88</v>
      </c>
      <c r="AU34" s="18" t="str">
        <f t="shared" si="16"/>
        <v>Mencapai kompetensi dengan baik dalam hal</v>
      </c>
      <c r="AV34" s="23">
        <v>79</v>
      </c>
      <c r="AW34" s="18" t="str">
        <f t="shared" si="34"/>
        <v>Mencapai kompetensi dengan baik dalam hal</v>
      </c>
      <c r="AX34" s="23">
        <v>3</v>
      </c>
      <c r="AY34" s="23" t="s">
        <v>81</v>
      </c>
      <c r="AZ34" s="23" t="s">
        <v>81</v>
      </c>
      <c r="BA34" s="23">
        <v>1</v>
      </c>
      <c r="BB34" s="23" t="s">
        <v>82</v>
      </c>
      <c r="BC34" s="18" t="s">
        <v>83</v>
      </c>
      <c r="BD34" s="23" t="s">
        <v>84</v>
      </c>
      <c r="BE34" s="18" t="str">
        <f t="shared" ref="BE34:BE65" si="35">VLOOKUP(BD34,grades4,2,TRUE)</f>
        <v>Baik</v>
      </c>
      <c r="BF34" s="23">
        <v>2</v>
      </c>
      <c r="BG34" s="18" t="s">
        <v>99</v>
      </c>
      <c r="BH34" s="18" t="s">
        <v>83</v>
      </c>
      <c r="BI34" s="23" t="s">
        <v>84</v>
      </c>
      <c r="BJ34" s="18" t="str">
        <f t="shared" ref="BJ34:BJ65" si="36">VLOOKUP(BI34,grades4,2,TRUE)</f>
        <v>Baik</v>
      </c>
      <c r="BK34" s="23">
        <v>3</v>
      </c>
      <c r="BL34" s="23"/>
      <c r="BM34" s="23"/>
      <c r="BN34" s="23"/>
      <c r="BO34" s="18"/>
      <c r="BP34" s="54"/>
      <c r="BQ34" s="54"/>
      <c r="BR34" s="54"/>
    </row>
    <row r="35" spans="1:70" ht="24.95" customHeight="1" x14ac:dyDescent="0.25">
      <c r="A35" s="23">
        <v>34</v>
      </c>
      <c r="B35" s="23">
        <v>2525759</v>
      </c>
      <c r="C35" s="23" t="s">
        <v>362</v>
      </c>
      <c r="D35" s="18" t="s">
        <v>363</v>
      </c>
      <c r="E35" s="23" t="s">
        <v>290</v>
      </c>
      <c r="F35" s="23" t="s">
        <v>291</v>
      </c>
      <c r="G35" s="23" t="s">
        <v>292</v>
      </c>
      <c r="H35" s="23" t="s">
        <v>293</v>
      </c>
      <c r="I35" s="60" t="s">
        <v>76</v>
      </c>
      <c r="J35" s="61" t="s">
        <v>77</v>
      </c>
      <c r="K35" s="61" t="s">
        <v>78</v>
      </c>
      <c r="L35" s="61" t="s">
        <v>79</v>
      </c>
      <c r="M35" s="23">
        <v>82</v>
      </c>
      <c r="N35" s="18" t="str">
        <f t="shared" si="20"/>
        <v>Mencapai kompetensi dengan baik dalam hal</v>
      </c>
      <c r="O35" s="23">
        <v>76</v>
      </c>
      <c r="P35" s="18" t="str">
        <f t="shared" si="21"/>
        <v>Mencapai kompetensi dengan baik dalam hal</v>
      </c>
      <c r="Q35" s="23">
        <v>75</v>
      </c>
      <c r="R35" s="18" t="str">
        <f t="shared" si="22"/>
        <v>Mencapai kompetensi dengan baik dalam hal</v>
      </c>
      <c r="S35" s="23">
        <v>83</v>
      </c>
      <c r="T35" s="18" t="str">
        <f t="shared" si="23"/>
        <v>Mencapai kompetensi dengan baik dalam hal</v>
      </c>
      <c r="U35" s="23">
        <v>76</v>
      </c>
      <c r="V35" s="18" t="str">
        <f t="shared" si="24"/>
        <v>Mencapai kompetensi dengan baik dalam hal</v>
      </c>
      <c r="W35" s="23">
        <v>75</v>
      </c>
      <c r="X35" s="18" t="str">
        <f t="shared" si="25"/>
        <v>Mencapai kompetensi dengan baik dalam hal</v>
      </c>
      <c r="Y35" s="23">
        <v>75</v>
      </c>
      <c r="Z35" s="18" t="str">
        <f t="shared" si="26"/>
        <v>Mencapai kompetensi dengan baik dalam hal</v>
      </c>
      <c r="AA35" s="23">
        <v>79</v>
      </c>
      <c r="AB35" s="18" t="str">
        <f t="shared" si="27"/>
        <v>Mencapai kompetensi dengan baik dalam hal</v>
      </c>
      <c r="AC35" s="23">
        <v>85</v>
      </c>
      <c r="AD35" s="18" t="str">
        <f t="shared" si="28"/>
        <v>Mencapai kompetensi dengan baik dalam hal</v>
      </c>
      <c r="AE35" s="23">
        <v>83</v>
      </c>
      <c r="AF35" s="18" t="str">
        <f t="shared" si="29"/>
        <v>Mencapai kompetensi dengan baik dalam hal</v>
      </c>
      <c r="AG35" s="23">
        <v>80</v>
      </c>
      <c r="AH35" s="18" t="str">
        <f t="shared" si="10"/>
        <v>Mencapai kompetensi dengan baik dalam hal</v>
      </c>
      <c r="AI35" s="23">
        <v>87</v>
      </c>
      <c r="AJ35" s="18" t="str">
        <f t="shared" si="11"/>
        <v>Mencapai kompetensi dengan baik dalam hal</v>
      </c>
      <c r="AK35" s="23">
        <v>82</v>
      </c>
      <c r="AL35" s="18" t="str">
        <f t="shared" si="30"/>
        <v>Mencapai kompetensi dengan baik dalam hal</v>
      </c>
      <c r="AM35" s="23">
        <v>80</v>
      </c>
      <c r="AN35" s="18" t="str">
        <f t="shared" si="31"/>
        <v>Mencapai kompetensi dengan baik dalam hal</v>
      </c>
      <c r="AO35" s="23">
        <v>84</v>
      </c>
      <c r="AP35" s="18" t="str">
        <f t="shared" si="14"/>
        <v>Mencapai kompetensi dengan baik dalam hal</v>
      </c>
      <c r="AQ35" s="23">
        <v>84</v>
      </c>
      <c r="AR35" s="18" t="str">
        <f t="shared" si="32"/>
        <v>Mencapai kompetensi dengan baik dalam hal</v>
      </c>
      <c r="AS35" s="62">
        <f t="shared" si="33"/>
        <v>82.833333333333329</v>
      </c>
      <c r="AT35" s="23">
        <v>85</v>
      </c>
      <c r="AU35" s="18" t="str">
        <f t="shared" si="16"/>
        <v>Mencapai kompetensi dengan baik dalam hal</v>
      </c>
      <c r="AV35" s="23">
        <v>80</v>
      </c>
      <c r="AW35" s="18" t="str">
        <f t="shared" si="34"/>
        <v>Mencapai kompetensi dengan baik dalam hal</v>
      </c>
      <c r="AX35" s="23" t="s">
        <v>81</v>
      </c>
      <c r="AY35" s="23" t="s">
        <v>81</v>
      </c>
      <c r="AZ35" s="23" t="s">
        <v>81</v>
      </c>
      <c r="BA35" s="23">
        <v>1</v>
      </c>
      <c r="BB35" s="23" t="s">
        <v>82</v>
      </c>
      <c r="BC35" s="18" t="s">
        <v>83</v>
      </c>
      <c r="BD35" s="23" t="s">
        <v>84</v>
      </c>
      <c r="BE35" s="18" t="str">
        <f t="shared" si="35"/>
        <v>Baik</v>
      </c>
      <c r="BF35" s="23">
        <v>2</v>
      </c>
      <c r="BG35" s="18" t="s">
        <v>103</v>
      </c>
      <c r="BH35" s="18" t="s">
        <v>83</v>
      </c>
      <c r="BI35" s="23" t="s">
        <v>84</v>
      </c>
      <c r="BJ35" s="18" t="str">
        <f t="shared" si="36"/>
        <v>Baik</v>
      </c>
      <c r="BK35" s="23">
        <v>3</v>
      </c>
      <c r="BL35" s="23"/>
      <c r="BM35" s="23"/>
      <c r="BN35" s="23"/>
      <c r="BO35" s="18"/>
      <c r="BP35" s="54"/>
      <c r="BQ35" s="54"/>
      <c r="BR35" s="54"/>
    </row>
    <row r="36" spans="1:70" ht="24.95" customHeight="1" x14ac:dyDescent="0.25">
      <c r="A36" s="23">
        <v>35</v>
      </c>
      <c r="B36" s="23">
        <v>2525760</v>
      </c>
      <c r="C36" s="23" t="s">
        <v>364</v>
      </c>
      <c r="D36" s="18" t="s">
        <v>365</v>
      </c>
      <c r="E36" s="23" t="s">
        <v>290</v>
      </c>
      <c r="F36" s="23" t="s">
        <v>291</v>
      </c>
      <c r="G36" s="23" t="s">
        <v>292</v>
      </c>
      <c r="H36" s="23" t="s">
        <v>293</v>
      </c>
      <c r="I36" s="60" t="s">
        <v>76</v>
      </c>
      <c r="J36" s="61" t="s">
        <v>77</v>
      </c>
      <c r="K36" s="61" t="s">
        <v>78</v>
      </c>
      <c r="L36" s="61" t="s">
        <v>79</v>
      </c>
      <c r="M36" s="23">
        <v>76</v>
      </c>
      <c r="N36" s="18" t="str">
        <f t="shared" si="20"/>
        <v>Mencapai kompetensi dengan baik dalam hal</v>
      </c>
      <c r="O36" s="23">
        <v>77</v>
      </c>
      <c r="P36" s="18" t="str">
        <f t="shared" si="21"/>
        <v>Mencapai kompetensi dengan baik dalam hal</v>
      </c>
      <c r="Q36" s="23">
        <v>76</v>
      </c>
      <c r="R36" s="18" t="str">
        <f t="shared" si="22"/>
        <v>Mencapai kompetensi dengan baik dalam hal</v>
      </c>
      <c r="S36" s="23">
        <v>82</v>
      </c>
      <c r="T36" s="18" t="str">
        <f t="shared" si="23"/>
        <v>Mencapai kompetensi dengan baik dalam hal</v>
      </c>
      <c r="U36" s="23">
        <v>76</v>
      </c>
      <c r="V36" s="18" t="str">
        <f t="shared" si="24"/>
        <v>Mencapai kompetensi dengan baik dalam hal</v>
      </c>
      <c r="W36" s="23">
        <v>75</v>
      </c>
      <c r="X36" s="18" t="str">
        <f t="shared" si="25"/>
        <v>Mencapai kompetensi dengan baik dalam hal</v>
      </c>
      <c r="Y36" s="23">
        <v>76</v>
      </c>
      <c r="Z36" s="18" t="str">
        <f t="shared" si="26"/>
        <v>Mencapai kompetensi dengan baik dalam hal</v>
      </c>
      <c r="AA36" s="23">
        <v>76</v>
      </c>
      <c r="AB36" s="18" t="str">
        <f t="shared" si="27"/>
        <v>Mencapai kompetensi dengan baik dalam hal</v>
      </c>
      <c r="AC36" s="23">
        <v>88</v>
      </c>
      <c r="AD36" s="18" t="str">
        <f t="shared" si="28"/>
        <v>Mencapai kompetensi dengan baik dalam hal</v>
      </c>
      <c r="AE36" s="23">
        <v>77</v>
      </c>
      <c r="AF36" s="18" t="str">
        <f t="shared" si="29"/>
        <v>Mencapai kompetensi dengan baik dalam hal</v>
      </c>
      <c r="AG36" s="23">
        <v>80</v>
      </c>
      <c r="AH36" s="18" t="str">
        <f t="shared" si="10"/>
        <v>Mencapai kompetensi dengan baik dalam hal</v>
      </c>
      <c r="AI36" s="23">
        <v>89</v>
      </c>
      <c r="AJ36" s="18" t="str">
        <f t="shared" si="11"/>
        <v>Mencapai kompetensi dengan baik dalam hal</v>
      </c>
      <c r="AK36" s="23">
        <v>84</v>
      </c>
      <c r="AL36" s="18" t="str">
        <f t="shared" si="30"/>
        <v>Mencapai kompetensi dengan baik dalam hal</v>
      </c>
      <c r="AM36" s="23">
        <v>80</v>
      </c>
      <c r="AN36" s="18" t="str">
        <f t="shared" si="31"/>
        <v>Mencapai kompetensi dengan baik dalam hal</v>
      </c>
      <c r="AO36" s="23">
        <v>84</v>
      </c>
      <c r="AP36" s="18" t="str">
        <f t="shared" si="14"/>
        <v>Mencapai kompetensi dengan baik dalam hal</v>
      </c>
      <c r="AQ36" s="23">
        <v>83</v>
      </c>
      <c r="AR36" s="18" t="str">
        <f t="shared" si="32"/>
        <v>Mencapai kompetensi dengan baik dalam hal</v>
      </c>
      <c r="AS36" s="62">
        <f t="shared" si="33"/>
        <v>83.333333333333329</v>
      </c>
      <c r="AT36" s="23">
        <v>88</v>
      </c>
      <c r="AU36" s="18" t="str">
        <f t="shared" si="16"/>
        <v>Mencapai kompetensi dengan baik dalam hal</v>
      </c>
      <c r="AV36" s="23">
        <v>80</v>
      </c>
      <c r="AW36" s="18" t="str">
        <f t="shared" si="34"/>
        <v>Mencapai kompetensi dengan baik dalam hal</v>
      </c>
      <c r="AX36" s="23">
        <v>1</v>
      </c>
      <c r="AY36" s="23" t="s">
        <v>81</v>
      </c>
      <c r="AZ36" s="23" t="s">
        <v>81</v>
      </c>
      <c r="BA36" s="23">
        <v>1</v>
      </c>
      <c r="BB36" s="23" t="s">
        <v>82</v>
      </c>
      <c r="BC36" s="18" t="s">
        <v>83</v>
      </c>
      <c r="BD36" s="23" t="s">
        <v>84</v>
      </c>
      <c r="BE36" s="18" t="str">
        <f t="shared" si="35"/>
        <v>Baik</v>
      </c>
      <c r="BF36" s="23">
        <v>2</v>
      </c>
      <c r="BG36" s="18" t="s">
        <v>179</v>
      </c>
      <c r="BH36" s="18" t="s">
        <v>83</v>
      </c>
      <c r="BI36" s="23" t="s">
        <v>86</v>
      </c>
      <c r="BJ36" s="18" t="str">
        <f t="shared" si="36"/>
        <v>Sangat baik</v>
      </c>
      <c r="BK36" s="23">
        <v>3</v>
      </c>
      <c r="BL36" s="23"/>
      <c r="BM36" s="23"/>
      <c r="BN36" s="23"/>
      <c r="BO36" s="18"/>
      <c r="BP36" s="54"/>
      <c r="BQ36" s="54"/>
      <c r="BR36" s="54"/>
    </row>
    <row r="37" spans="1:70" ht="24.95" customHeight="1" x14ac:dyDescent="0.25">
      <c r="A37" s="23">
        <v>36</v>
      </c>
      <c r="B37" s="23">
        <v>2525761</v>
      </c>
      <c r="C37" s="23" t="s">
        <v>366</v>
      </c>
      <c r="D37" s="18" t="s">
        <v>367</v>
      </c>
      <c r="E37" s="23" t="s">
        <v>290</v>
      </c>
      <c r="F37" s="23" t="s">
        <v>291</v>
      </c>
      <c r="G37" s="23" t="s">
        <v>292</v>
      </c>
      <c r="H37" s="23" t="s">
        <v>293</v>
      </c>
      <c r="I37" s="60" t="s">
        <v>76</v>
      </c>
      <c r="J37" s="61" t="s">
        <v>77</v>
      </c>
      <c r="K37" s="61" t="s">
        <v>78</v>
      </c>
      <c r="L37" s="61" t="s">
        <v>79</v>
      </c>
      <c r="M37" s="23">
        <v>78</v>
      </c>
      <c r="N37" s="18" t="str">
        <f t="shared" si="20"/>
        <v>Mencapai kompetensi dengan baik dalam hal</v>
      </c>
      <c r="O37" s="23">
        <v>77</v>
      </c>
      <c r="P37" s="18" t="str">
        <f t="shared" si="21"/>
        <v>Mencapai kompetensi dengan baik dalam hal</v>
      </c>
      <c r="Q37" s="23">
        <v>80</v>
      </c>
      <c r="R37" s="18" t="str">
        <f t="shared" si="22"/>
        <v>Mencapai kompetensi dengan baik dalam hal</v>
      </c>
      <c r="S37" s="23">
        <v>81</v>
      </c>
      <c r="T37" s="18" t="str">
        <f t="shared" si="23"/>
        <v>Mencapai kompetensi dengan baik dalam hal</v>
      </c>
      <c r="U37" s="23">
        <v>79</v>
      </c>
      <c r="V37" s="18" t="str">
        <f t="shared" si="24"/>
        <v>Mencapai kompetensi dengan baik dalam hal</v>
      </c>
      <c r="W37" s="23">
        <v>75</v>
      </c>
      <c r="X37" s="18" t="str">
        <f t="shared" si="25"/>
        <v>Mencapai kompetensi dengan baik dalam hal</v>
      </c>
      <c r="Y37" s="23">
        <v>79</v>
      </c>
      <c r="Z37" s="18" t="str">
        <f t="shared" si="26"/>
        <v>Mencapai kompetensi dengan baik dalam hal</v>
      </c>
      <c r="AA37" s="23">
        <v>80</v>
      </c>
      <c r="AB37" s="18" t="str">
        <f t="shared" si="27"/>
        <v>Mencapai kompetensi dengan baik dalam hal</v>
      </c>
      <c r="AC37" s="23">
        <v>85</v>
      </c>
      <c r="AD37" s="18" t="str">
        <f t="shared" si="28"/>
        <v>Mencapai kompetensi dengan baik dalam hal</v>
      </c>
      <c r="AE37" s="23">
        <v>80</v>
      </c>
      <c r="AF37" s="18" t="str">
        <f t="shared" si="29"/>
        <v>Mencapai kompetensi dengan baik dalam hal</v>
      </c>
      <c r="AG37" s="23">
        <v>82</v>
      </c>
      <c r="AH37" s="18" t="str">
        <f t="shared" si="10"/>
        <v>Mencapai kompetensi dengan baik dalam hal</v>
      </c>
      <c r="AI37" s="23">
        <v>84</v>
      </c>
      <c r="AJ37" s="18" t="str">
        <f t="shared" si="11"/>
        <v>Mencapai kompetensi dengan baik dalam hal</v>
      </c>
      <c r="AK37" s="23">
        <v>83</v>
      </c>
      <c r="AL37" s="18" t="str">
        <f t="shared" si="30"/>
        <v>Mencapai kompetensi dengan baik dalam hal</v>
      </c>
      <c r="AM37" s="23">
        <v>82</v>
      </c>
      <c r="AN37" s="18" t="str">
        <f t="shared" si="31"/>
        <v>Mencapai kompetensi dengan baik dalam hal</v>
      </c>
      <c r="AO37" s="23">
        <v>84</v>
      </c>
      <c r="AP37" s="18" t="str">
        <f t="shared" si="14"/>
        <v>Mencapai kompetensi dengan baik dalam hal</v>
      </c>
      <c r="AQ37" s="23">
        <v>84</v>
      </c>
      <c r="AR37" s="18" t="str">
        <f t="shared" si="32"/>
        <v>Mencapai kompetensi dengan baik dalam hal</v>
      </c>
      <c r="AS37" s="62">
        <f t="shared" si="33"/>
        <v>83.166666666666671</v>
      </c>
      <c r="AT37" s="23">
        <v>85</v>
      </c>
      <c r="AU37" s="18" t="str">
        <f t="shared" si="16"/>
        <v>Mencapai kompetensi dengan baik dalam hal</v>
      </c>
      <c r="AV37" s="23">
        <v>80</v>
      </c>
      <c r="AW37" s="18" t="str">
        <f t="shared" si="34"/>
        <v>Mencapai kompetensi dengan baik dalam hal</v>
      </c>
      <c r="AX37" s="23">
        <v>3</v>
      </c>
      <c r="AY37" s="23" t="s">
        <v>81</v>
      </c>
      <c r="AZ37" s="23" t="s">
        <v>81</v>
      </c>
      <c r="BA37" s="23">
        <v>1</v>
      </c>
      <c r="BB37" s="23" t="s">
        <v>82</v>
      </c>
      <c r="BC37" s="18" t="s">
        <v>83</v>
      </c>
      <c r="BD37" s="23" t="s">
        <v>86</v>
      </c>
      <c r="BE37" s="18" t="str">
        <f t="shared" si="35"/>
        <v>Sangat baik</v>
      </c>
      <c r="BF37" s="23">
        <v>2</v>
      </c>
      <c r="BG37" s="18" t="s">
        <v>227</v>
      </c>
      <c r="BH37" s="18" t="s">
        <v>83</v>
      </c>
      <c r="BI37" s="23" t="s">
        <v>84</v>
      </c>
      <c r="BJ37" s="18" t="str">
        <f t="shared" si="36"/>
        <v>Baik</v>
      </c>
      <c r="BK37" s="23">
        <v>3</v>
      </c>
      <c r="BL37" s="23"/>
      <c r="BM37" s="23"/>
      <c r="BN37" s="23"/>
      <c r="BO37" s="18"/>
      <c r="BP37" s="54"/>
      <c r="BQ37" s="54"/>
      <c r="BR37" s="54"/>
    </row>
    <row r="38" spans="1:70" ht="24.95" customHeight="1" x14ac:dyDescent="0.25">
      <c r="A38" s="23">
        <v>37</v>
      </c>
      <c r="B38" s="23">
        <v>2525762</v>
      </c>
      <c r="C38" s="23" t="s">
        <v>368</v>
      </c>
      <c r="D38" s="18" t="s">
        <v>369</v>
      </c>
      <c r="E38" s="23" t="s">
        <v>370</v>
      </c>
      <c r="F38" s="23" t="s">
        <v>291</v>
      </c>
      <c r="G38" s="23" t="s">
        <v>371</v>
      </c>
      <c r="H38" s="23" t="s">
        <v>372</v>
      </c>
      <c r="I38" s="60" t="s">
        <v>76</v>
      </c>
      <c r="J38" s="61" t="s">
        <v>77</v>
      </c>
      <c r="K38" s="61" t="s">
        <v>78</v>
      </c>
      <c r="L38" s="61" t="s">
        <v>79</v>
      </c>
      <c r="M38" s="23">
        <v>82</v>
      </c>
      <c r="N38" s="18" t="str">
        <f t="shared" si="20"/>
        <v>Mencapai kompetensi dengan baik dalam hal</v>
      </c>
      <c r="O38" s="23">
        <v>75</v>
      </c>
      <c r="P38" s="18" t="str">
        <f t="shared" si="21"/>
        <v>Mencapai kompetensi dengan baik dalam hal</v>
      </c>
      <c r="Q38" s="23">
        <v>80</v>
      </c>
      <c r="R38" s="18" t="str">
        <f t="shared" si="22"/>
        <v>Mencapai kompetensi dengan baik dalam hal</v>
      </c>
      <c r="S38" s="23">
        <v>80</v>
      </c>
      <c r="T38" s="18" t="str">
        <f t="shared" si="23"/>
        <v>Mencapai kompetensi dengan baik dalam hal</v>
      </c>
      <c r="U38" s="23">
        <v>75</v>
      </c>
      <c r="V38" s="18" t="str">
        <f t="shared" si="24"/>
        <v>Mencapai kompetensi dengan baik dalam hal</v>
      </c>
      <c r="W38" s="23">
        <v>84</v>
      </c>
      <c r="X38" s="18" t="str">
        <f t="shared" si="25"/>
        <v>Mencapai kompetensi dengan baik dalam hal</v>
      </c>
      <c r="Y38" s="23">
        <v>75</v>
      </c>
      <c r="Z38" s="18" t="str">
        <f t="shared" si="26"/>
        <v>Mencapai kompetensi dengan baik dalam hal</v>
      </c>
      <c r="AA38" s="23">
        <v>76</v>
      </c>
      <c r="AB38" s="18" t="str">
        <f t="shared" si="27"/>
        <v>Mencapai kompetensi dengan baik dalam hal</v>
      </c>
      <c r="AC38" s="23">
        <v>83</v>
      </c>
      <c r="AD38" s="18" t="str">
        <f t="shared" si="28"/>
        <v>Mencapai kompetensi dengan baik dalam hal</v>
      </c>
      <c r="AE38" s="23">
        <v>84</v>
      </c>
      <c r="AF38" s="18" t="str">
        <f t="shared" si="29"/>
        <v>Mencapai kompetensi dengan baik dalam hal</v>
      </c>
      <c r="AG38" s="23">
        <v>76</v>
      </c>
      <c r="AH38" s="18" t="str">
        <f t="shared" si="10"/>
        <v>Mencapai kompetensi dengan baik dalam hal</v>
      </c>
      <c r="AI38" s="23">
        <v>96</v>
      </c>
      <c r="AJ38" s="18" t="str">
        <f t="shared" si="11"/>
        <v>Mencapai kompetensi dengan sangat baik dalam hal</v>
      </c>
      <c r="AK38" s="23">
        <v>87</v>
      </c>
      <c r="AL38" s="18" t="str">
        <f t="shared" si="30"/>
        <v>Mencapai kompetensi dengan baik dalam hal</v>
      </c>
      <c r="AM38" s="23">
        <v>80</v>
      </c>
      <c r="AN38" s="18" t="str">
        <f t="shared" si="31"/>
        <v>Mencapai kompetensi dengan baik dalam hal</v>
      </c>
      <c r="AO38" s="23">
        <v>78</v>
      </c>
      <c r="AP38" s="18" t="str">
        <f t="shared" si="14"/>
        <v>Mencapai kompetensi dengan baik dalam hal</v>
      </c>
      <c r="AQ38" s="23">
        <v>84</v>
      </c>
      <c r="AR38" s="18" t="str">
        <f t="shared" si="32"/>
        <v>Mencapai kompetensi dengan baik dalam hal</v>
      </c>
      <c r="AS38" s="62">
        <f t="shared" si="33"/>
        <v>83.5</v>
      </c>
      <c r="AT38" s="23">
        <v>83</v>
      </c>
      <c r="AU38" s="18" t="str">
        <f t="shared" si="16"/>
        <v>Mencapai kompetensi dengan baik dalam hal</v>
      </c>
      <c r="AV38" s="23">
        <v>78</v>
      </c>
      <c r="AW38" s="18" t="str">
        <f t="shared" si="34"/>
        <v>Mencapai kompetensi dengan baik dalam hal</v>
      </c>
      <c r="AX38" s="23">
        <v>3</v>
      </c>
      <c r="AY38" s="23">
        <v>1</v>
      </c>
      <c r="AZ38" s="23" t="s">
        <v>81</v>
      </c>
      <c r="BA38" s="23">
        <v>1</v>
      </c>
      <c r="BB38" s="23" t="s">
        <v>82</v>
      </c>
      <c r="BC38" s="18" t="s">
        <v>83</v>
      </c>
      <c r="BD38" s="23" t="s">
        <v>86</v>
      </c>
      <c r="BE38" s="18" t="str">
        <f t="shared" si="35"/>
        <v>Sangat baik</v>
      </c>
      <c r="BF38" s="23">
        <v>2</v>
      </c>
      <c r="BG38" s="18" t="s">
        <v>85</v>
      </c>
      <c r="BH38" s="18" t="s">
        <v>83</v>
      </c>
      <c r="BI38" s="23" t="s">
        <v>84</v>
      </c>
      <c r="BJ38" s="18" t="str">
        <f t="shared" si="36"/>
        <v>Baik</v>
      </c>
      <c r="BK38" s="23"/>
      <c r="BL38" s="23"/>
      <c r="BM38" s="23"/>
      <c r="BN38" s="23"/>
      <c r="BO38" s="18"/>
      <c r="BP38" s="54"/>
      <c r="BQ38" s="54"/>
      <c r="BR38" s="54"/>
    </row>
    <row r="39" spans="1:70" ht="24.95" customHeight="1" x14ac:dyDescent="0.25">
      <c r="A39" s="23">
        <v>38</v>
      </c>
      <c r="B39" s="23">
        <v>2525763</v>
      </c>
      <c r="C39" s="23" t="s">
        <v>373</v>
      </c>
      <c r="D39" s="18" t="s">
        <v>374</v>
      </c>
      <c r="E39" s="23" t="s">
        <v>370</v>
      </c>
      <c r="F39" s="23" t="s">
        <v>291</v>
      </c>
      <c r="G39" s="23" t="s">
        <v>371</v>
      </c>
      <c r="H39" s="23" t="s">
        <v>372</v>
      </c>
      <c r="I39" s="60" t="s">
        <v>76</v>
      </c>
      <c r="J39" s="61" t="s">
        <v>77</v>
      </c>
      <c r="K39" s="61" t="s">
        <v>78</v>
      </c>
      <c r="L39" s="61" t="s">
        <v>79</v>
      </c>
      <c r="M39" s="23">
        <v>83</v>
      </c>
      <c r="N39" s="18" t="str">
        <f t="shared" si="20"/>
        <v>Mencapai kompetensi dengan baik dalam hal</v>
      </c>
      <c r="O39" s="23">
        <v>78</v>
      </c>
      <c r="P39" s="18" t="str">
        <f t="shared" si="21"/>
        <v>Mencapai kompetensi dengan baik dalam hal</v>
      </c>
      <c r="Q39" s="23">
        <v>82</v>
      </c>
      <c r="R39" s="18" t="str">
        <f t="shared" si="22"/>
        <v>Mencapai kompetensi dengan baik dalam hal</v>
      </c>
      <c r="S39" s="23">
        <v>80</v>
      </c>
      <c r="T39" s="18" t="str">
        <f t="shared" si="23"/>
        <v>Mencapai kompetensi dengan baik dalam hal</v>
      </c>
      <c r="U39" s="23">
        <v>82</v>
      </c>
      <c r="V39" s="18" t="str">
        <f t="shared" si="24"/>
        <v>Mencapai kompetensi dengan baik dalam hal</v>
      </c>
      <c r="W39" s="23">
        <v>82</v>
      </c>
      <c r="X39" s="18" t="str">
        <f t="shared" si="25"/>
        <v>Mencapai kompetensi dengan baik dalam hal</v>
      </c>
      <c r="Y39" s="23">
        <v>80</v>
      </c>
      <c r="Z39" s="18" t="str">
        <f t="shared" si="26"/>
        <v>Mencapai kompetensi dengan baik dalam hal</v>
      </c>
      <c r="AA39" s="23">
        <v>79</v>
      </c>
      <c r="AB39" s="18" t="str">
        <f t="shared" si="27"/>
        <v>Mencapai kompetensi dengan baik dalam hal</v>
      </c>
      <c r="AC39" s="23">
        <v>87</v>
      </c>
      <c r="AD39" s="18" t="str">
        <f t="shared" si="28"/>
        <v>Mencapai kompetensi dengan baik dalam hal</v>
      </c>
      <c r="AE39" s="23">
        <v>85</v>
      </c>
      <c r="AF39" s="18" t="str">
        <f t="shared" si="29"/>
        <v>Mencapai kompetensi dengan baik dalam hal</v>
      </c>
      <c r="AG39" s="23">
        <v>89</v>
      </c>
      <c r="AH39" s="18" t="str">
        <f t="shared" si="10"/>
        <v>Mencapai kompetensi dengan baik dalam hal</v>
      </c>
      <c r="AI39" s="23">
        <v>94</v>
      </c>
      <c r="AJ39" s="18" t="str">
        <f t="shared" si="11"/>
        <v>Mencapai kompetensi dengan sangat baik dalam hal</v>
      </c>
      <c r="AK39" s="23">
        <v>88</v>
      </c>
      <c r="AL39" s="18" t="str">
        <f t="shared" si="30"/>
        <v>Mencapai kompetensi dengan baik dalam hal</v>
      </c>
      <c r="AM39" s="23">
        <v>80</v>
      </c>
      <c r="AN39" s="18" t="str">
        <f t="shared" si="31"/>
        <v>Mencapai kompetensi dengan baik dalam hal</v>
      </c>
      <c r="AO39" s="23">
        <v>83</v>
      </c>
      <c r="AP39" s="18" t="str">
        <f t="shared" si="14"/>
        <v>Mencapai kompetensi dengan baik dalam hal</v>
      </c>
      <c r="AQ39" s="23">
        <v>83</v>
      </c>
      <c r="AR39" s="18" t="str">
        <f t="shared" si="32"/>
        <v>Mencapai kompetensi dengan baik dalam hal</v>
      </c>
      <c r="AS39" s="62">
        <f t="shared" si="33"/>
        <v>86.166666666666671</v>
      </c>
      <c r="AT39" s="23">
        <v>87</v>
      </c>
      <c r="AU39" s="18" t="str">
        <f t="shared" si="16"/>
        <v>Mencapai kompetensi dengan baik dalam hal</v>
      </c>
      <c r="AV39" s="23">
        <v>81</v>
      </c>
      <c r="AW39" s="18" t="str">
        <f t="shared" si="34"/>
        <v>Mencapai kompetensi dengan baik dalam hal</v>
      </c>
      <c r="AX39" s="23" t="s">
        <v>81</v>
      </c>
      <c r="AY39" s="23" t="s">
        <v>81</v>
      </c>
      <c r="AZ39" s="23" t="s">
        <v>81</v>
      </c>
      <c r="BA39" s="23">
        <v>1</v>
      </c>
      <c r="BB39" s="23" t="s">
        <v>82</v>
      </c>
      <c r="BC39" s="18" t="s">
        <v>83</v>
      </c>
      <c r="BD39" s="23" t="s">
        <v>84</v>
      </c>
      <c r="BE39" s="18" t="str">
        <f t="shared" si="35"/>
        <v>Baik</v>
      </c>
      <c r="BF39" s="23">
        <v>2</v>
      </c>
      <c r="BG39" s="18" t="s">
        <v>99</v>
      </c>
      <c r="BH39" s="18" t="s">
        <v>83</v>
      </c>
      <c r="BI39" s="23" t="s">
        <v>84</v>
      </c>
      <c r="BJ39" s="18" t="str">
        <f t="shared" si="36"/>
        <v>Baik</v>
      </c>
      <c r="BK39" s="23"/>
      <c r="BL39" s="23"/>
      <c r="BM39" s="23"/>
      <c r="BN39" s="23"/>
      <c r="BO39" s="18"/>
      <c r="BP39" s="54"/>
      <c r="BQ39" s="54"/>
      <c r="BR39" s="54"/>
    </row>
    <row r="40" spans="1:70" ht="24.95" customHeight="1" x14ac:dyDescent="0.25">
      <c r="A40" s="23">
        <v>39</v>
      </c>
      <c r="B40" s="23">
        <v>2525764</v>
      </c>
      <c r="C40" s="23" t="s">
        <v>375</v>
      </c>
      <c r="D40" s="18" t="s">
        <v>376</v>
      </c>
      <c r="E40" s="23" t="s">
        <v>370</v>
      </c>
      <c r="F40" s="23" t="s">
        <v>291</v>
      </c>
      <c r="G40" s="23" t="s">
        <v>371</v>
      </c>
      <c r="H40" s="23" t="s">
        <v>372</v>
      </c>
      <c r="I40" s="60" t="s">
        <v>76</v>
      </c>
      <c r="J40" s="61" t="s">
        <v>77</v>
      </c>
      <c r="K40" s="61" t="s">
        <v>78</v>
      </c>
      <c r="L40" s="61" t="s">
        <v>79</v>
      </c>
      <c r="M40" s="23">
        <v>83</v>
      </c>
      <c r="N40" s="18" t="str">
        <f t="shared" si="20"/>
        <v>Mencapai kompetensi dengan baik dalam hal</v>
      </c>
      <c r="O40" s="23">
        <v>80</v>
      </c>
      <c r="P40" s="18" t="str">
        <f t="shared" si="21"/>
        <v>Mencapai kompetensi dengan baik dalam hal</v>
      </c>
      <c r="Q40" s="23">
        <v>83</v>
      </c>
      <c r="R40" s="18" t="str">
        <f t="shared" si="22"/>
        <v>Mencapai kompetensi dengan baik dalam hal</v>
      </c>
      <c r="S40" s="23">
        <v>80</v>
      </c>
      <c r="T40" s="18" t="str">
        <f t="shared" si="23"/>
        <v>Mencapai kompetensi dengan baik dalam hal</v>
      </c>
      <c r="U40" s="23">
        <v>86</v>
      </c>
      <c r="V40" s="18" t="str">
        <f t="shared" si="24"/>
        <v>Mencapai kompetensi dengan baik dalam hal</v>
      </c>
      <c r="W40" s="23">
        <v>84</v>
      </c>
      <c r="X40" s="18" t="str">
        <f t="shared" si="25"/>
        <v>Mencapai kompetensi dengan baik dalam hal</v>
      </c>
      <c r="Y40" s="23">
        <v>75</v>
      </c>
      <c r="Z40" s="18" t="str">
        <f t="shared" si="26"/>
        <v>Mencapai kompetensi dengan baik dalam hal</v>
      </c>
      <c r="AA40" s="23">
        <v>81</v>
      </c>
      <c r="AB40" s="18" t="str">
        <f t="shared" si="27"/>
        <v>Mencapai kompetensi dengan baik dalam hal</v>
      </c>
      <c r="AC40" s="23">
        <v>83</v>
      </c>
      <c r="AD40" s="18" t="str">
        <f t="shared" si="28"/>
        <v>Mencapai kompetensi dengan baik dalam hal</v>
      </c>
      <c r="AE40" s="23">
        <v>88</v>
      </c>
      <c r="AF40" s="18" t="str">
        <f t="shared" si="29"/>
        <v>Mencapai kompetensi dengan baik dalam hal</v>
      </c>
      <c r="AG40" s="23">
        <v>88</v>
      </c>
      <c r="AH40" s="18" t="str">
        <f t="shared" si="10"/>
        <v>Mencapai kompetensi dengan baik dalam hal</v>
      </c>
      <c r="AI40" s="23">
        <v>94</v>
      </c>
      <c r="AJ40" s="18" t="str">
        <f t="shared" si="11"/>
        <v>Mencapai kompetensi dengan sangat baik dalam hal</v>
      </c>
      <c r="AK40" s="23">
        <v>92</v>
      </c>
      <c r="AL40" s="18" t="str">
        <f t="shared" si="30"/>
        <v>Mencapai kompetensi dengan sangat baik dalam hal</v>
      </c>
      <c r="AM40" s="23">
        <v>85</v>
      </c>
      <c r="AN40" s="18" t="str">
        <f t="shared" si="31"/>
        <v>Mencapai kompetensi dengan baik dalam hal</v>
      </c>
      <c r="AO40" s="23">
        <v>84</v>
      </c>
      <c r="AP40" s="18" t="str">
        <f t="shared" si="14"/>
        <v>Mencapai kompetensi dengan baik dalam hal</v>
      </c>
      <c r="AQ40" s="23">
        <v>83</v>
      </c>
      <c r="AR40" s="18" t="str">
        <f t="shared" si="32"/>
        <v>Mencapai kompetensi dengan baik dalam hal</v>
      </c>
      <c r="AS40" s="62">
        <f t="shared" si="33"/>
        <v>87.666666666666671</v>
      </c>
      <c r="AT40" s="23">
        <v>83</v>
      </c>
      <c r="AU40" s="18" t="str">
        <f t="shared" si="16"/>
        <v>Mencapai kompetensi dengan baik dalam hal</v>
      </c>
      <c r="AV40" s="23">
        <v>77</v>
      </c>
      <c r="AW40" s="18" t="str">
        <f t="shared" si="34"/>
        <v>Mencapai kompetensi dengan baik dalam hal</v>
      </c>
      <c r="AX40" s="23" t="s">
        <v>81</v>
      </c>
      <c r="AY40" s="23" t="s">
        <v>81</v>
      </c>
      <c r="AZ40" s="23" t="s">
        <v>81</v>
      </c>
      <c r="BA40" s="23">
        <v>1</v>
      </c>
      <c r="BB40" s="23" t="s">
        <v>82</v>
      </c>
      <c r="BC40" s="18" t="s">
        <v>83</v>
      </c>
      <c r="BD40" s="23" t="s">
        <v>86</v>
      </c>
      <c r="BE40" s="18" t="str">
        <f t="shared" si="35"/>
        <v>Sangat baik</v>
      </c>
      <c r="BF40" s="23">
        <v>2</v>
      </c>
      <c r="BG40" s="18" t="s">
        <v>85</v>
      </c>
      <c r="BH40" s="18" t="s">
        <v>83</v>
      </c>
      <c r="BI40" s="23" t="s">
        <v>86</v>
      </c>
      <c r="BJ40" s="18" t="str">
        <f t="shared" si="36"/>
        <v>Sangat baik</v>
      </c>
      <c r="BK40" s="23">
        <v>3</v>
      </c>
      <c r="BL40" s="23" t="s">
        <v>87</v>
      </c>
      <c r="BM40" s="23" t="s">
        <v>83</v>
      </c>
      <c r="BN40" s="23" t="s">
        <v>84</v>
      </c>
      <c r="BO40" s="18" t="str">
        <f>VLOOKUP(BN40,grades4,2,TRUE)</f>
        <v>Baik</v>
      </c>
      <c r="BP40" s="54"/>
      <c r="BQ40" s="54"/>
      <c r="BR40" s="54"/>
    </row>
    <row r="41" spans="1:70" ht="24.95" customHeight="1" x14ac:dyDescent="0.25">
      <c r="A41" s="23">
        <v>40</v>
      </c>
      <c r="B41" s="23">
        <v>2525765</v>
      </c>
      <c r="C41" s="23" t="s">
        <v>377</v>
      </c>
      <c r="D41" s="18" t="s">
        <v>378</v>
      </c>
      <c r="E41" s="23" t="s">
        <v>370</v>
      </c>
      <c r="F41" s="23" t="s">
        <v>291</v>
      </c>
      <c r="G41" s="23" t="s">
        <v>371</v>
      </c>
      <c r="H41" s="23" t="s">
        <v>372</v>
      </c>
      <c r="I41" s="60" t="s">
        <v>76</v>
      </c>
      <c r="J41" s="61" t="s">
        <v>77</v>
      </c>
      <c r="K41" s="61" t="s">
        <v>78</v>
      </c>
      <c r="L41" s="61" t="s">
        <v>79</v>
      </c>
      <c r="M41" s="23">
        <v>82</v>
      </c>
      <c r="N41" s="18" t="str">
        <f t="shared" si="20"/>
        <v>Mencapai kompetensi dengan baik dalam hal</v>
      </c>
      <c r="O41" s="23">
        <v>77</v>
      </c>
      <c r="P41" s="18" t="str">
        <f t="shared" si="21"/>
        <v>Mencapai kompetensi dengan baik dalam hal</v>
      </c>
      <c r="Q41" s="23">
        <v>82</v>
      </c>
      <c r="R41" s="18" t="str">
        <f t="shared" si="22"/>
        <v>Mencapai kompetensi dengan baik dalam hal</v>
      </c>
      <c r="S41" s="23">
        <v>78</v>
      </c>
      <c r="T41" s="18" t="str">
        <f t="shared" si="23"/>
        <v>Mencapai kompetensi dengan baik dalam hal</v>
      </c>
      <c r="U41" s="23">
        <v>75</v>
      </c>
      <c r="V41" s="18" t="str">
        <f t="shared" si="24"/>
        <v>Mencapai kompetensi dengan baik dalam hal</v>
      </c>
      <c r="W41" s="23">
        <v>77</v>
      </c>
      <c r="X41" s="18" t="str">
        <f t="shared" si="25"/>
        <v>Mencapai kompetensi dengan baik dalam hal</v>
      </c>
      <c r="Y41" s="23">
        <v>77</v>
      </c>
      <c r="Z41" s="18" t="str">
        <f t="shared" si="26"/>
        <v>Mencapai kompetensi dengan baik dalam hal</v>
      </c>
      <c r="AA41" s="23">
        <v>75</v>
      </c>
      <c r="AB41" s="18" t="str">
        <f t="shared" si="27"/>
        <v>Mencapai kompetensi dengan baik dalam hal</v>
      </c>
      <c r="AC41" s="23">
        <v>78</v>
      </c>
      <c r="AD41" s="18" t="str">
        <f t="shared" si="28"/>
        <v>Mencapai kompetensi dengan baik dalam hal</v>
      </c>
      <c r="AE41" s="23">
        <v>80</v>
      </c>
      <c r="AF41" s="18" t="str">
        <f t="shared" si="29"/>
        <v>Mencapai kompetensi dengan baik dalam hal</v>
      </c>
      <c r="AG41" s="23">
        <v>77</v>
      </c>
      <c r="AH41" s="18" t="str">
        <f t="shared" si="10"/>
        <v>Mencapai kompetensi dengan baik dalam hal</v>
      </c>
      <c r="AI41" s="23">
        <v>94</v>
      </c>
      <c r="AJ41" s="18" t="str">
        <f t="shared" si="11"/>
        <v>Mencapai kompetensi dengan sangat baik dalam hal</v>
      </c>
      <c r="AK41" s="23">
        <v>91</v>
      </c>
      <c r="AL41" s="18" t="str">
        <f t="shared" si="30"/>
        <v>Mencapai kompetensi dengan sangat baik dalam hal</v>
      </c>
      <c r="AM41" s="23">
        <v>89</v>
      </c>
      <c r="AN41" s="18" t="str">
        <f t="shared" si="31"/>
        <v>Mencapai kompetensi dengan baik dalam hal</v>
      </c>
      <c r="AO41" s="23">
        <v>78</v>
      </c>
      <c r="AP41" s="18" t="str">
        <f t="shared" si="14"/>
        <v>Mencapai kompetensi dengan baik dalam hal</v>
      </c>
      <c r="AQ41" s="23">
        <v>82</v>
      </c>
      <c r="AR41" s="18" t="str">
        <f t="shared" si="32"/>
        <v>Mencapai kompetensi dengan baik dalam hal</v>
      </c>
      <c r="AS41" s="62">
        <f t="shared" si="33"/>
        <v>85.166666666666671</v>
      </c>
      <c r="AT41" s="23">
        <v>78</v>
      </c>
      <c r="AU41" s="18" t="str">
        <f t="shared" si="16"/>
        <v>Mencapai kompetensi dengan baik dalam hal</v>
      </c>
      <c r="AV41" s="23">
        <v>77</v>
      </c>
      <c r="AW41" s="18" t="str">
        <f t="shared" si="34"/>
        <v>Mencapai kompetensi dengan baik dalam hal</v>
      </c>
      <c r="AX41" s="23">
        <v>1</v>
      </c>
      <c r="AY41" s="23" t="s">
        <v>81</v>
      </c>
      <c r="AZ41" s="23" t="s">
        <v>81</v>
      </c>
      <c r="BA41" s="23">
        <v>1</v>
      </c>
      <c r="BB41" s="23" t="s">
        <v>82</v>
      </c>
      <c r="BC41" s="18" t="s">
        <v>83</v>
      </c>
      <c r="BD41" s="23" t="s">
        <v>84</v>
      </c>
      <c r="BE41" s="18" t="str">
        <f t="shared" si="35"/>
        <v>Baik</v>
      </c>
      <c r="BF41" s="23">
        <v>2</v>
      </c>
      <c r="BG41" s="18" t="s">
        <v>179</v>
      </c>
      <c r="BH41" s="18" t="s">
        <v>83</v>
      </c>
      <c r="BI41" s="23" t="s">
        <v>86</v>
      </c>
      <c r="BJ41" s="18" t="str">
        <f t="shared" si="36"/>
        <v>Sangat baik</v>
      </c>
      <c r="BK41" s="23"/>
      <c r="BL41" s="23"/>
      <c r="BM41" s="23"/>
      <c r="BN41" s="23"/>
      <c r="BO41" s="18"/>
      <c r="BP41" s="54"/>
      <c r="BQ41" s="54"/>
      <c r="BR41" s="54"/>
    </row>
    <row r="42" spans="1:70" ht="24.95" customHeight="1" x14ac:dyDescent="0.25">
      <c r="A42" s="23">
        <v>41</v>
      </c>
      <c r="B42" s="23">
        <v>2525766</v>
      </c>
      <c r="C42" s="23" t="s">
        <v>379</v>
      </c>
      <c r="D42" s="18" t="s">
        <v>380</v>
      </c>
      <c r="E42" s="23" t="s">
        <v>370</v>
      </c>
      <c r="F42" s="23" t="s">
        <v>291</v>
      </c>
      <c r="G42" s="23" t="s">
        <v>371</v>
      </c>
      <c r="H42" s="23" t="s">
        <v>372</v>
      </c>
      <c r="I42" s="60" t="s">
        <v>76</v>
      </c>
      <c r="J42" s="61" t="s">
        <v>77</v>
      </c>
      <c r="K42" s="61" t="s">
        <v>78</v>
      </c>
      <c r="L42" s="61" t="s">
        <v>79</v>
      </c>
      <c r="M42" s="23">
        <v>83</v>
      </c>
      <c r="N42" s="18" t="str">
        <f t="shared" si="20"/>
        <v>Mencapai kompetensi dengan baik dalam hal</v>
      </c>
      <c r="O42" s="23">
        <v>76</v>
      </c>
      <c r="P42" s="18" t="str">
        <f t="shared" si="21"/>
        <v>Mencapai kompetensi dengan baik dalam hal</v>
      </c>
      <c r="Q42" s="23">
        <v>79</v>
      </c>
      <c r="R42" s="18" t="str">
        <f t="shared" si="22"/>
        <v>Mencapai kompetensi dengan baik dalam hal</v>
      </c>
      <c r="S42" s="23">
        <v>79</v>
      </c>
      <c r="T42" s="18" t="str">
        <f t="shared" si="23"/>
        <v>Mencapai kompetensi dengan baik dalam hal</v>
      </c>
      <c r="U42" s="23">
        <v>74</v>
      </c>
      <c r="V42" s="18" t="str">
        <f t="shared" si="24"/>
        <v>Perlu peningkatan dalam hal</v>
      </c>
      <c r="W42" s="23">
        <v>75</v>
      </c>
      <c r="X42" s="18" t="str">
        <f t="shared" si="25"/>
        <v>Mencapai kompetensi dengan baik dalam hal</v>
      </c>
      <c r="Y42" s="23">
        <v>79</v>
      </c>
      <c r="Z42" s="18" t="str">
        <f t="shared" si="26"/>
        <v>Mencapai kompetensi dengan baik dalam hal</v>
      </c>
      <c r="AA42" s="23">
        <v>76</v>
      </c>
      <c r="AB42" s="18" t="str">
        <f t="shared" si="27"/>
        <v>Mencapai kompetensi dengan baik dalam hal</v>
      </c>
      <c r="AC42" s="23">
        <v>75</v>
      </c>
      <c r="AD42" s="18" t="str">
        <f t="shared" si="28"/>
        <v>Mencapai kompetensi dengan baik dalam hal</v>
      </c>
      <c r="AE42" s="23">
        <v>81</v>
      </c>
      <c r="AF42" s="18" t="str">
        <f t="shared" si="29"/>
        <v>Mencapai kompetensi dengan baik dalam hal</v>
      </c>
      <c r="AG42" s="23">
        <v>77</v>
      </c>
      <c r="AH42" s="18" t="str">
        <f t="shared" si="10"/>
        <v>Mencapai kompetensi dengan baik dalam hal</v>
      </c>
      <c r="AI42" s="23">
        <v>94</v>
      </c>
      <c r="AJ42" s="18" t="str">
        <f t="shared" si="11"/>
        <v>Mencapai kompetensi dengan sangat baik dalam hal</v>
      </c>
      <c r="AK42" s="23">
        <v>92</v>
      </c>
      <c r="AL42" s="18" t="str">
        <f t="shared" si="30"/>
        <v>Mencapai kompetensi dengan sangat baik dalam hal</v>
      </c>
      <c r="AM42" s="23">
        <v>79</v>
      </c>
      <c r="AN42" s="18" t="str">
        <f t="shared" si="31"/>
        <v>Mencapai kompetensi dengan baik dalam hal</v>
      </c>
      <c r="AO42" s="23">
        <v>77</v>
      </c>
      <c r="AP42" s="18" t="str">
        <f t="shared" si="14"/>
        <v>Mencapai kompetensi dengan baik dalam hal</v>
      </c>
      <c r="AQ42" s="23">
        <v>81</v>
      </c>
      <c r="AR42" s="18" t="str">
        <f t="shared" si="32"/>
        <v>Mencapai kompetensi dengan baik dalam hal</v>
      </c>
      <c r="AS42" s="62">
        <f t="shared" si="33"/>
        <v>83.333333333333329</v>
      </c>
      <c r="AT42" s="23">
        <v>75</v>
      </c>
      <c r="AU42" s="18" t="str">
        <f t="shared" si="16"/>
        <v>Mencapai kompetensi dengan baik dalam hal</v>
      </c>
      <c r="AV42" s="23">
        <v>75</v>
      </c>
      <c r="AW42" s="18" t="str">
        <f t="shared" si="34"/>
        <v>Mencapai kompetensi dengan baik dalam hal</v>
      </c>
      <c r="AX42" s="23" t="s">
        <v>81</v>
      </c>
      <c r="AY42" s="23" t="s">
        <v>81</v>
      </c>
      <c r="AZ42" s="23" t="s">
        <v>81</v>
      </c>
      <c r="BA42" s="23">
        <v>1</v>
      </c>
      <c r="BB42" s="23" t="s">
        <v>82</v>
      </c>
      <c r="BC42" s="18" t="s">
        <v>83</v>
      </c>
      <c r="BD42" s="23" t="s">
        <v>104</v>
      </c>
      <c r="BE42" s="18" t="str">
        <f t="shared" si="35"/>
        <v>Cukup</v>
      </c>
      <c r="BF42" s="23">
        <v>2</v>
      </c>
      <c r="BG42" s="18" t="s">
        <v>103</v>
      </c>
      <c r="BH42" s="18" t="s">
        <v>83</v>
      </c>
      <c r="BI42" s="23" t="s">
        <v>84</v>
      </c>
      <c r="BJ42" s="18" t="str">
        <f t="shared" si="36"/>
        <v>Baik</v>
      </c>
      <c r="BK42" s="23"/>
      <c r="BL42" s="23"/>
      <c r="BM42" s="23"/>
      <c r="BN42" s="23"/>
      <c r="BO42" s="18"/>
      <c r="BP42" s="54"/>
      <c r="BQ42" s="54"/>
      <c r="BR42" s="54"/>
    </row>
    <row r="43" spans="1:70" ht="24.95" customHeight="1" x14ac:dyDescent="0.25">
      <c r="A43" s="23">
        <v>42</v>
      </c>
      <c r="B43" s="23">
        <v>2525767</v>
      </c>
      <c r="C43" s="23" t="s">
        <v>381</v>
      </c>
      <c r="D43" s="18" t="s">
        <v>382</v>
      </c>
      <c r="E43" s="23" t="s">
        <v>370</v>
      </c>
      <c r="F43" s="23" t="s">
        <v>291</v>
      </c>
      <c r="G43" s="23" t="s">
        <v>371</v>
      </c>
      <c r="H43" s="23" t="s">
        <v>372</v>
      </c>
      <c r="I43" s="60" t="s">
        <v>76</v>
      </c>
      <c r="J43" s="61" t="s">
        <v>77</v>
      </c>
      <c r="K43" s="61" t="s">
        <v>78</v>
      </c>
      <c r="L43" s="61" t="s">
        <v>79</v>
      </c>
      <c r="M43" s="23">
        <v>83</v>
      </c>
      <c r="N43" s="18" t="str">
        <f t="shared" si="20"/>
        <v>Mencapai kompetensi dengan baik dalam hal</v>
      </c>
      <c r="O43" s="23">
        <v>77</v>
      </c>
      <c r="P43" s="18" t="str">
        <f t="shared" si="21"/>
        <v>Mencapai kompetensi dengan baik dalam hal</v>
      </c>
      <c r="Q43" s="23">
        <v>83</v>
      </c>
      <c r="R43" s="18" t="str">
        <f t="shared" si="22"/>
        <v>Mencapai kompetensi dengan baik dalam hal</v>
      </c>
      <c r="S43" s="23">
        <v>78</v>
      </c>
      <c r="T43" s="18" t="str">
        <f t="shared" si="23"/>
        <v>Mencapai kompetensi dengan baik dalam hal</v>
      </c>
      <c r="U43" s="23">
        <v>76</v>
      </c>
      <c r="V43" s="18" t="str">
        <f t="shared" si="24"/>
        <v>Mencapai kompetensi dengan baik dalam hal</v>
      </c>
      <c r="W43" s="23">
        <v>75</v>
      </c>
      <c r="X43" s="18" t="str">
        <f t="shared" si="25"/>
        <v>Mencapai kompetensi dengan baik dalam hal</v>
      </c>
      <c r="Y43" s="23">
        <v>77</v>
      </c>
      <c r="Z43" s="18" t="str">
        <f t="shared" si="26"/>
        <v>Mencapai kompetensi dengan baik dalam hal</v>
      </c>
      <c r="AA43" s="23">
        <v>79</v>
      </c>
      <c r="AB43" s="18" t="str">
        <f t="shared" si="27"/>
        <v>Mencapai kompetensi dengan baik dalam hal</v>
      </c>
      <c r="AC43" s="23">
        <v>76</v>
      </c>
      <c r="AD43" s="18" t="str">
        <f t="shared" si="28"/>
        <v>Mencapai kompetensi dengan baik dalam hal</v>
      </c>
      <c r="AE43" s="23">
        <v>82</v>
      </c>
      <c r="AF43" s="18" t="str">
        <f t="shared" si="29"/>
        <v>Mencapai kompetensi dengan baik dalam hal</v>
      </c>
      <c r="AG43" s="23">
        <v>81</v>
      </c>
      <c r="AH43" s="18" t="str">
        <f t="shared" si="10"/>
        <v>Mencapai kompetensi dengan baik dalam hal</v>
      </c>
      <c r="AI43" s="23">
        <v>87</v>
      </c>
      <c r="AJ43" s="18" t="str">
        <f t="shared" si="11"/>
        <v>Mencapai kompetensi dengan baik dalam hal</v>
      </c>
      <c r="AK43" s="23">
        <v>89</v>
      </c>
      <c r="AL43" s="18" t="str">
        <f t="shared" si="30"/>
        <v>Mencapai kompetensi dengan baik dalam hal</v>
      </c>
      <c r="AM43" s="23">
        <v>83</v>
      </c>
      <c r="AN43" s="18" t="str">
        <f t="shared" si="31"/>
        <v>Mencapai kompetensi dengan baik dalam hal</v>
      </c>
      <c r="AO43" s="23">
        <v>85</v>
      </c>
      <c r="AP43" s="18" t="str">
        <f t="shared" si="14"/>
        <v>Mencapai kompetensi dengan baik dalam hal</v>
      </c>
      <c r="AQ43" s="23">
        <v>83</v>
      </c>
      <c r="AR43" s="18" t="str">
        <f t="shared" si="32"/>
        <v>Mencapai kompetensi dengan baik dalam hal</v>
      </c>
      <c r="AS43" s="62">
        <f t="shared" si="33"/>
        <v>84.666666666666671</v>
      </c>
      <c r="AT43" s="23">
        <v>76</v>
      </c>
      <c r="AU43" s="18" t="str">
        <f t="shared" si="16"/>
        <v>Mencapai kompetensi dengan baik dalam hal</v>
      </c>
      <c r="AV43" s="23">
        <v>80</v>
      </c>
      <c r="AW43" s="18" t="str">
        <f t="shared" si="34"/>
        <v>Mencapai kompetensi dengan baik dalam hal</v>
      </c>
      <c r="AX43" s="23">
        <v>2</v>
      </c>
      <c r="AY43" s="23" t="s">
        <v>81</v>
      </c>
      <c r="AZ43" s="23" t="s">
        <v>81</v>
      </c>
      <c r="BA43" s="23">
        <v>1</v>
      </c>
      <c r="BB43" s="23" t="s">
        <v>82</v>
      </c>
      <c r="BC43" s="18" t="s">
        <v>83</v>
      </c>
      <c r="BD43" s="23" t="s">
        <v>84</v>
      </c>
      <c r="BE43" s="18" t="str">
        <f t="shared" si="35"/>
        <v>Baik</v>
      </c>
      <c r="BF43" s="23">
        <v>2</v>
      </c>
      <c r="BG43" s="18" t="s">
        <v>298</v>
      </c>
      <c r="BH43" s="18" t="s">
        <v>83</v>
      </c>
      <c r="BI43" s="23" t="s">
        <v>86</v>
      </c>
      <c r="BJ43" s="18" t="str">
        <f t="shared" si="36"/>
        <v>Sangat baik</v>
      </c>
      <c r="BK43" s="23"/>
      <c r="BL43" s="23"/>
      <c r="BM43" s="23"/>
      <c r="BN43" s="23"/>
      <c r="BO43" s="18"/>
      <c r="BP43" s="54"/>
      <c r="BQ43" s="54"/>
      <c r="BR43" s="54"/>
    </row>
    <row r="44" spans="1:70" ht="24.95" customHeight="1" x14ac:dyDescent="0.25">
      <c r="A44" s="23">
        <v>43</v>
      </c>
      <c r="B44" s="23">
        <v>2525768</v>
      </c>
      <c r="C44" s="23" t="s">
        <v>383</v>
      </c>
      <c r="D44" s="18" t="s">
        <v>384</v>
      </c>
      <c r="E44" s="23" t="s">
        <v>370</v>
      </c>
      <c r="F44" s="23" t="s">
        <v>291</v>
      </c>
      <c r="G44" s="23" t="s">
        <v>371</v>
      </c>
      <c r="H44" s="23" t="s">
        <v>372</v>
      </c>
      <c r="I44" s="60" t="s">
        <v>76</v>
      </c>
      <c r="J44" s="61" t="s">
        <v>77</v>
      </c>
      <c r="K44" s="61" t="s">
        <v>78</v>
      </c>
      <c r="L44" s="61" t="s">
        <v>79</v>
      </c>
      <c r="M44" s="23">
        <v>84</v>
      </c>
      <c r="N44" s="18" t="str">
        <f t="shared" si="20"/>
        <v>Mencapai kompetensi dengan baik dalam hal</v>
      </c>
      <c r="O44" s="23">
        <v>80</v>
      </c>
      <c r="P44" s="18" t="str">
        <f t="shared" si="21"/>
        <v>Mencapai kompetensi dengan baik dalam hal</v>
      </c>
      <c r="Q44" s="23">
        <v>83</v>
      </c>
      <c r="R44" s="18" t="str">
        <f t="shared" si="22"/>
        <v>Mencapai kompetensi dengan baik dalam hal</v>
      </c>
      <c r="S44" s="23">
        <v>80</v>
      </c>
      <c r="T44" s="18" t="str">
        <f t="shared" si="23"/>
        <v>Mencapai kompetensi dengan baik dalam hal</v>
      </c>
      <c r="U44" s="23">
        <v>87</v>
      </c>
      <c r="V44" s="18" t="str">
        <f t="shared" si="24"/>
        <v>Mencapai kompetensi dengan baik dalam hal</v>
      </c>
      <c r="W44" s="23">
        <v>84</v>
      </c>
      <c r="X44" s="18" t="str">
        <f t="shared" si="25"/>
        <v>Mencapai kompetensi dengan baik dalam hal</v>
      </c>
      <c r="Y44" s="23">
        <v>80</v>
      </c>
      <c r="Z44" s="18" t="str">
        <f t="shared" si="26"/>
        <v>Mencapai kompetensi dengan baik dalam hal</v>
      </c>
      <c r="AA44" s="23">
        <v>82</v>
      </c>
      <c r="AB44" s="18" t="str">
        <f t="shared" si="27"/>
        <v>Mencapai kompetensi dengan baik dalam hal</v>
      </c>
      <c r="AC44" s="23">
        <v>89</v>
      </c>
      <c r="AD44" s="18" t="str">
        <f t="shared" si="28"/>
        <v>Mencapai kompetensi dengan baik dalam hal</v>
      </c>
      <c r="AE44" s="23">
        <v>90</v>
      </c>
      <c r="AF44" s="18" t="str">
        <f t="shared" si="29"/>
        <v>Mencapai kompetensi dengan sangat baik dalam hal</v>
      </c>
      <c r="AG44" s="23">
        <v>90</v>
      </c>
      <c r="AH44" s="18" t="str">
        <f t="shared" si="10"/>
        <v>Mencapai kompetensi dengan sangat baik dalam hal</v>
      </c>
      <c r="AI44" s="23">
        <v>92</v>
      </c>
      <c r="AJ44" s="18" t="str">
        <f t="shared" si="11"/>
        <v>Mencapai kompetensi dengan sangat baik dalam hal</v>
      </c>
      <c r="AK44" s="23">
        <v>90</v>
      </c>
      <c r="AL44" s="18" t="str">
        <f t="shared" si="30"/>
        <v>Mencapai kompetensi dengan sangat baik dalam hal</v>
      </c>
      <c r="AM44" s="23">
        <v>90</v>
      </c>
      <c r="AN44" s="18" t="str">
        <f t="shared" si="31"/>
        <v>Mencapai kompetensi dengan sangat baik dalam hal</v>
      </c>
      <c r="AO44" s="23">
        <v>88</v>
      </c>
      <c r="AP44" s="18" t="str">
        <f t="shared" si="14"/>
        <v>Mencapai kompetensi dengan baik dalam hal</v>
      </c>
      <c r="AQ44" s="23">
        <v>84</v>
      </c>
      <c r="AR44" s="18" t="str">
        <f t="shared" si="32"/>
        <v>Mencapai kompetensi dengan baik dalam hal</v>
      </c>
      <c r="AS44" s="62">
        <f t="shared" si="33"/>
        <v>89</v>
      </c>
      <c r="AT44" s="23">
        <v>89</v>
      </c>
      <c r="AU44" s="18" t="str">
        <f t="shared" si="16"/>
        <v>Mencapai kompetensi dengan baik dalam hal</v>
      </c>
      <c r="AV44" s="23">
        <v>78</v>
      </c>
      <c r="AW44" s="18" t="str">
        <f t="shared" si="34"/>
        <v>Mencapai kompetensi dengan baik dalam hal</v>
      </c>
      <c r="AX44" s="23">
        <v>2</v>
      </c>
      <c r="AY44" s="23">
        <v>1</v>
      </c>
      <c r="AZ44" s="23" t="s">
        <v>81</v>
      </c>
      <c r="BA44" s="23">
        <v>1</v>
      </c>
      <c r="BB44" s="23" t="s">
        <v>82</v>
      </c>
      <c r="BC44" s="18" t="s">
        <v>83</v>
      </c>
      <c r="BD44" s="23" t="s">
        <v>86</v>
      </c>
      <c r="BE44" s="18" t="str">
        <f t="shared" si="35"/>
        <v>Sangat baik</v>
      </c>
      <c r="BF44" s="23">
        <v>2</v>
      </c>
      <c r="BG44" s="18" t="s">
        <v>85</v>
      </c>
      <c r="BH44" s="18" t="s">
        <v>83</v>
      </c>
      <c r="BI44" s="23" t="s">
        <v>86</v>
      </c>
      <c r="BJ44" s="18" t="str">
        <f t="shared" si="36"/>
        <v>Sangat baik</v>
      </c>
      <c r="BK44" s="23">
        <v>3</v>
      </c>
      <c r="BL44" s="23" t="s">
        <v>87</v>
      </c>
      <c r="BM44" s="23" t="s">
        <v>83</v>
      </c>
      <c r="BN44" s="23" t="s">
        <v>84</v>
      </c>
      <c r="BO44" s="18" t="str">
        <f>VLOOKUP(BN44,grades4,2,TRUE)</f>
        <v>Baik</v>
      </c>
      <c r="BP44" s="54"/>
      <c r="BQ44" s="54"/>
      <c r="BR44" s="54"/>
    </row>
    <row r="45" spans="1:70" ht="24.95" customHeight="1" x14ac:dyDescent="0.25">
      <c r="A45" s="23">
        <v>44</v>
      </c>
      <c r="B45" s="23">
        <v>2525769</v>
      </c>
      <c r="C45" s="23" t="s">
        <v>385</v>
      </c>
      <c r="D45" s="18" t="s">
        <v>386</v>
      </c>
      <c r="E45" s="23" t="s">
        <v>370</v>
      </c>
      <c r="F45" s="23" t="s">
        <v>291</v>
      </c>
      <c r="G45" s="23" t="s">
        <v>371</v>
      </c>
      <c r="H45" s="23" t="s">
        <v>372</v>
      </c>
      <c r="I45" s="60" t="s">
        <v>76</v>
      </c>
      <c r="J45" s="61" t="s">
        <v>77</v>
      </c>
      <c r="K45" s="61" t="s">
        <v>78</v>
      </c>
      <c r="L45" s="61" t="s">
        <v>79</v>
      </c>
      <c r="M45" s="23">
        <v>81</v>
      </c>
      <c r="N45" s="18" t="str">
        <f t="shared" si="20"/>
        <v>Mencapai kompetensi dengan baik dalam hal</v>
      </c>
      <c r="O45" s="23">
        <v>75</v>
      </c>
      <c r="P45" s="18" t="str">
        <f t="shared" si="21"/>
        <v>Mencapai kompetensi dengan baik dalam hal</v>
      </c>
      <c r="Q45" s="23">
        <v>80</v>
      </c>
      <c r="R45" s="18" t="str">
        <f t="shared" si="22"/>
        <v>Mencapai kompetensi dengan baik dalam hal</v>
      </c>
      <c r="S45" s="23">
        <v>78</v>
      </c>
      <c r="T45" s="18" t="str">
        <f t="shared" si="23"/>
        <v>Mencapai kompetensi dengan baik dalam hal</v>
      </c>
      <c r="U45" s="23">
        <v>74</v>
      </c>
      <c r="V45" s="18" t="str">
        <f t="shared" si="24"/>
        <v>Perlu peningkatan dalam hal</v>
      </c>
      <c r="W45" s="23">
        <v>75</v>
      </c>
      <c r="X45" s="18" t="str">
        <f t="shared" si="25"/>
        <v>Mencapai kompetensi dengan baik dalam hal</v>
      </c>
      <c r="Y45" s="23">
        <v>76</v>
      </c>
      <c r="Z45" s="18" t="str">
        <f t="shared" si="26"/>
        <v>Mencapai kompetensi dengan baik dalam hal</v>
      </c>
      <c r="AA45" s="23">
        <v>78</v>
      </c>
      <c r="AB45" s="18" t="str">
        <f t="shared" si="27"/>
        <v>Mencapai kompetensi dengan baik dalam hal</v>
      </c>
      <c r="AC45" s="23">
        <v>80</v>
      </c>
      <c r="AD45" s="18" t="str">
        <f t="shared" si="28"/>
        <v>Mencapai kompetensi dengan baik dalam hal</v>
      </c>
      <c r="AE45" s="23">
        <v>80</v>
      </c>
      <c r="AF45" s="18" t="str">
        <f t="shared" si="29"/>
        <v>Mencapai kompetensi dengan baik dalam hal</v>
      </c>
      <c r="AG45" s="23">
        <v>78</v>
      </c>
      <c r="AH45" s="18" t="str">
        <f t="shared" si="10"/>
        <v>Mencapai kompetensi dengan baik dalam hal</v>
      </c>
      <c r="AI45" s="23">
        <v>82</v>
      </c>
      <c r="AJ45" s="18" t="str">
        <f t="shared" si="11"/>
        <v>Mencapai kompetensi dengan baik dalam hal</v>
      </c>
      <c r="AK45" s="23">
        <v>80</v>
      </c>
      <c r="AL45" s="18" t="str">
        <f t="shared" si="30"/>
        <v>Mencapai kompetensi dengan baik dalam hal</v>
      </c>
      <c r="AM45" s="23">
        <v>89</v>
      </c>
      <c r="AN45" s="18" t="str">
        <f t="shared" si="31"/>
        <v>Mencapai kompetensi dengan baik dalam hal</v>
      </c>
      <c r="AO45" s="23">
        <v>80</v>
      </c>
      <c r="AP45" s="18" t="str">
        <f t="shared" si="14"/>
        <v>Mencapai kompetensi dengan baik dalam hal</v>
      </c>
      <c r="AQ45" s="23">
        <v>83</v>
      </c>
      <c r="AR45" s="18" t="str">
        <f t="shared" si="32"/>
        <v>Mencapai kompetensi dengan baik dalam hal</v>
      </c>
      <c r="AS45" s="62">
        <f t="shared" si="33"/>
        <v>82</v>
      </c>
      <c r="AT45" s="23">
        <v>80</v>
      </c>
      <c r="AU45" s="18" t="str">
        <f t="shared" si="16"/>
        <v>Mencapai kompetensi dengan baik dalam hal</v>
      </c>
      <c r="AV45" s="23">
        <v>76</v>
      </c>
      <c r="AW45" s="18" t="str">
        <f t="shared" si="34"/>
        <v>Mencapai kompetensi dengan baik dalam hal</v>
      </c>
      <c r="AX45" s="23" t="s">
        <v>81</v>
      </c>
      <c r="AY45" s="23" t="s">
        <v>81</v>
      </c>
      <c r="AZ45" s="23" t="s">
        <v>81</v>
      </c>
      <c r="BA45" s="23">
        <v>1</v>
      </c>
      <c r="BB45" s="23" t="s">
        <v>82</v>
      </c>
      <c r="BC45" s="18" t="s">
        <v>83</v>
      </c>
      <c r="BD45" s="23" t="s">
        <v>86</v>
      </c>
      <c r="BE45" s="18" t="str">
        <f t="shared" si="35"/>
        <v>Sangat baik</v>
      </c>
      <c r="BF45" s="23">
        <v>2</v>
      </c>
      <c r="BG45" s="18" t="s">
        <v>99</v>
      </c>
      <c r="BH45" s="18" t="s">
        <v>83</v>
      </c>
      <c r="BI45" s="23" t="s">
        <v>84</v>
      </c>
      <c r="BJ45" s="18" t="str">
        <f t="shared" si="36"/>
        <v>Baik</v>
      </c>
      <c r="BK45" s="23"/>
      <c r="BL45" s="23"/>
      <c r="BM45" s="23"/>
      <c r="BN45" s="23"/>
      <c r="BO45" s="18"/>
      <c r="BP45" s="54"/>
      <c r="BQ45" s="54"/>
      <c r="BR45" s="54"/>
    </row>
    <row r="46" spans="1:70" ht="24.95" customHeight="1" x14ac:dyDescent="0.25">
      <c r="A46" s="23">
        <v>45</v>
      </c>
      <c r="B46" s="23">
        <v>2525770</v>
      </c>
      <c r="C46" s="23" t="s">
        <v>387</v>
      </c>
      <c r="D46" s="18" t="s">
        <v>388</v>
      </c>
      <c r="E46" s="23" t="s">
        <v>370</v>
      </c>
      <c r="F46" s="23" t="s">
        <v>291</v>
      </c>
      <c r="G46" s="23" t="s">
        <v>371</v>
      </c>
      <c r="H46" s="23" t="s">
        <v>372</v>
      </c>
      <c r="I46" s="60" t="s">
        <v>76</v>
      </c>
      <c r="J46" s="61" t="s">
        <v>77</v>
      </c>
      <c r="K46" s="61" t="s">
        <v>78</v>
      </c>
      <c r="L46" s="61" t="s">
        <v>79</v>
      </c>
      <c r="M46" s="23">
        <v>83</v>
      </c>
      <c r="N46" s="18" t="str">
        <f t="shared" si="20"/>
        <v>Mencapai kompetensi dengan baik dalam hal</v>
      </c>
      <c r="O46" s="23">
        <v>83</v>
      </c>
      <c r="P46" s="18" t="str">
        <f t="shared" si="21"/>
        <v>Mencapai kompetensi dengan baik dalam hal</v>
      </c>
      <c r="Q46" s="23">
        <v>83</v>
      </c>
      <c r="R46" s="18" t="str">
        <f t="shared" si="22"/>
        <v>Mencapai kompetensi dengan baik dalam hal</v>
      </c>
      <c r="S46" s="23">
        <v>79</v>
      </c>
      <c r="T46" s="18" t="str">
        <f t="shared" si="23"/>
        <v>Mencapai kompetensi dengan baik dalam hal</v>
      </c>
      <c r="U46" s="23">
        <v>87</v>
      </c>
      <c r="V46" s="18" t="str">
        <f t="shared" si="24"/>
        <v>Mencapai kompetensi dengan baik dalam hal</v>
      </c>
      <c r="W46" s="23">
        <v>84</v>
      </c>
      <c r="X46" s="18" t="str">
        <f t="shared" si="25"/>
        <v>Mencapai kompetensi dengan baik dalam hal</v>
      </c>
      <c r="Y46" s="23">
        <v>85</v>
      </c>
      <c r="Z46" s="18" t="str">
        <f t="shared" si="26"/>
        <v>Mencapai kompetensi dengan baik dalam hal</v>
      </c>
      <c r="AA46" s="23">
        <v>82</v>
      </c>
      <c r="AB46" s="18" t="str">
        <f t="shared" si="27"/>
        <v>Mencapai kompetensi dengan baik dalam hal</v>
      </c>
      <c r="AC46" s="23">
        <v>88</v>
      </c>
      <c r="AD46" s="18" t="str">
        <f t="shared" si="28"/>
        <v>Mencapai kompetensi dengan baik dalam hal</v>
      </c>
      <c r="AE46" s="23">
        <v>90</v>
      </c>
      <c r="AF46" s="18" t="str">
        <f t="shared" si="29"/>
        <v>Mencapai kompetensi dengan sangat baik dalam hal</v>
      </c>
      <c r="AG46" s="23">
        <v>90</v>
      </c>
      <c r="AH46" s="18" t="str">
        <f t="shared" si="10"/>
        <v>Mencapai kompetensi dengan sangat baik dalam hal</v>
      </c>
      <c r="AI46" s="23">
        <v>94</v>
      </c>
      <c r="AJ46" s="18" t="str">
        <f t="shared" si="11"/>
        <v>Mencapai kompetensi dengan sangat baik dalam hal</v>
      </c>
      <c r="AK46" s="23">
        <v>87</v>
      </c>
      <c r="AL46" s="18" t="str">
        <f t="shared" si="30"/>
        <v>Mencapai kompetensi dengan baik dalam hal</v>
      </c>
      <c r="AM46" s="23">
        <v>90</v>
      </c>
      <c r="AN46" s="18" t="str">
        <f t="shared" si="31"/>
        <v>Mencapai kompetensi dengan sangat baik dalam hal</v>
      </c>
      <c r="AO46" s="23">
        <v>90</v>
      </c>
      <c r="AP46" s="18" t="str">
        <f t="shared" si="14"/>
        <v>Mencapai kompetensi dengan sangat baik dalam hal</v>
      </c>
      <c r="AQ46" s="23">
        <v>85</v>
      </c>
      <c r="AR46" s="18" t="str">
        <f t="shared" si="32"/>
        <v>Mencapai kompetensi dengan baik dalam hal</v>
      </c>
      <c r="AS46" s="62">
        <f t="shared" si="33"/>
        <v>89.333333333333329</v>
      </c>
      <c r="AT46" s="23">
        <v>88</v>
      </c>
      <c r="AU46" s="18" t="str">
        <f t="shared" si="16"/>
        <v>Mencapai kompetensi dengan baik dalam hal</v>
      </c>
      <c r="AV46" s="23">
        <v>82</v>
      </c>
      <c r="AW46" s="18" t="str">
        <f t="shared" si="34"/>
        <v>Mencapai kompetensi dengan baik dalam hal</v>
      </c>
      <c r="AX46" s="23" t="s">
        <v>81</v>
      </c>
      <c r="AY46" s="23" t="s">
        <v>81</v>
      </c>
      <c r="AZ46" s="23" t="s">
        <v>81</v>
      </c>
      <c r="BA46" s="23">
        <v>1</v>
      </c>
      <c r="BB46" s="23" t="s">
        <v>82</v>
      </c>
      <c r="BC46" s="18" t="s">
        <v>83</v>
      </c>
      <c r="BD46" s="23" t="s">
        <v>86</v>
      </c>
      <c r="BE46" s="18" t="str">
        <f t="shared" si="35"/>
        <v>Sangat baik</v>
      </c>
      <c r="BF46" s="23">
        <v>2</v>
      </c>
      <c r="BG46" s="18" t="s">
        <v>212</v>
      </c>
      <c r="BH46" s="18" t="s">
        <v>83</v>
      </c>
      <c r="BI46" s="23" t="s">
        <v>86</v>
      </c>
      <c r="BJ46" s="18" t="str">
        <f t="shared" si="36"/>
        <v>Sangat baik</v>
      </c>
      <c r="BK46" s="23"/>
      <c r="BL46" s="23"/>
      <c r="BM46" s="23"/>
      <c r="BN46" s="23"/>
      <c r="BO46" s="18"/>
      <c r="BP46" s="54"/>
      <c r="BQ46" s="54"/>
      <c r="BR46" s="54"/>
    </row>
    <row r="47" spans="1:70" ht="24.95" customHeight="1" x14ac:dyDescent="0.25">
      <c r="A47" s="23">
        <v>46</v>
      </c>
      <c r="B47" s="23">
        <v>2525771</v>
      </c>
      <c r="C47" s="23" t="s">
        <v>389</v>
      </c>
      <c r="D47" s="18" t="s">
        <v>390</v>
      </c>
      <c r="E47" s="23" t="s">
        <v>370</v>
      </c>
      <c r="F47" s="23" t="s">
        <v>291</v>
      </c>
      <c r="G47" s="23" t="s">
        <v>371</v>
      </c>
      <c r="H47" s="23" t="s">
        <v>372</v>
      </c>
      <c r="I47" s="60" t="s">
        <v>76</v>
      </c>
      <c r="J47" s="61" t="s">
        <v>77</v>
      </c>
      <c r="K47" s="61" t="s">
        <v>78</v>
      </c>
      <c r="L47" s="61" t="s">
        <v>79</v>
      </c>
      <c r="M47" s="23">
        <v>82</v>
      </c>
      <c r="N47" s="18" t="str">
        <f t="shared" si="20"/>
        <v>Mencapai kompetensi dengan baik dalam hal</v>
      </c>
      <c r="O47" s="23">
        <v>75</v>
      </c>
      <c r="P47" s="18" t="str">
        <f t="shared" si="21"/>
        <v>Mencapai kompetensi dengan baik dalam hal</v>
      </c>
      <c r="Q47" s="23">
        <v>81</v>
      </c>
      <c r="R47" s="18" t="str">
        <f t="shared" si="22"/>
        <v>Mencapai kompetensi dengan baik dalam hal</v>
      </c>
      <c r="S47" s="23">
        <v>79</v>
      </c>
      <c r="T47" s="18" t="str">
        <f t="shared" si="23"/>
        <v>Mencapai kompetensi dengan baik dalam hal</v>
      </c>
      <c r="U47" s="23">
        <v>76</v>
      </c>
      <c r="V47" s="18" t="str">
        <f t="shared" si="24"/>
        <v>Mencapai kompetensi dengan baik dalam hal</v>
      </c>
      <c r="W47" s="23">
        <v>75</v>
      </c>
      <c r="X47" s="18" t="str">
        <f t="shared" si="25"/>
        <v>Mencapai kompetensi dengan baik dalam hal</v>
      </c>
      <c r="Y47" s="23">
        <v>76</v>
      </c>
      <c r="Z47" s="18" t="str">
        <f t="shared" si="26"/>
        <v>Mencapai kompetensi dengan baik dalam hal</v>
      </c>
      <c r="AA47" s="23">
        <v>78</v>
      </c>
      <c r="AB47" s="18" t="str">
        <f t="shared" si="27"/>
        <v>Mencapai kompetensi dengan baik dalam hal</v>
      </c>
      <c r="AC47" s="23">
        <v>75</v>
      </c>
      <c r="AD47" s="18" t="str">
        <f t="shared" si="28"/>
        <v>Mencapai kompetensi dengan baik dalam hal</v>
      </c>
      <c r="AE47" s="23">
        <v>84</v>
      </c>
      <c r="AF47" s="18" t="str">
        <f t="shared" si="29"/>
        <v>Mencapai kompetensi dengan baik dalam hal</v>
      </c>
      <c r="AG47" s="23">
        <v>89</v>
      </c>
      <c r="AH47" s="18" t="str">
        <f t="shared" si="10"/>
        <v>Mencapai kompetensi dengan baik dalam hal</v>
      </c>
      <c r="AI47" s="23">
        <v>91</v>
      </c>
      <c r="AJ47" s="18" t="str">
        <f t="shared" si="11"/>
        <v>Mencapai kompetensi dengan sangat baik dalam hal</v>
      </c>
      <c r="AK47" s="23">
        <v>89</v>
      </c>
      <c r="AL47" s="18" t="str">
        <f t="shared" si="30"/>
        <v>Mencapai kompetensi dengan baik dalam hal</v>
      </c>
      <c r="AM47" s="23">
        <v>87</v>
      </c>
      <c r="AN47" s="18" t="str">
        <f t="shared" si="31"/>
        <v>Mencapai kompetensi dengan baik dalam hal</v>
      </c>
      <c r="AO47" s="23">
        <v>86</v>
      </c>
      <c r="AP47" s="18" t="str">
        <f t="shared" si="14"/>
        <v>Mencapai kompetensi dengan baik dalam hal</v>
      </c>
      <c r="AQ47" s="23">
        <v>84</v>
      </c>
      <c r="AR47" s="18" t="str">
        <f t="shared" si="32"/>
        <v>Mencapai kompetensi dengan baik dalam hal</v>
      </c>
      <c r="AS47" s="62">
        <f t="shared" si="33"/>
        <v>87.666666666666671</v>
      </c>
      <c r="AT47" s="23">
        <v>75</v>
      </c>
      <c r="AU47" s="18" t="str">
        <f t="shared" si="16"/>
        <v>Mencapai kompetensi dengan baik dalam hal</v>
      </c>
      <c r="AV47" s="23">
        <v>75</v>
      </c>
      <c r="AW47" s="18" t="str">
        <f t="shared" si="34"/>
        <v>Mencapai kompetensi dengan baik dalam hal</v>
      </c>
      <c r="AX47" s="23" t="s">
        <v>81</v>
      </c>
      <c r="AY47" s="23" t="s">
        <v>81</v>
      </c>
      <c r="AZ47" s="23" t="s">
        <v>81</v>
      </c>
      <c r="BA47" s="23">
        <v>1</v>
      </c>
      <c r="BB47" s="23" t="s">
        <v>82</v>
      </c>
      <c r="BC47" s="18" t="s">
        <v>83</v>
      </c>
      <c r="BD47" s="23" t="s">
        <v>86</v>
      </c>
      <c r="BE47" s="18" t="str">
        <f t="shared" si="35"/>
        <v>Sangat baik</v>
      </c>
      <c r="BF47" s="23">
        <v>2</v>
      </c>
      <c r="BG47" s="18" t="s">
        <v>99</v>
      </c>
      <c r="BH47" s="18" t="s">
        <v>83</v>
      </c>
      <c r="BI47" s="23" t="s">
        <v>84</v>
      </c>
      <c r="BJ47" s="18" t="str">
        <f t="shared" si="36"/>
        <v>Baik</v>
      </c>
      <c r="BK47" s="23"/>
      <c r="BL47" s="23"/>
      <c r="BM47" s="23"/>
      <c r="BN47" s="23"/>
      <c r="BO47" s="18"/>
      <c r="BP47" s="54"/>
      <c r="BQ47" s="54"/>
      <c r="BR47" s="54"/>
    </row>
    <row r="48" spans="1:70" ht="24.95" customHeight="1" x14ac:dyDescent="0.25">
      <c r="A48" s="23">
        <v>47</v>
      </c>
      <c r="B48" s="23">
        <v>2525772</v>
      </c>
      <c r="C48" s="23" t="s">
        <v>391</v>
      </c>
      <c r="D48" s="18" t="s">
        <v>392</v>
      </c>
      <c r="E48" s="23" t="s">
        <v>370</v>
      </c>
      <c r="F48" s="23" t="s">
        <v>291</v>
      </c>
      <c r="G48" s="23" t="s">
        <v>371</v>
      </c>
      <c r="H48" s="23" t="s">
        <v>372</v>
      </c>
      <c r="I48" s="60" t="s">
        <v>76</v>
      </c>
      <c r="J48" s="61" t="s">
        <v>77</v>
      </c>
      <c r="K48" s="61" t="s">
        <v>78</v>
      </c>
      <c r="L48" s="61" t="s">
        <v>79</v>
      </c>
      <c r="M48" s="23">
        <v>82</v>
      </c>
      <c r="N48" s="18" t="str">
        <f t="shared" si="20"/>
        <v>Mencapai kompetensi dengan baik dalam hal</v>
      </c>
      <c r="O48" s="23">
        <v>77</v>
      </c>
      <c r="P48" s="18" t="str">
        <f t="shared" si="21"/>
        <v>Mencapai kompetensi dengan baik dalam hal</v>
      </c>
      <c r="Q48" s="23">
        <v>83</v>
      </c>
      <c r="R48" s="18" t="str">
        <f t="shared" si="22"/>
        <v>Mencapai kompetensi dengan baik dalam hal</v>
      </c>
      <c r="S48" s="23">
        <v>78</v>
      </c>
      <c r="T48" s="18" t="str">
        <f t="shared" si="23"/>
        <v>Mencapai kompetensi dengan baik dalam hal</v>
      </c>
      <c r="U48" s="23">
        <v>79</v>
      </c>
      <c r="V48" s="18" t="str">
        <f t="shared" si="24"/>
        <v>Mencapai kompetensi dengan baik dalam hal</v>
      </c>
      <c r="W48" s="23">
        <v>79</v>
      </c>
      <c r="X48" s="18" t="str">
        <f t="shared" si="25"/>
        <v>Mencapai kompetensi dengan baik dalam hal</v>
      </c>
      <c r="Y48" s="23">
        <v>79</v>
      </c>
      <c r="Z48" s="18" t="str">
        <f t="shared" si="26"/>
        <v>Mencapai kompetensi dengan baik dalam hal</v>
      </c>
      <c r="AA48" s="23">
        <v>78</v>
      </c>
      <c r="AB48" s="18" t="str">
        <f t="shared" si="27"/>
        <v>Mencapai kompetensi dengan baik dalam hal</v>
      </c>
      <c r="AC48" s="23">
        <v>83</v>
      </c>
      <c r="AD48" s="18" t="str">
        <f t="shared" si="28"/>
        <v>Mencapai kompetensi dengan baik dalam hal</v>
      </c>
      <c r="AE48" s="23">
        <v>85</v>
      </c>
      <c r="AF48" s="18" t="str">
        <f t="shared" si="29"/>
        <v>Mencapai kompetensi dengan baik dalam hal</v>
      </c>
      <c r="AG48" s="23">
        <v>89</v>
      </c>
      <c r="AH48" s="18" t="str">
        <f t="shared" si="10"/>
        <v>Mencapai kompetensi dengan baik dalam hal</v>
      </c>
      <c r="AI48" s="23">
        <v>96</v>
      </c>
      <c r="AJ48" s="18" t="str">
        <f t="shared" si="11"/>
        <v>Mencapai kompetensi dengan sangat baik dalam hal</v>
      </c>
      <c r="AK48" s="23">
        <v>87</v>
      </c>
      <c r="AL48" s="18" t="str">
        <f t="shared" si="30"/>
        <v>Mencapai kompetensi dengan baik dalam hal</v>
      </c>
      <c r="AM48" s="23">
        <v>87</v>
      </c>
      <c r="AN48" s="18" t="str">
        <f t="shared" si="31"/>
        <v>Mencapai kompetensi dengan baik dalam hal</v>
      </c>
      <c r="AO48" s="23">
        <v>85</v>
      </c>
      <c r="AP48" s="18" t="str">
        <f t="shared" si="14"/>
        <v>Mencapai kompetensi dengan baik dalam hal</v>
      </c>
      <c r="AQ48" s="23">
        <v>83</v>
      </c>
      <c r="AR48" s="18" t="str">
        <f t="shared" si="32"/>
        <v>Mencapai kompetensi dengan baik dalam hal</v>
      </c>
      <c r="AS48" s="62">
        <f t="shared" si="33"/>
        <v>87.833333333333329</v>
      </c>
      <c r="AT48" s="23">
        <v>83</v>
      </c>
      <c r="AU48" s="18" t="str">
        <f t="shared" si="16"/>
        <v>Mencapai kompetensi dengan baik dalam hal</v>
      </c>
      <c r="AV48" s="23">
        <v>80</v>
      </c>
      <c r="AW48" s="18" t="str">
        <f t="shared" si="34"/>
        <v>Mencapai kompetensi dengan baik dalam hal</v>
      </c>
      <c r="AX48" s="23" t="s">
        <v>81</v>
      </c>
      <c r="AY48" s="23" t="s">
        <v>81</v>
      </c>
      <c r="AZ48" s="23" t="s">
        <v>81</v>
      </c>
      <c r="BA48" s="23">
        <v>1</v>
      </c>
      <c r="BB48" s="23" t="s">
        <v>82</v>
      </c>
      <c r="BC48" s="18" t="s">
        <v>83</v>
      </c>
      <c r="BD48" s="23" t="s">
        <v>86</v>
      </c>
      <c r="BE48" s="18" t="str">
        <f t="shared" si="35"/>
        <v>Sangat baik</v>
      </c>
      <c r="BF48" s="23">
        <v>2</v>
      </c>
      <c r="BG48" s="18" t="s">
        <v>103</v>
      </c>
      <c r="BH48" s="18" t="s">
        <v>83</v>
      </c>
      <c r="BI48" s="23" t="s">
        <v>84</v>
      </c>
      <c r="BJ48" s="18" t="str">
        <f t="shared" si="36"/>
        <v>Baik</v>
      </c>
      <c r="BK48" s="23"/>
      <c r="BL48" s="23"/>
      <c r="BM48" s="23"/>
      <c r="BN48" s="23"/>
      <c r="BO48" s="18"/>
      <c r="BP48" s="54"/>
      <c r="BQ48" s="54"/>
      <c r="BR48" s="54"/>
    </row>
    <row r="49" spans="1:70" ht="24.95" customHeight="1" x14ac:dyDescent="0.25">
      <c r="A49" s="23">
        <v>48</v>
      </c>
      <c r="B49" s="23">
        <v>2525773</v>
      </c>
      <c r="C49" s="23" t="s">
        <v>393</v>
      </c>
      <c r="D49" s="18" t="s">
        <v>394</v>
      </c>
      <c r="E49" s="23" t="s">
        <v>370</v>
      </c>
      <c r="F49" s="23" t="s">
        <v>291</v>
      </c>
      <c r="G49" s="23" t="s">
        <v>371</v>
      </c>
      <c r="H49" s="23" t="s">
        <v>372</v>
      </c>
      <c r="I49" s="60" t="s">
        <v>76</v>
      </c>
      <c r="J49" s="61" t="s">
        <v>77</v>
      </c>
      <c r="K49" s="61" t="s">
        <v>78</v>
      </c>
      <c r="L49" s="61" t="s">
        <v>79</v>
      </c>
      <c r="M49" s="23">
        <v>82</v>
      </c>
      <c r="N49" s="18" t="str">
        <f t="shared" si="20"/>
        <v>Mencapai kompetensi dengan baik dalam hal</v>
      </c>
      <c r="O49" s="23">
        <v>76</v>
      </c>
      <c r="P49" s="18" t="str">
        <f t="shared" si="21"/>
        <v>Mencapai kompetensi dengan baik dalam hal</v>
      </c>
      <c r="Q49" s="23">
        <v>81</v>
      </c>
      <c r="R49" s="18" t="str">
        <f t="shared" si="22"/>
        <v>Mencapai kompetensi dengan baik dalam hal</v>
      </c>
      <c r="S49" s="23">
        <v>78</v>
      </c>
      <c r="T49" s="18" t="str">
        <f t="shared" si="23"/>
        <v>Mencapai kompetensi dengan baik dalam hal</v>
      </c>
      <c r="U49" s="23">
        <v>81</v>
      </c>
      <c r="V49" s="18" t="str">
        <f t="shared" si="24"/>
        <v>Mencapai kompetensi dengan baik dalam hal</v>
      </c>
      <c r="W49" s="23">
        <v>80</v>
      </c>
      <c r="X49" s="18" t="str">
        <f t="shared" si="25"/>
        <v>Mencapai kompetensi dengan baik dalam hal</v>
      </c>
      <c r="Y49" s="23">
        <v>75</v>
      </c>
      <c r="Z49" s="18" t="str">
        <f t="shared" si="26"/>
        <v>Mencapai kompetensi dengan baik dalam hal</v>
      </c>
      <c r="AA49" s="23">
        <v>79</v>
      </c>
      <c r="AB49" s="18" t="str">
        <f t="shared" si="27"/>
        <v>Mencapai kompetensi dengan baik dalam hal</v>
      </c>
      <c r="AC49" s="23">
        <v>80</v>
      </c>
      <c r="AD49" s="18" t="str">
        <f t="shared" si="28"/>
        <v>Mencapai kompetensi dengan baik dalam hal</v>
      </c>
      <c r="AE49" s="23">
        <v>80</v>
      </c>
      <c r="AF49" s="18" t="str">
        <f t="shared" si="29"/>
        <v>Mencapai kompetensi dengan baik dalam hal</v>
      </c>
      <c r="AG49" s="23">
        <v>85</v>
      </c>
      <c r="AH49" s="18" t="str">
        <f t="shared" si="10"/>
        <v>Mencapai kompetensi dengan baik dalam hal</v>
      </c>
      <c r="AI49" s="23">
        <v>81</v>
      </c>
      <c r="AJ49" s="18" t="str">
        <f t="shared" si="11"/>
        <v>Mencapai kompetensi dengan baik dalam hal</v>
      </c>
      <c r="AK49" s="23">
        <v>81</v>
      </c>
      <c r="AL49" s="18" t="str">
        <f t="shared" si="30"/>
        <v>Mencapai kompetensi dengan baik dalam hal</v>
      </c>
      <c r="AM49" s="23">
        <v>83</v>
      </c>
      <c r="AN49" s="18" t="str">
        <f t="shared" si="31"/>
        <v>Mencapai kompetensi dengan baik dalam hal</v>
      </c>
      <c r="AO49" s="23">
        <v>82</v>
      </c>
      <c r="AP49" s="18" t="str">
        <f t="shared" si="14"/>
        <v>Mencapai kompetensi dengan baik dalam hal</v>
      </c>
      <c r="AQ49" s="23">
        <v>83</v>
      </c>
      <c r="AR49" s="18" t="str">
        <f t="shared" si="32"/>
        <v>Mencapai kompetensi dengan baik dalam hal</v>
      </c>
      <c r="AS49" s="62">
        <f t="shared" si="33"/>
        <v>82.5</v>
      </c>
      <c r="AT49" s="23">
        <v>80</v>
      </c>
      <c r="AU49" s="18" t="str">
        <f t="shared" si="16"/>
        <v>Mencapai kompetensi dengan baik dalam hal</v>
      </c>
      <c r="AV49" s="23">
        <v>76</v>
      </c>
      <c r="AW49" s="18" t="str">
        <f t="shared" si="34"/>
        <v>Mencapai kompetensi dengan baik dalam hal</v>
      </c>
      <c r="AX49" s="23">
        <v>1</v>
      </c>
      <c r="AY49" s="23" t="s">
        <v>81</v>
      </c>
      <c r="AZ49" s="23" t="s">
        <v>81</v>
      </c>
      <c r="BA49" s="23">
        <v>1</v>
      </c>
      <c r="BB49" s="23" t="s">
        <v>82</v>
      </c>
      <c r="BC49" s="18" t="s">
        <v>83</v>
      </c>
      <c r="BD49" s="23" t="s">
        <v>84</v>
      </c>
      <c r="BE49" s="18" t="str">
        <f t="shared" si="35"/>
        <v>Baik</v>
      </c>
      <c r="BF49" s="23">
        <v>2</v>
      </c>
      <c r="BG49" s="18" t="s">
        <v>162</v>
      </c>
      <c r="BH49" s="18" t="s">
        <v>83</v>
      </c>
      <c r="BI49" s="23" t="s">
        <v>86</v>
      </c>
      <c r="BJ49" s="18" t="str">
        <f t="shared" si="36"/>
        <v>Sangat baik</v>
      </c>
      <c r="BK49" s="23"/>
      <c r="BL49" s="23"/>
      <c r="BM49" s="23"/>
      <c r="BN49" s="23"/>
      <c r="BO49" s="18"/>
      <c r="BP49" s="54"/>
      <c r="BQ49" s="54"/>
      <c r="BR49" s="54"/>
    </row>
    <row r="50" spans="1:70" ht="24.95" customHeight="1" x14ac:dyDescent="0.25">
      <c r="A50" s="23">
        <v>49</v>
      </c>
      <c r="B50" s="23">
        <v>2525774</v>
      </c>
      <c r="C50" s="23" t="s">
        <v>395</v>
      </c>
      <c r="D50" s="18" t="s">
        <v>396</v>
      </c>
      <c r="E50" s="23" t="s">
        <v>370</v>
      </c>
      <c r="F50" s="23" t="s">
        <v>291</v>
      </c>
      <c r="G50" s="23" t="s">
        <v>371</v>
      </c>
      <c r="H50" s="23" t="s">
        <v>372</v>
      </c>
      <c r="I50" s="60" t="s">
        <v>76</v>
      </c>
      <c r="J50" s="61" t="s">
        <v>77</v>
      </c>
      <c r="K50" s="61" t="s">
        <v>78</v>
      </c>
      <c r="L50" s="61" t="s">
        <v>79</v>
      </c>
      <c r="M50" s="23">
        <v>83</v>
      </c>
      <c r="N50" s="18" t="str">
        <f t="shared" si="20"/>
        <v>Mencapai kompetensi dengan baik dalam hal</v>
      </c>
      <c r="O50" s="23">
        <v>75</v>
      </c>
      <c r="P50" s="18" t="str">
        <f t="shared" si="21"/>
        <v>Mencapai kompetensi dengan baik dalam hal</v>
      </c>
      <c r="Q50" s="23">
        <v>80</v>
      </c>
      <c r="R50" s="18" t="str">
        <f t="shared" si="22"/>
        <v>Mencapai kompetensi dengan baik dalam hal</v>
      </c>
      <c r="S50" s="23">
        <v>80</v>
      </c>
      <c r="T50" s="18" t="str">
        <f t="shared" si="23"/>
        <v>Mencapai kompetensi dengan baik dalam hal</v>
      </c>
      <c r="U50" s="23">
        <v>81</v>
      </c>
      <c r="V50" s="18" t="str">
        <f t="shared" si="24"/>
        <v>Mencapai kompetensi dengan baik dalam hal</v>
      </c>
      <c r="W50" s="23">
        <v>76</v>
      </c>
      <c r="X50" s="18" t="str">
        <f t="shared" si="25"/>
        <v>Mencapai kompetensi dengan baik dalam hal</v>
      </c>
      <c r="Y50" s="23">
        <v>75</v>
      </c>
      <c r="Z50" s="18" t="str">
        <f t="shared" si="26"/>
        <v>Mencapai kompetensi dengan baik dalam hal</v>
      </c>
      <c r="AA50" s="23">
        <v>78</v>
      </c>
      <c r="AB50" s="18" t="str">
        <f t="shared" si="27"/>
        <v>Mencapai kompetensi dengan baik dalam hal</v>
      </c>
      <c r="AC50" s="23">
        <v>75</v>
      </c>
      <c r="AD50" s="18" t="str">
        <f t="shared" si="28"/>
        <v>Mencapai kompetensi dengan baik dalam hal</v>
      </c>
      <c r="AE50" s="23">
        <v>80</v>
      </c>
      <c r="AF50" s="18" t="str">
        <f t="shared" si="29"/>
        <v>Mencapai kompetensi dengan baik dalam hal</v>
      </c>
      <c r="AG50" s="23">
        <v>80</v>
      </c>
      <c r="AH50" s="18" t="str">
        <f t="shared" si="10"/>
        <v>Mencapai kompetensi dengan baik dalam hal</v>
      </c>
      <c r="AI50" s="23">
        <v>84</v>
      </c>
      <c r="AJ50" s="18" t="str">
        <f t="shared" si="11"/>
        <v>Mencapai kompetensi dengan baik dalam hal</v>
      </c>
      <c r="AK50" s="23">
        <v>87</v>
      </c>
      <c r="AL50" s="18" t="str">
        <f t="shared" si="30"/>
        <v>Mencapai kompetensi dengan baik dalam hal</v>
      </c>
      <c r="AM50" s="23">
        <v>80</v>
      </c>
      <c r="AN50" s="18" t="str">
        <f t="shared" si="31"/>
        <v>Mencapai kompetensi dengan baik dalam hal</v>
      </c>
      <c r="AO50" s="23">
        <v>81</v>
      </c>
      <c r="AP50" s="18" t="str">
        <f t="shared" si="14"/>
        <v>Mencapai kompetensi dengan baik dalam hal</v>
      </c>
      <c r="AQ50" s="23">
        <v>82</v>
      </c>
      <c r="AR50" s="18" t="str">
        <f t="shared" si="32"/>
        <v>Mencapai kompetensi dengan baik dalam hal</v>
      </c>
      <c r="AS50" s="62">
        <f t="shared" si="33"/>
        <v>82.333333333333329</v>
      </c>
      <c r="AT50" s="23">
        <v>75</v>
      </c>
      <c r="AU50" s="18" t="str">
        <f t="shared" si="16"/>
        <v>Mencapai kompetensi dengan baik dalam hal</v>
      </c>
      <c r="AV50" s="23">
        <v>76</v>
      </c>
      <c r="AW50" s="18" t="str">
        <f t="shared" si="34"/>
        <v>Mencapai kompetensi dengan baik dalam hal</v>
      </c>
      <c r="AX50" s="23" t="s">
        <v>81</v>
      </c>
      <c r="AY50" s="23" t="s">
        <v>81</v>
      </c>
      <c r="AZ50" s="23" t="s">
        <v>81</v>
      </c>
      <c r="BA50" s="23">
        <v>1</v>
      </c>
      <c r="BB50" s="23" t="s">
        <v>82</v>
      </c>
      <c r="BC50" s="18" t="s">
        <v>83</v>
      </c>
      <c r="BD50" s="23" t="s">
        <v>86</v>
      </c>
      <c r="BE50" s="18" t="str">
        <f t="shared" si="35"/>
        <v>Sangat baik</v>
      </c>
      <c r="BF50" s="23">
        <v>2</v>
      </c>
      <c r="BG50" s="18" t="s">
        <v>179</v>
      </c>
      <c r="BH50" s="18" t="s">
        <v>83</v>
      </c>
      <c r="BI50" s="23" t="s">
        <v>86</v>
      </c>
      <c r="BJ50" s="18" t="str">
        <f t="shared" si="36"/>
        <v>Sangat baik</v>
      </c>
      <c r="BK50" s="23"/>
      <c r="BL50" s="23"/>
      <c r="BM50" s="23"/>
      <c r="BN50" s="23"/>
      <c r="BO50" s="18"/>
      <c r="BP50" s="54"/>
      <c r="BQ50" s="54"/>
      <c r="BR50" s="54"/>
    </row>
    <row r="51" spans="1:70" ht="24.95" customHeight="1" x14ac:dyDescent="0.25">
      <c r="A51" s="23">
        <v>50</v>
      </c>
      <c r="B51" s="23">
        <v>2525775</v>
      </c>
      <c r="C51" s="23" t="s">
        <v>397</v>
      </c>
      <c r="D51" s="18" t="s">
        <v>398</v>
      </c>
      <c r="E51" s="23" t="s">
        <v>370</v>
      </c>
      <c r="F51" s="23" t="s">
        <v>291</v>
      </c>
      <c r="G51" s="23" t="s">
        <v>371</v>
      </c>
      <c r="H51" s="23" t="s">
        <v>372</v>
      </c>
      <c r="I51" s="60" t="s">
        <v>76</v>
      </c>
      <c r="J51" s="61" t="s">
        <v>77</v>
      </c>
      <c r="K51" s="61" t="s">
        <v>78</v>
      </c>
      <c r="L51" s="61" t="s">
        <v>79</v>
      </c>
      <c r="M51" s="23">
        <v>83</v>
      </c>
      <c r="N51" s="18" t="str">
        <f t="shared" si="20"/>
        <v>Mencapai kompetensi dengan baik dalam hal</v>
      </c>
      <c r="O51" s="23">
        <v>78</v>
      </c>
      <c r="P51" s="18" t="str">
        <f t="shared" si="21"/>
        <v>Mencapai kompetensi dengan baik dalam hal</v>
      </c>
      <c r="Q51" s="23">
        <v>83</v>
      </c>
      <c r="R51" s="18" t="str">
        <f t="shared" si="22"/>
        <v>Mencapai kompetensi dengan baik dalam hal</v>
      </c>
      <c r="S51" s="23">
        <v>78</v>
      </c>
      <c r="T51" s="18" t="str">
        <f t="shared" si="23"/>
        <v>Mencapai kompetensi dengan baik dalam hal</v>
      </c>
      <c r="U51" s="23">
        <v>77</v>
      </c>
      <c r="V51" s="18" t="str">
        <f t="shared" si="24"/>
        <v>Mencapai kompetensi dengan baik dalam hal</v>
      </c>
      <c r="W51" s="23">
        <v>79</v>
      </c>
      <c r="X51" s="18" t="str">
        <f t="shared" si="25"/>
        <v>Mencapai kompetensi dengan baik dalam hal</v>
      </c>
      <c r="Y51" s="23">
        <v>83</v>
      </c>
      <c r="Z51" s="18" t="str">
        <f t="shared" si="26"/>
        <v>Mencapai kompetensi dengan baik dalam hal</v>
      </c>
      <c r="AA51" s="23">
        <v>80</v>
      </c>
      <c r="AB51" s="18" t="str">
        <f t="shared" si="27"/>
        <v>Mencapai kompetensi dengan baik dalam hal</v>
      </c>
      <c r="AC51" s="23">
        <v>82</v>
      </c>
      <c r="AD51" s="18" t="str">
        <f t="shared" si="28"/>
        <v>Mencapai kompetensi dengan baik dalam hal</v>
      </c>
      <c r="AE51" s="23">
        <v>85</v>
      </c>
      <c r="AF51" s="18" t="str">
        <f t="shared" si="29"/>
        <v>Mencapai kompetensi dengan baik dalam hal</v>
      </c>
      <c r="AG51" s="23">
        <v>88</v>
      </c>
      <c r="AH51" s="18" t="str">
        <f t="shared" si="10"/>
        <v>Mencapai kompetensi dengan baik dalam hal</v>
      </c>
      <c r="AI51" s="23">
        <v>92</v>
      </c>
      <c r="AJ51" s="18" t="str">
        <f t="shared" si="11"/>
        <v>Mencapai kompetensi dengan sangat baik dalam hal</v>
      </c>
      <c r="AK51" s="23">
        <v>91</v>
      </c>
      <c r="AL51" s="18" t="str">
        <f t="shared" si="30"/>
        <v>Mencapai kompetensi dengan sangat baik dalam hal</v>
      </c>
      <c r="AM51" s="23">
        <v>79</v>
      </c>
      <c r="AN51" s="18" t="str">
        <f t="shared" si="31"/>
        <v>Mencapai kompetensi dengan baik dalam hal</v>
      </c>
      <c r="AO51" s="23">
        <v>82</v>
      </c>
      <c r="AP51" s="18" t="str">
        <f t="shared" si="14"/>
        <v>Mencapai kompetensi dengan baik dalam hal</v>
      </c>
      <c r="AQ51" s="23">
        <v>83</v>
      </c>
      <c r="AR51" s="18" t="str">
        <f t="shared" si="32"/>
        <v>Mencapai kompetensi dengan baik dalam hal</v>
      </c>
      <c r="AS51" s="62">
        <f t="shared" si="33"/>
        <v>85.833333333333329</v>
      </c>
      <c r="AT51" s="23">
        <v>82</v>
      </c>
      <c r="AU51" s="18" t="str">
        <f t="shared" si="16"/>
        <v>Mencapai kompetensi dengan baik dalam hal</v>
      </c>
      <c r="AV51" s="23">
        <v>82</v>
      </c>
      <c r="AW51" s="18" t="str">
        <f t="shared" si="34"/>
        <v>Mencapai kompetensi dengan baik dalam hal</v>
      </c>
      <c r="AX51" s="23">
        <v>2</v>
      </c>
      <c r="AY51" s="23" t="s">
        <v>81</v>
      </c>
      <c r="AZ51" s="23" t="s">
        <v>81</v>
      </c>
      <c r="BA51" s="23">
        <v>1</v>
      </c>
      <c r="BB51" s="23" t="s">
        <v>82</v>
      </c>
      <c r="BC51" s="18" t="s">
        <v>83</v>
      </c>
      <c r="BD51" s="23" t="s">
        <v>84</v>
      </c>
      <c r="BE51" s="18" t="str">
        <f t="shared" si="35"/>
        <v>Baik</v>
      </c>
      <c r="BF51" s="23">
        <v>2</v>
      </c>
      <c r="BG51" s="18" t="s">
        <v>108</v>
      </c>
      <c r="BH51" s="18" t="s">
        <v>83</v>
      </c>
      <c r="BI51" s="23" t="s">
        <v>86</v>
      </c>
      <c r="BJ51" s="18" t="str">
        <f t="shared" si="36"/>
        <v>Sangat baik</v>
      </c>
      <c r="BK51" s="23"/>
      <c r="BL51" s="23"/>
      <c r="BM51" s="23"/>
      <c r="BN51" s="23"/>
      <c r="BO51" s="18"/>
      <c r="BP51" s="54"/>
      <c r="BQ51" s="54"/>
      <c r="BR51" s="54"/>
    </row>
    <row r="52" spans="1:70" ht="24.95" customHeight="1" x14ac:dyDescent="0.25">
      <c r="A52" s="23">
        <v>51</v>
      </c>
      <c r="B52" s="23">
        <v>2525776</v>
      </c>
      <c r="C52" s="23" t="s">
        <v>399</v>
      </c>
      <c r="D52" s="18" t="s">
        <v>400</v>
      </c>
      <c r="E52" s="23" t="s">
        <v>370</v>
      </c>
      <c r="F52" s="23" t="s">
        <v>291</v>
      </c>
      <c r="G52" s="23" t="s">
        <v>371</v>
      </c>
      <c r="H52" s="23" t="s">
        <v>372</v>
      </c>
      <c r="I52" s="60" t="s">
        <v>76</v>
      </c>
      <c r="J52" s="61" t="s">
        <v>77</v>
      </c>
      <c r="K52" s="61" t="s">
        <v>78</v>
      </c>
      <c r="L52" s="61" t="s">
        <v>79</v>
      </c>
      <c r="M52" s="23">
        <v>78</v>
      </c>
      <c r="N52" s="18" t="str">
        <f t="shared" si="20"/>
        <v>Mencapai kompetensi dengan baik dalam hal</v>
      </c>
      <c r="O52" s="23">
        <v>75</v>
      </c>
      <c r="P52" s="18" t="str">
        <f t="shared" si="21"/>
        <v>Mencapai kompetensi dengan baik dalam hal</v>
      </c>
      <c r="Q52" s="23">
        <v>82</v>
      </c>
      <c r="R52" s="18" t="str">
        <f t="shared" si="22"/>
        <v>Mencapai kompetensi dengan baik dalam hal</v>
      </c>
      <c r="S52" s="23">
        <v>79</v>
      </c>
      <c r="T52" s="18" t="str">
        <f t="shared" si="23"/>
        <v>Mencapai kompetensi dengan baik dalam hal</v>
      </c>
      <c r="U52" s="23">
        <v>78</v>
      </c>
      <c r="V52" s="18" t="str">
        <f t="shared" si="24"/>
        <v>Mencapai kompetensi dengan baik dalam hal</v>
      </c>
      <c r="W52" s="23">
        <v>76</v>
      </c>
      <c r="X52" s="18" t="str">
        <f t="shared" si="25"/>
        <v>Mencapai kompetensi dengan baik dalam hal</v>
      </c>
      <c r="Y52" s="23">
        <v>75</v>
      </c>
      <c r="Z52" s="18" t="str">
        <f t="shared" si="26"/>
        <v>Mencapai kompetensi dengan baik dalam hal</v>
      </c>
      <c r="AA52" s="23">
        <v>75</v>
      </c>
      <c r="AB52" s="18" t="str">
        <f t="shared" si="27"/>
        <v>Mencapai kompetensi dengan baik dalam hal</v>
      </c>
      <c r="AC52" s="23">
        <v>78</v>
      </c>
      <c r="AD52" s="18" t="str">
        <f t="shared" si="28"/>
        <v>Mencapai kompetensi dengan baik dalam hal</v>
      </c>
      <c r="AE52" s="23">
        <v>87</v>
      </c>
      <c r="AF52" s="18" t="str">
        <f t="shared" si="29"/>
        <v>Mencapai kompetensi dengan baik dalam hal</v>
      </c>
      <c r="AG52" s="23">
        <v>84</v>
      </c>
      <c r="AH52" s="18" t="str">
        <f t="shared" si="10"/>
        <v>Mencapai kompetensi dengan baik dalam hal</v>
      </c>
      <c r="AI52" s="23">
        <v>92</v>
      </c>
      <c r="AJ52" s="18" t="str">
        <f t="shared" si="11"/>
        <v>Mencapai kompetensi dengan sangat baik dalam hal</v>
      </c>
      <c r="AK52" s="23">
        <v>92</v>
      </c>
      <c r="AL52" s="18" t="str">
        <f t="shared" si="30"/>
        <v>Mencapai kompetensi dengan sangat baik dalam hal</v>
      </c>
      <c r="AM52" s="23">
        <v>77</v>
      </c>
      <c r="AN52" s="18" t="str">
        <f t="shared" si="31"/>
        <v>Mencapai kompetensi dengan baik dalam hal</v>
      </c>
      <c r="AO52" s="23">
        <v>80</v>
      </c>
      <c r="AP52" s="18" t="str">
        <f t="shared" si="14"/>
        <v>Mencapai kompetensi dengan baik dalam hal</v>
      </c>
      <c r="AQ52" s="23">
        <v>83</v>
      </c>
      <c r="AR52" s="18" t="str">
        <f t="shared" si="32"/>
        <v>Mencapai kompetensi dengan baik dalam hal</v>
      </c>
      <c r="AS52" s="62">
        <f t="shared" si="33"/>
        <v>84.666666666666671</v>
      </c>
      <c r="AT52" s="23">
        <v>78</v>
      </c>
      <c r="AU52" s="18" t="str">
        <f t="shared" si="16"/>
        <v>Mencapai kompetensi dengan baik dalam hal</v>
      </c>
      <c r="AV52" s="23">
        <v>80</v>
      </c>
      <c r="AW52" s="18" t="str">
        <f t="shared" si="34"/>
        <v>Mencapai kompetensi dengan baik dalam hal</v>
      </c>
      <c r="AX52" s="23" t="s">
        <v>81</v>
      </c>
      <c r="AY52" s="23" t="s">
        <v>81</v>
      </c>
      <c r="AZ52" s="23" t="s">
        <v>81</v>
      </c>
      <c r="BA52" s="23">
        <v>1</v>
      </c>
      <c r="BB52" s="23" t="s">
        <v>82</v>
      </c>
      <c r="BC52" s="18" t="s">
        <v>83</v>
      </c>
      <c r="BD52" s="23" t="s">
        <v>86</v>
      </c>
      <c r="BE52" s="18" t="str">
        <f t="shared" si="35"/>
        <v>Sangat baik</v>
      </c>
      <c r="BF52" s="23">
        <v>2</v>
      </c>
      <c r="BG52" s="18" t="s">
        <v>103</v>
      </c>
      <c r="BH52" s="18" t="s">
        <v>83</v>
      </c>
      <c r="BI52" s="23" t="s">
        <v>84</v>
      </c>
      <c r="BJ52" s="18" t="str">
        <f t="shared" si="36"/>
        <v>Baik</v>
      </c>
      <c r="BK52" s="23"/>
      <c r="BL52" s="23"/>
      <c r="BM52" s="23"/>
      <c r="BN52" s="23"/>
      <c r="BO52" s="18"/>
      <c r="BP52" s="54"/>
      <c r="BQ52" s="54"/>
      <c r="BR52" s="54"/>
    </row>
    <row r="53" spans="1:70" ht="24.95" customHeight="1" x14ac:dyDescent="0.25">
      <c r="A53" s="23">
        <v>52</v>
      </c>
      <c r="B53" s="23">
        <v>2525777</v>
      </c>
      <c r="C53" s="23" t="s">
        <v>401</v>
      </c>
      <c r="D53" s="18" t="s">
        <v>402</v>
      </c>
      <c r="E53" s="23" t="s">
        <v>370</v>
      </c>
      <c r="F53" s="23" t="s">
        <v>291</v>
      </c>
      <c r="G53" s="23" t="s">
        <v>371</v>
      </c>
      <c r="H53" s="23" t="s">
        <v>372</v>
      </c>
      <c r="I53" s="60" t="s">
        <v>76</v>
      </c>
      <c r="J53" s="61" t="s">
        <v>77</v>
      </c>
      <c r="K53" s="61" t="s">
        <v>78</v>
      </c>
      <c r="L53" s="61" t="s">
        <v>79</v>
      </c>
      <c r="M53" s="23">
        <v>80</v>
      </c>
      <c r="N53" s="18" t="str">
        <f t="shared" si="20"/>
        <v>Mencapai kompetensi dengan baik dalam hal</v>
      </c>
      <c r="O53" s="23">
        <v>77</v>
      </c>
      <c r="P53" s="18" t="str">
        <f t="shared" si="21"/>
        <v>Mencapai kompetensi dengan baik dalam hal</v>
      </c>
      <c r="Q53" s="23">
        <v>82</v>
      </c>
      <c r="R53" s="18" t="str">
        <f t="shared" si="22"/>
        <v>Mencapai kompetensi dengan baik dalam hal</v>
      </c>
      <c r="S53" s="23">
        <v>78</v>
      </c>
      <c r="T53" s="18" t="str">
        <f t="shared" si="23"/>
        <v>Mencapai kompetensi dengan baik dalam hal</v>
      </c>
      <c r="U53" s="23">
        <v>83</v>
      </c>
      <c r="V53" s="18" t="str">
        <f t="shared" si="24"/>
        <v>Mencapai kompetensi dengan baik dalam hal</v>
      </c>
      <c r="W53" s="23">
        <v>82</v>
      </c>
      <c r="X53" s="18" t="str">
        <f t="shared" si="25"/>
        <v>Mencapai kompetensi dengan baik dalam hal</v>
      </c>
      <c r="Y53" s="23">
        <v>82</v>
      </c>
      <c r="Z53" s="18" t="str">
        <f t="shared" si="26"/>
        <v>Mencapai kompetensi dengan baik dalam hal</v>
      </c>
      <c r="AA53" s="23">
        <v>75</v>
      </c>
      <c r="AB53" s="18" t="str">
        <f t="shared" si="27"/>
        <v>Mencapai kompetensi dengan baik dalam hal</v>
      </c>
      <c r="AC53" s="23">
        <v>82</v>
      </c>
      <c r="AD53" s="18" t="str">
        <f t="shared" si="28"/>
        <v>Mencapai kompetensi dengan baik dalam hal</v>
      </c>
      <c r="AE53" s="23">
        <v>88</v>
      </c>
      <c r="AF53" s="18" t="str">
        <f t="shared" si="29"/>
        <v>Mencapai kompetensi dengan baik dalam hal</v>
      </c>
      <c r="AG53" s="23">
        <v>83</v>
      </c>
      <c r="AH53" s="18" t="str">
        <f t="shared" si="10"/>
        <v>Mencapai kompetensi dengan baik dalam hal</v>
      </c>
      <c r="AI53" s="23">
        <v>94</v>
      </c>
      <c r="AJ53" s="18" t="str">
        <f t="shared" si="11"/>
        <v>Mencapai kompetensi dengan sangat baik dalam hal</v>
      </c>
      <c r="AK53" s="23">
        <v>93</v>
      </c>
      <c r="AL53" s="18" t="str">
        <f t="shared" si="30"/>
        <v>Mencapai kompetensi dengan sangat baik dalam hal</v>
      </c>
      <c r="AM53" s="23">
        <v>79</v>
      </c>
      <c r="AN53" s="18" t="str">
        <f t="shared" si="31"/>
        <v>Mencapai kompetensi dengan baik dalam hal</v>
      </c>
      <c r="AO53" s="23">
        <v>80</v>
      </c>
      <c r="AP53" s="18" t="str">
        <f t="shared" si="14"/>
        <v>Mencapai kompetensi dengan baik dalam hal</v>
      </c>
      <c r="AQ53" s="23">
        <v>85</v>
      </c>
      <c r="AR53" s="18" t="str">
        <f t="shared" si="32"/>
        <v>Mencapai kompetensi dengan baik dalam hal</v>
      </c>
      <c r="AS53" s="62">
        <f t="shared" si="33"/>
        <v>85.666666666666671</v>
      </c>
      <c r="AT53" s="23">
        <v>82</v>
      </c>
      <c r="AU53" s="18" t="str">
        <f t="shared" si="16"/>
        <v>Mencapai kompetensi dengan baik dalam hal</v>
      </c>
      <c r="AV53" s="23">
        <v>79</v>
      </c>
      <c r="AW53" s="18" t="str">
        <f t="shared" si="34"/>
        <v>Mencapai kompetensi dengan baik dalam hal</v>
      </c>
      <c r="AX53" s="23">
        <v>5</v>
      </c>
      <c r="AY53" s="23" t="s">
        <v>81</v>
      </c>
      <c r="AZ53" s="23" t="s">
        <v>81</v>
      </c>
      <c r="BA53" s="23">
        <v>1</v>
      </c>
      <c r="BB53" s="23" t="s">
        <v>82</v>
      </c>
      <c r="BC53" s="18" t="s">
        <v>83</v>
      </c>
      <c r="BD53" s="23" t="s">
        <v>84</v>
      </c>
      <c r="BE53" s="18" t="str">
        <f t="shared" si="35"/>
        <v>Baik</v>
      </c>
      <c r="BF53" s="23">
        <v>2</v>
      </c>
      <c r="BG53" s="18" t="s">
        <v>85</v>
      </c>
      <c r="BH53" s="18" t="s">
        <v>83</v>
      </c>
      <c r="BI53" s="23" t="s">
        <v>84</v>
      </c>
      <c r="BJ53" s="18" t="str">
        <f t="shared" si="36"/>
        <v>Baik</v>
      </c>
      <c r="BK53" s="23">
        <v>3</v>
      </c>
      <c r="BL53" s="23" t="s">
        <v>87</v>
      </c>
      <c r="BM53" s="23" t="s">
        <v>83</v>
      </c>
      <c r="BN53" s="23" t="s">
        <v>84</v>
      </c>
      <c r="BO53" s="18" t="str">
        <f>VLOOKUP(BN53,grades4,2,TRUE)</f>
        <v>Baik</v>
      </c>
      <c r="BP53" s="54"/>
      <c r="BQ53" s="54"/>
      <c r="BR53" s="54"/>
    </row>
    <row r="54" spans="1:70" ht="24.95" customHeight="1" x14ac:dyDescent="0.25">
      <c r="A54" s="23">
        <v>53</v>
      </c>
      <c r="B54" s="23">
        <v>2525778</v>
      </c>
      <c r="C54" s="23" t="s">
        <v>403</v>
      </c>
      <c r="D54" s="18" t="s">
        <v>404</v>
      </c>
      <c r="E54" s="23" t="s">
        <v>370</v>
      </c>
      <c r="F54" s="23" t="s">
        <v>291</v>
      </c>
      <c r="G54" s="23" t="s">
        <v>371</v>
      </c>
      <c r="H54" s="23" t="s">
        <v>372</v>
      </c>
      <c r="I54" s="60" t="s">
        <v>76</v>
      </c>
      <c r="J54" s="61" t="s">
        <v>77</v>
      </c>
      <c r="K54" s="61" t="s">
        <v>78</v>
      </c>
      <c r="L54" s="61" t="s">
        <v>79</v>
      </c>
      <c r="M54" s="23">
        <v>81</v>
      </c>
      <c r="N54" s="18" t="str">
        <f t="shared" si="20"/>
        <v>Mencapai kompetensi dengan baik dalam hal</v>
      </c>
      <c r="O54" s="23">
        <v>77</v>
      </c>
      <c r="P54" s="18" t="str">
        <f t="shared" si="21"/>
        <v>Mencapai kompetensi dengan baik dalam hal</v>
      </c>
      <c r="Q54" s="23">
        <v>81</v>
      </c>
      <c r="R54" s="18" t="str">
        <f t="shared" si="22"/>
        <v>Mencapai kompetensi dengan baik dalam hal</v>
      </c>
      <c r="S54" s="23">
        <v>79</v>
      </c>
      <c r="T54" s="18" t="str">
        <f t="shared" si="23"/>
        <v>Mencapai kompetensi dengan baik dalam hal</v>
      </c>
      <c r="U54" s="23">
        <v>78</v>
      </c>
      <c r="V54" s="18" t="str">
        <f t="shared" si="24"/>
        <v>Mencapai kompetensi dengan baik dalam hal</v>
      </c>
      <c r="W54" s="23">
        <v>79</v>
      </c>
      <c r="X54" s="18" t="str">
        <f t="shared" si="25"/>
        <v>Mencapai kompetensi dengan baik dalam hal</v>
      </c>
      <c r="Y54" s="23">
        <v>77</v>
      </c>
      <c r="Z54" s="18" t="str">
        <f t="shared" si="26"/>
        <v>Mencapai kompetensi dengan baik dalam hal</v>
      </c>
      <c r="AA54" s="23">
        <v>79</v>
      </c>
      <c r="AB54" s="18" t="str">
        <f t="shared" si="27"/>
        <v>Mencapai kompetensi dengan baik dalam hal</v>
      </c>
      <c r="AC54" s="23">
        <v>84</v>
      </c>
      <c r="AD54" s="18" t="str">
        <f t="shared" si="28"/>
        <v>Mencapai kompetensi dengan baik dalam hal</v>
      </c>
      <c r="AE54" s="23">
        <v>86</v>
      </c>
      <c r="AF54" s="18" t="str">
        <f t="shared" si="29"/>
        <v>Mencapai kompetensi dengan baik dalam hal</v>
      </c>
      <c r="AG54" s="23">
        <v>89</v>
      </c>
      <c r="AH54" s="18" t="str">
        <f t="shared" si="10"/>
        <v>Mencapai kompetensi dengan baik dalam hal</v>
      </c>
      <c r="AI54" s="23">
        <v>92</v>
      </c>
      <c r="AJ54" s="18" t="str">
        <f t="shared" si="11"/>
        <v>Mencapai kompetensi dengan sangat baik dalam hal</v>
      </c>
      <c r="AK54" s="23">
        <v>87</v>
      </c>
      <c r="AL54" s="18" t="str">
        <f t="shared" si="30"/>
        <v>Mencapai kompetensi dengan baik dalam hal</v>
      </c>
      <c r="AM54" s="23">
        <v>90</v>
      </c>
      <c r="AN54" s="18" t="str">
        <f t="shared" si="31"/>
        <v>Mencapai kompetensi dengan sangat baik dalam hal</v>
      </c>
      <c r="AO54" s="23">
        <v>83</v>
      </c>
      <c r="AP54" s="18" t="str">
        <f t="shared" si="14"/>
        <v>Mencapai kompetensi dengan baik dalam hal</v>
      </c>
      <c r="AQ54" s="23">
        <v>83</v>
      </c>
      <c r="AR54" s="18" t="str">
        <f t="shared" si="32"/>
        <v>Mencapai kompetensi dengan baik dalam hal</v>
      </c>
      <c r="AS54" s="62">
        <f t="shared" si="33"/>
        <v>87.333333333333329</v>
      </c>
      <c r="AT54" s="23">
        <v>84</v>
      </c>
      <c r="AU54" s="18" t="str">
        <f t="shared" si="16"/>
        <v>Mencapai kompetensi dengan baik dalam hal</v>
      </c>
      <c r="AV54" s="23">
        <v>80</v>
      </c>
      <c r="AW54" s="18" t="str">
        <f t="shared" si="34"/>
        <v>Mencapai kompetensi dengan baik dalam hal</v>
      </c>
      <c r="AX54" s="23" t="s">
        <v>81</v>
      </c>
      <c r="AY54" s="23" t="s">
        <v>81</v>
      </c>
      <c r="AZ54" s="23" t="s">
        <v>81</v>
      </c>
      <c r="BA54" s="23">
        <v>1</v>
      </c>
      <c r="BB54" s="23" t="s">
        <v>82</v>
      </c>
      <c r="BC54" s="18" t="s">
        <v>83</v>
      </c>
      <c r="BD54" s="23" t="s">
        <v>84</v>
      </c>
      <c r="BE54" s="18" t="str">
        <f t="shared" si="35"/>
        <v>Baik</v>
      </c>
      <c r="BF54" s="23">
        <v>2</v>
      </c>
      <c r="BG54" s="18" t="s">
        <v>103</v>
      </c>
      <c r="BH54" s="18" t="s">
        <v>83</v>
      </c>
      <c r="BI54" s="23" t="s">
        <v>84</v>
      </c>
      <c r="BJ54" s="18" t="str">
        <f t="shared" si="36"/>
        <v>Baik</v>
      </c>
      <c r="BK54" s="23"/>
      <c r="BL54" s="23"/>
      <c r="BM54" s="23"/>
      <c r="BN54" s="23"/>
      <c r="BO54" s="18"/>
      <c r="BP54" s="54"/>
      <c r="BQ54" s="54"/>
      <c r="BR54" s="54"/>
    </row>
    <row r="55" spans="1:70" ht="24.95" customHeight="1" x14ac:dyDescent="0.25">
      <c r="A55" s="23">
        <v>54</v>
      </c>
      <c r="B55" s="23">
        <v>2525779</v>
      </c>
      <c r="C55" s="23" t="s">
        <v>405</v>
      </c>
      <c r="D55" s="18" t="s">
        <v>406</v>
      </c>
      <c r="E55" s="23" t="s">
        <v>370</v>
      </c>
      <c r="F55" s="23" t="s">
        <v>291</v>
      </c>
      <c r="G55" s="23" t="s">
        <v>371</v>
      </c>
      <c r="H55" s="23" t="s">
        <v>372</v>
      </c>
      <c r="I55" s="60" t="s">
        <v>76</v>
      </c>
      <c r="J55" s="61" t="s">
        <v>77</v>
      </c>
      <c r="K55" s="61" t="s">
        <v>78</v>
      </c>
      <c r="L55" s="61" t="s">
        <v>79</v>
      </c>
      <c r="M55" s="23">
        <v>81</v>
      </c>
      <c r="N55" s="18" t="str">
        <f t="shared" si="20"/>
        <v>Mencapai kompetensi dengan baik dalam hal</v>
      </c>
      <c r="O55" s="23">
        <v>75</v>
      </c>
      <c r="P55" s="18" t="str">
        <f t="shared" si="21"/>
        <v>Mencapai kompetensi dengan baik dalam hal</v>
      </c>
      <c r="Q55" s="23">
        <v>81</v>
      </c>
      <c r="R55" s="18" t="str">
        <f t="shared" si="22"/>
        <v>Mencapai kompetensi dengan baik dalam hal</v>
      </c>
      <c r="S55" s="23">
        <v>79</v>
      </c>
      <c r="T55" s="18" t="str">
        <f t="shared" si="23"/>
        <v>Mencapai kompetensi dengan baik dalam hal</v>
      </c>
      <c r="U55" s="23">
        <v>83</v>
      </c>
      <c r="V55" s="18" t="str">
        <f t="shared" si="24"/>
        <v>Mencapai kompetensi dengan baik dalam hal</v>
      </c>
      <c r="W55" s="23">
        <v>76</v>
      </c>
      <c r="X55" s="18" t="str">
        <f t="shared" si="25"/>
        <v>Mencapai kompetensi dengan baik dalam hal</v>
      </c>
      <c r="Y55" s="23">
        <v>75</v>
      </c>
      <c r="Z55" s="18" t="str">
        <f t="shared" si="26"/>
        <v>Mencapai kompetensi dengan baik dalam hal</v>
      </c>
      <c r="AA55" s="23">
        <v>79</v>
      </c>
      <c r="AB55" s="18" t="str">
        <f t="shared" si="27"/>
        <v>Mencapai kompetensi dengan baik dalam hal</v>
      </c>
      <c r="AC55" s="23">
        <v>88</v>
      </c>
      <c r="AD55" s="18" t="str">
        <f t="shared" si="28"/>
        <v>Mencapai kompetensi dengan baik dalam hal</v>
      </c>
      <c r="AE55" s="23">
        <v>84</v>
      </c>
      <c r="AF55" s="18" t="str">
        <f t="shared" si="29"/>
        <v>Mencapai kompetensi dengan baik dalam hal</v>
      </c>
      <c r="AG55" s="23">
        <v>87</v>
      </c>
      <c r="AH55" s="18" t="str">
        <f t="shared" si="10"/>
        <v>Mencapai kompetensi dengan baik dalam hal</v>
      </c>
      <c r="AI55" s="23">
        <v>94</v>
      </c>
      <c r="AJ55" s="18" t="str">
        <f t="shared" si="11"/>
        <v>Mencapai kompetensi dengan sangat baik dalam hal</v>
      </c>
      <c r="AK55" s="23">
        <v>86</v>
      </c>
      <c r="AL55" s="18" t="str">
        <f t="shared" si="30"/>
        <v>Mencapai kompetensi dengan baik dalam hal</v>
      </c>
      <c r="AM55" s="23">
        <v>81</v>
      </c>
      <c r="AN55" s="18" t="str">
        <f t="shared" si="31"/>
        <v>Mencapai kompetensi dengan baik dalam hal</v>
      </c>
      <c r="AO55" s="23">
        <v>82</v>
      </c>
      <c r="AP55" s="18" t="str">
        <f t="shared" si="14"/>
        <v>Mencapai kompetensi dengan baik dalam hal</v>
      </c>
      <c r="AQ55" s="23">
        <v>82</v>
      </c>
      <c r="AR55" s="18" t="str">
        <f t="shared" si="32"/>
        <v>Mencapai kompetensi dengan baik dalam hal</v>
      </c>
      <c r="AS55" s="62">
        <f t="shared" si="33"/>
        <v>85.333333333333329</v>
      </c>
      <c r="AT55" s="23">
        <v>88</v>
      </c>
      <c r="AU55" s="18" t="str">
        <f t="shared" si="16"/>
        <v>Mencapai kompetensi dengan baik dalam hal</v>
      </c>
      <c r="AV55" s="23">
        <v>75</v>
      </c>
      <c r="AW55" s="18" t="str">
        <f t="shared" si="34"/>
        <v>Mencapai kompetensi dengan baik dalam hal</v>
      </c>
      <c r="AX55" s="23" t="s">
        <v>81</v>
      </c>
      <c r="AY55" s="23" t="s">
        <v>81</v>
      </c>
      <c r="AZ55" s="23" t="s">
        <v>81</v>
      </c>
      <c r="BA55" s="23">
        <v>1</v>
      </c>
      <c r="BB55" s="23" t="s">
        <v>82</v>
      </c>
      <c r="BC55" s="18" t="s">
        <v>83</v>
      </c>
      <c r="BD55" s="23" t="s">
        <v>84</v>
      </c>
      <c r="BE55" s="18" t="str">
        <f t="shared" si="35"/>
        <v>Baik</v>
      </c>
      <c r="BF55" s="23">
        <v>2</v>
      </c>
      <c r="BG55" s="18" t="s">
        <v>99</v>
      </c>
      <c r="BH55" s="18" t="s">
        <v>83</v>
      </c>
      <c r="BI55" s="23" t="s">
        <v>84</v>
      </c>
      <c r="BJ55" s="18" t="str">
        <f t="shared" si="36"/>
        <v>Baik</v>
      </c>
      <c r="BK55" s="23"/>
      <c r="BL55" s="23"/>
      <c r="BM55" s="23"/>
      <c r="BN55" s="23"/>
      <c r="BO55" s="18"/>
      <c r="BP55" s="54"/>
      <c r="BQ55" s="54"/>
      <c r="BR55" s="54"/>
    </row>
    <row r="56" spans="1:70" ht="24.95" customHeight="1" x14ac:dyDescent="0.25">
      <c r="A56" s="23">
        <v>55</v>
      </c>
      <c r="B56" s="23">
        <v>2525780</v>
      </c>
      <c r="C56" s="23" t="s">
        <v>407</v>
      </c>
      <c r="D56" s="18" t="s">
        <v>408</v>
      </c>
      <c r="E56" s="23" t="s">
        <v>370</v>
      </c>
      <c r="F56" s="23" t="s">
        <v>291</v>
      </c>
      <c r="G56" s="23" t="s">
        <v>371</v>
      </c>
      <c r="H56" s="23" t="s">
        <v>372</v>
      </c>
      <c r="I56" s="60" t="s">
        <v>76</v>
      </c>
      <c r="J56" s="61" t="s">
        <v>77</v>
      </c>
      <c r="K56" s="61" t="s">
        <v>78</v>
      </c>
      <c r="L56" s="61" t="s">
        <v>79</v>
      </c>
      <c r="M56" s="23">
        <v>83</v>
      </c>
      <c r="N56" s="18" t="str">
        <f t="shared" si="20"/>
        <v>Mencapai kompetensi dengan baik dalam hal</v>
      </c>
      <c r="O56" s="23">
        <v>81</v>
      </c>
      <c r="P56" s="18" t="str">
        <f t="shared" si="21"/>
        <v>Mencapai kompetensi dengan baik dalam hal</v>
      </c>
      <c r="Q56" s="23">
        <v>83</v>
      </c>
      <c r="R56" s="18" t="str">
        <f t="shared" si="22"/>
        <v>Mencapai kompetensi dengan baik dalam hal</v>
      </c>
      <c r="S56" s="23">
        <v>78</v>
      </c>
      <c r="T56" s="18" t="str">
        <f t="shared" si="23"/>
        <v>Mencapai kompetensi dengan baik dalam hal</v>
      </c>
      <c r="U56" s="23">
        <v>86</v>
      </c>
      <c r="V56" s="18" t="str">
        <f t="shared" si="24"/>
        <v>Mencapai kompetensi dengan baik dalam hal</v>
      </c>
      <c r="W56" s="23">
        <v>85</v>
      </c>
      <c r="X56" s="18" t="str">
        <f t="shared" si="25"/>
        <v>Mencapai kompetensi dengan baik dalam hal</v>
      </c>
      <c r="Y56" s="23">
        <v>75</v>
      </c>
      <c r="Z56" s="18" t="str">
        <f t="shared" si="26"/>
        <v>Mencapai kompetensi dengan baik dalam hal</v>
      </c>
      <c r="AA56" s="23">
        <v>80</v>
      </c>
      <c r="AB56" s="18" t="str">
        <f t="shared" si="27"/>
        <v>Mencapai kompetensi dengan baik dalam hal</v>
      </c>
      <c r="AC56" s="23">
        <v>86</v>
      </c>
      <c r="AD56" s="18" t="str">
        <f t="shared" si="28"/>
        <v>Mencapai kompetensi dengan baik dalam hal</v>
      </c>
      <c r="AE56" s="23">
        <v>86</v>
      </c>
      <c r="AF56" s="18" t="str">
        <f t="shared" si="29"/>
        <v>Mencapai kompetensi dengan baik dalam hal</v>
      </c>
      <c r="AG56" s="23">
        <v>90</v>
      </c>
      <c r="AH56" s="18" t="str">
        <f t="shared" si="10"/>
        <v>Mencapai kompetensi dengan sangat baik dalam hal</v>
      </c>
      <c r="AI56" s="23">
        <v>94</v>
      </c>
      <c r="AJ56" s="18" t="str">
        <f t="shared" si="11"/>
        <v>Mencapai kompetensi dengan sangat baik dalam hal</v>
      </c>
      <c r="AK56" s="23">
        <v>87</v>
      </c>
      <c r="AL56" s="18" t="str">
        <f t="shared" si="30"/>
        <v>Mencapai kompetensi dengan baik dalam hal</v>
      </c>
      <c r="AM56" s="23">
        <v>84</v>
      </c>
      <c r="AN56" s="18" t="str">
        <f t="shared" si="31"/>
        <v>Mencapai kompetensi dengan baik dalam hal</v>
      </c>
      <c r="AO56" s="23">
        <v>88</v>
      </c>
      <c r="AP56" s="18" t="str">
        <f t="shared" si="14"/>
        <v>Mencapai kompetensi dengan baik dalam hal</v>
      </c>
      <c r="AQ56" s="23">
        <v>84</v>
      </c>
      <c r="AR56" s="18" t="str">
        <f t="shared" si="32"/>
        <v>Mencapai kompetensi dengan baik dalam hal</v>
      </c>
      <c r="AS56" s="62">
        <f t="shared" si="33"/>
        <v>87.833333333333329</v>
      </c>
      <c r="AT56" s="23">
        <v>86</v>
      </c>
      <c r="AU56" s="18" t="str">
        <f t="shared" si="16"/>
        <v>Mencapai kompetensi dengan baik dalam hal</v>
      </c>
      <c r="AV56" s="23">
        <v>80</v>
      </c>
      <c r="AW56" s="18" t="str">
        <f t="shared" si="34"/>
        <v>Mencapai kompetensi dengan baik dalam hal</v>
      </c>
      <c r="AX56" s="23">
        <v>1</v>
      </c>
      <c r="AY56" s="23" t="s">
        <v>81</v>
      </c>
      <c r="AZ56" s="23" t="s">
        <v>81</v>
      </c>
      <c r="BA56" s="23">
        <v>1</v>
      </c>
      <c r="BB56" s="23" t="s">
        <v>82</v>
      </c>
      <c r="BC56" s="18" t="s">
        <v>83</v>
      </c>
      <c r="BD56" s="23" t="s">
        <v>86</v>
      </c>
      <c r="BE56" s="18" t="str">
        <f t="shared" si="35"/>
        <v>Sangat baik</v>
      </c>
      <c r="BF56" s="23">
        <v>2</v>
      </c>
      <c r="BG56" s="18" t="s">
        <v>108</v>
      </c>
      <c r="BH56" s="18" t="s">
        <v>83</v>
      </c>
      <c r="BI56" s="23" t="s">
        <v>86</v>
      </c>
      <c r="BJ56" s="18" t="str">
        <f t="shared" si="36"/>
        <v>Sangat baik</v>
      </c>
      <c r="BK56" s="23"/>
      <c r="BL56" s="23"/>
      <c r="BM56" s="23"/>
      <c r="BN56" s="23"/>
      <c r="BO56" s="18"/>
      <c r="BP56" s="54"/>
      <c r="BQ56" s="54"/>
      <c r="BR56" s="54"/>
    </row>
    <row r="57" spans="1:70" ht="24.95" customHeight="1" x14ac:dyDescent="0.25">
      <c r="A57" s="23">
        <v>56</v>
      </c>
      <c r="B57" s="23">
        <v>2525781</v>
      </c>
      <c r="C57" s="23" t="s">
        <v>409</v>
      </c>
      <c r="D57" s="18" t="s">
        <v>410</v>
      </c>
      <c r="E57" s="23" t="s">
        <v>370</v>
      </c>
      <c r="F57" s="23" t="s">
        <v>291</v>
      </c>
      <c r="G57" s="23" t="s">
        <v>371</v>
      </c>
      <c r="H57" s="23" t="s">
        <v>372</v>
      </c>
      <c r="I57" s="60" t="s">
        <v>76</v>
      </c>
      <c r="J57" s="61" t="s">
        <v>77</v>
      </c>
      <c r="K57" s="61" t="s">
        <v>78</v>
      </c>
      <c r="L57" s="61" t="s">
        <v>79</v>
      </c>
      <c r="M57" s="23">
        <v>81</v>
      </c>
      <c r="N57" s="18" t="str">
        <f t="shared" si="20"/>
        <v>Mencapai kompetensi dengan baik dalam hal</v>
      </c>
      <c r="O57" s="23">
        <v>75</v>
      </c>
      <c r="P57" s="18" t="str">
        <f t="shared" si="21"/>
        <v>Mencapai kompetensi dengan baik dalam hal</v>
      </c>
      <c r="Q57" s="23">
        <v>81</v>
      </c>
      <c r="R57" s="18" t="str">
        <f t="shared" si="22"/>
        <v>Mencapai kompetensi dengan baik dalam hal</v>
      </c>
      <c r="S57" s="23">
        <v>78</v>
      </c>
      <c r="T57" s="18" t="str">
        <f t="shared" si="23"/>
        <v>Mencapai kompetensi dengan baik dalam hal</v>
      </c>
      <c r="U57" s="23">
        <v>81</v>
      </c>
      <c r="V57" s="18" t="str">
        <f t="shared" si="24"/>
        <v>Mencapai kompetensi dengan baik dalam hal</v>
      </c>
      <c r="W57" s="23">
        <v>79</v>
      </c>
      <c r="X57" s="18" t="str">
        <f t="shared" si="25"/>
        <v>Mencapai kompetensi dengan baik dalam hal</v>
      </c>
      <c r="Y57" s="23">
        <v>76</v>
      </c>
      <c r="Z57" s="18" t="str">
        <f t="shared" si="26"/>
        <v>Mencapai kompetensi dengan baik dalam hal</v>
      </c>
      <c r="AA57" s="23">
        <v>75</v>
      </c>
      <c r="AB57" s="18" t="str">
        <f t="shared" si="27"/>
        <v>Mencapai kompetensi dengan baik dalam hal</v>
      </c>
      <c r="AC57" s="23">
        <v>78</v>
      </c>
      <c r="AD57" s="18" t="str">
        <f t="shared" si="28"/>
        <v>Mencapai kompetensi dengan baik dalam hal</v>
      </c>
      <c r="AE57" s="23">
        <v>84</v>
      </c>
      <c r="AF57" s="18" t="str">
        <f t="shared" si="29"/>
        <v>Mencapai kompetensi dengan baik dalam hal</v>
      </c>
      <c r="AG57" s="23">
        <v>89</v>
      </c>
      <c r="AH57" s="18" t="str">
        <f t="shared" si="10"/>
        <v>Mencapai kompetensi dengan baik dalam hal</v>
      </c>
      <c r="AI57" s="23">
        <v>79</v>
      </c>
      <c r="AJ57" s="18" t="str">
        <f t="shared" si="11"/>
        <v>Mencapai kompetensi dengan baik dalam hal</v>
      </c>
      <c r="AK57" s="23">
        <v>81</v>
      </c>
      <c r="AL57" s="18" t="str">
        <f t="shared" si="30"/>
        <v>Mencapai kompetensi dengan baik dalam hal</v>
      </c>
      <c r="AM57" s="23">
        <v>76</v>
      </c>
      <c r="AN57" s="18" t="str">
        <f t="shared" si="31"/>
        <v>Mencapai kompetensi dengan baik dalam hal</v>
      </c>
      <c r="AO57" s="23">
        <v>83</v>
      </c>
      <c r="AP57" s="18" t="str">
        <f t="shared" si="14"/>
        <v>Mencapai kompetensi dengan baik dalam hal</v>
      </c>
      <c r="AQ57" s="23">
        <v>80</v>
      </c>
      <c r="AR57" s="18" t="str">
        <f t="shared" si="32"/>
        <v>Mencapai kompetensi dengan baik dalam hal</v>
      </c>
      <c r="AS57" s="62">
        <f t="shared" si="33"/>
        <v>81.333333333333329</v>
      </c>
      <c r="AT57" s="23">
        <v>78</v>
      </c>
      <c r="AU57" s="18" t="str">
        <f t="shared" si="16"/>
        <v>Mencapai kompetensi dengan baik dalam hal</v>
      </c>
      <c r="AV57" s="23">
        <v>77</v>
      </c>
      <c r="AW57" s="18" t="str">
        <f t="shared" si="34"/>
        <v>Mencapai kompetensi dengan baik dalam hal</v>
      </c>
      <c r="AX57" s="23" t="s">
        <v>81</v>
      </c>
      <c r="AY57" s="23">
        <v>1</v>
      </c>
      <c r="AZ57" s="23" t="s">
        <v>81</v>
      </c>
      <c r="BA57" s="23">
        <v>1</v>
      </c>
      <c r="BB57" s="23" t="s">
        <v>82</v>
      </c>
      <c r="BC57" s="18" t="s">
        <v>83</v>
      </c>
      <c r="BD57" s="23" t="s">
        <v>86</v>
      </c>
      <c r="BE57" s="18" t="str">
        <f t="shared" si="35"/>
        <v>Sangat baik</v>
      </c>
      <c r="BF57" s="23">
        <v>2</v>
      </c>
      <c r="BG57" s="18" t="s">
        <v>227</v>
      </c>
      <c r="BH57" s="18" t="s">
        <v>83</v>
      </c>
      <c r="BI57" s="23" t="s">
        <v>104</v>
      </c>
      <c r="BJ57" s="18" t="str">
        <f t="shared" si="36"/>
        <v>Cukup</v>
      </c>
      <c r="BK57" s="23"/>
      <c r="BL57" s="23"/>
      <c r="BM57" s="23"/>
      <c r="BN57" s="23"/>
      <c r="BO57" s="18"/>
      <c r="BP57" s="54"/>
      <c r="BQ57" s="54"/>
      <c r="BR57" s="54"/>
    </row>
    <row r="58" spans="1:70" ht="24.95" customHeight="1" x14ac:dyDescent="0.25">
      <c r="A58" s="23">
        <v>57</v>
      </c>
      <c r="B58" s="23">
        <v>2525782</v>
      </c>
      <c r="C58" s="23" t="s">
        <v>411</v>
      </c>
      <c r="D58" s="18" t="s">
        <v>412</v>
      </c>
      <c r="E58" s="23" t="s">
        <v>370</v>
      </c>
      <c r="F58" s="23" t="s">
        <v>291</v>
      </c>
      <c r="G58" s="23" t="s">
        <v>371</v>
      </c>
      <c r="H58" s="23" t="s">
        <v>372</v>
      </c>
      <c r="I58" s="60" t="s">
        <v>76</v>
      </c>
      <c r="J58" s="61" t="s">
        <v>77</v>
      </c>
      <c r="K58" s="61" t="s">
        <v>78</v>
      </c>
      <c r="L58" s="61" t="s">
        <v>79</v>
      </c>
      <c r="M58" s="23">
        <v>81</v>
      </c>
      <c r="N58" s="18" t="str">
        <f t="shared" si="20"/>
        <v>Mencapai kompetensi dengan baik dalam hal</v>
      </c>
      <c r="O58" s="23">
        <v>76</v>
      </c>
      <c r="P58" s="18" t="str">
        <f t="shared" si="21"/>
        <v>Mencapai kompetensi dengan baik dalam hal</v>
      </c>
      <c r="Q58" s="23">
        <v>81</v>
      </c>
      <c r="R58" s="18" t="str">
        <f t="shared" si="22"/>
        <v>Mencapai kompetensi dengan baik dalam hal</v>
      </c>
      <c r="S58" s="23">
        <v>78</v>
      </c>
      <c r="T58" s="18" t="str">
        <f t="shared" si="23"/>
        <v>Mencapai kompetensi dengan baik dalam hal</v>
      </c>
      <c r="U58" s="23">
        <v>75</v>
      </c>
      <c r="V58" s="18" t="str">
        <f t="shared" si="24"/>
        <v>Mencapai kompetensi dengan baik dalam hal</v>
      </c>
      <c r="W58" s="23">
        <v>75</v>
      </c>
      <c r="X58" s="18" t="str">
        <f t="shared" si="25"/>
        <v>Mencapai kompetensi dengan baik dalam hal</v>
      </c>
      <c r="Y58" s="23">
        <v>75</v>
      </c>
      <c r="Z58" s="18" t="str">
        <f t="shared" si="26"/>
        <v>Mencapai kompetensi dengan baik dalam hal</v>
      </c>
      <c r="AA58" s="23">
        <v>75</v>
      </c>
      <c r="AB58" s="18" t="str">
        <f t="shared" si="27"/>
        <v>Mencapai kompetensi dengan baik dalam hal</v>
      </c>
      <c r="AC58" s="23">
        <v>78</v>
      </c>
      <c r="AD58" s="18" t="str">
        <f t="shared" si="28"/>
        <v>Mencapai kompetensi dengan baik dalam hal</v>
      </c>
      <c r="AE58" s="23">
        <v>80</v>
      </c>
      <c r="AF58" s="18" t="str">
        <f t="shared" si="29"/>
        <v>Mencapai kompetensi dengan baik dalam hal</v>
      </c>
      <c r="AG58" s="23">
        <v>81</v>
      </c>
      <c r="AH58" s="18" t="str">
        <f t="shared" si="10"/>
        <v>Mencapai kompetensi dengan baik dalam hal</v>
      </c>
      <c r="AI58" s="23">
        <v>87</v>
      </c>
      <c r="AJ58" s="18" t="str">
        <f t="shared" si="11"/>
        <v>Mencapai kompetensi dengan baik dalam hal</v>
      </c>
      <c r="AK58" s="23">
        <v>81</v>
      </c>
      <c r="AL58" s="18" t="str">
        <f t="shared" si="30"/>
        <v>Mencapai kompetensi dengan baik dalam hal</v>
      </c>
      <c r="AM58" s="23">
        <v>79</v>
      </c>
      <c r="AN58" s="18" t="str">
        <f t="shared" si="31"/>
        <v>Mencapai kompetensi dengan baik dalam hal</v>
      </c>
      <c r="AO58" s="23">
        <v>82</v>
      </c>
      <c r="AP58" s="18" t="str">
        <f t="shared" si="14"/>
        <v>Mencapai kompetensi dengan baik dalam hal</v>
      </c>
      <c r="AQ58" s="23">
        <v>81</v>
      </c>
      <c r="AR58" s="18" t="str">
        <f t="shared" si="32"/>
        <v>Mencapai kompetensi dengan baik dalam hal</v>
      </c>
      <c r="AS58" s="62">
        <f t="shared" si="33"/>
        <v>81.833333333333329</v>
      </c>
      <c r="AT58" s="23">
        <v>78</v>
      </c>
      <c r="AU58" s="18" t="str">
        <f t="shared" si="16"/>
        <v>Mencapai kompetensi dengan baik dalam hal</v>
      </c>
      <c r="AV58" s="23">
        <v>75</v>
      </c>
      <c r="AW58" s="18" t="str">
        <f t="shared" si="34"/>
        <v>Mencapai kompetensi dengan baik dalam hal</v>
      </c>
      <c r="AX58" s="23" t="s">
        <v>81</v>
      </c>
      <c r="AY58" s="23" t="s">
        <v>81</v>
      </c>
      <c r="AZ58" s="23" t="s">
        <v>81</v>
      </c>
      <c r="BA58" s="23">
        <v>1</v>
      </c>
      <c r="BB58" s="23" t="s">
        <v>82</v>
      </c>
      <c r="BC58" s="18" t="s">
        <v>83</v>
      </c>
      <c r="BD58" s="23" t="s">
        <v>86</v>
      </c>
      <c r="BE58" s="18" t="str">
        <f t="shared" si="35"/>
        <v>Sangat baik</v>
      </c>
      <c r="BF58" s="23">
        <v>2</v>
      </c>
      <c r="BG58" s="18" t="s">
        <v>99</v>
      </c>
      <c r="BH58" s="18" t="s">
        <v>83</v>
      </c>
      <c r="BI58" s="23" t="s">
        <v>84</v>
      </c>
      <c r="BJ58" s="18" t="str">
        <f t="shared" si="36"/>
        <v>Baik</v>
      </c>
      <c r="BK58" s="23"/>
      <c r="BL58" s="23"/>
      <c r="BM58" s="23"/>
      <c r="BN58" s="23"/>
      <c r="BO58" s="18"/>
      <c r="BP58" s="54"/>
      <c r="BQ58" s="54"/>
      <c r="BR58" s="54"/>
    </row>
    <row r="59" spans="1:70" ht="24.95" customHeight="1" x14ac:dyDescent="0.25">
      <c r="A59" s="23">
        <v>58</v>
      </c>
      <c r="B59" s="23">
        <v>2525783</v>
      </c>
      <c r="C59" s="23" t="s">
        <v>413</v>
      </c>
      <c r="D59" s="18" t="s">
        <v>414</v>
      </c>
      <c r="E59" s="23" t="s">
        <v>370</v>
      </c>
      <c r="F59" s="23" t="s">
        <v>291</v>
      </c>
      <c r="G59" s="23" t="s">
        <v>371</v>
      </c>
      <c r="H59" s="23" t="s">
        <v>372</v>
      </c>
      <c r="I59" s="60" t="s">
        <v>76</v>
      </c>
      <c r="J59" s="61" t="s">
        <v>77</v>
      </c>
      <c r="K59" s="61" t="s">
        <v>78</v>
      </c>
      <c r="L59" s="61" t="s">
        <v>79</v>
      </c>
      <c r="M59" s="23">
        <v>77</v>
      </c>
      <c r="N59" s="18" t="str">
        <f t="shared" si="20"/>
        <v>Mencapai kompetensi dengan baik dalam hal</v>
      </c>
      <c r="O59" s="23">
        <v>75</v>
      </c>
      <c r="P59" s="18" t="str">
        <f t="shared" si="21"/>
        <v>Mencapai kompetensi dengan baik dalam hal</v>
      </c>
      <c r="Q59" s="23">
        <v>79</v>
      </c>
      <c r="R59" s="18" t="str">
        <f t="shared" si="22"/>
        <v>Mencapai kompetensi dengan baik dalam hal</v>
      </c>
      <c r="S59" s="23">
        <v>79</v>
      </c>
      <c r="T59" s="18" t="str">
        <f t="shared" si="23"/>
        <v>Mencapai kompetensi dengan baik dalam hal</v>
      </c>
      <c r="U59" s="23">
        <v>75</v>
      </c>
      <c r="V59" s="18" t="str">
        <f t="shared" si="24"/>
        <v>Mencapai kompetensi dengan baik dalam hal</v>
      </c>
      <c r="W59" s="23">
        <v>75</v>
      </c>
      <c r="X59" s="18" t="str">
        <f t="shared" si="25"/>
        <v>Mencapai kompetensi dengan baik dalam hal</v>
      </c>
      <c r="Y59" s="23">
        <v>75</v>
      </c>
      <c r="Z59" s="18" t="str">
        <f t="shared" si="26"/>
        <v>Mencapai kompetensi dengan baik dalam hal</v>
      </c>
      <c r="AA59" s="23">
        <v>75</v>
      </c>
      <c r="AB59" s="18" t="str">
        <f t="shared" si="27"/>
        <v>Mencapai kompetensi dengan baik dalam hal</v>
      </c>
      <c r="AC59" s="23">
        <v>76</v>
      </c>
      <c r="AD59" s="18" t="str">
        <f t="shared" si="28"/>
        <v>Mencapai kompetensi dengan baik dalam hal</v>
      </c>
      <c r="AE59" s="23">
        <v>80</v>
      </c>
      <c r="AF59" s="18" t="str">
        <f t="shared" si="29"/>
        <v>Mencapai kompetensi dengan baik dalam hal</v>
      </c>
      <c r="AG59" s="23">
        <v>78</v>
      </c>
      <c r="AH59" s="18" t="str">
        <f t="shared" si="10"/>
        <v>Mencapai kompetensi dengan baik dalam hal</v>
      </c>
      <c r="AI59" s="23">
        <v>78</v>
      </c>
      <c r="AJ59" s="18" t="str">
        <f t="shared" si="11"/>
        <v>Mencapai kompetensi dengan baik dalam hal</v>
      </c>
      <c r="AK59" s="23">
        <v>78</v>
      </c>
      <c r="AL59" s="18" t="str">
        <f t="shared" si="30"/>
        <v>Mencapai kompetensi dengan baik dalam hal</v>
      </c>
      <c r="AM59" s="23">
        <v>85</v>
      </c>
      <c r="AN59" s="18" t="str">
        <f t="shared" si="31"/>
        <v>Mencapai kompetensi dengan baik dalam hal</v>
      </c>
      <c r="AO59" s="23">
        <v>82</v>
      </c>
      <c r="AP59" s="18" t="str">
        <f t="shared" si="14"/>
        <v>Mencapai kompetensi dengan baik dalam hal</v>
      </c>
      <c r="AQ59" s="23">
        <v>80</v>
      </c>
      <c r="AR59" s="18" t="str">
        <f t="shared" si="32"/>
        <v>Mencapai kompetensi dengan baik dalam hal</v>
      </c>
      <c r="AS59" s="62">
        <f t="shared" si="33"/>
        <v>80.166666666666671</v>
      </c>
      <c r="AT59" s="23">
        <v>76</v>
      </c>
      <c r="AU59" s="18" t="str">
        <f t="shared" si="16"/>
        <v>Mencapai kompetensi dengan baik dalam hal</v>
      </c>
      <c r="AV59" s="23">
        <v>75</v>
      </c>
      <c r="AW59" s="18" t="str">
        <f t="shared" si="34"/>
        <v>Mencapai kompetensi dengan baik dalam hal</v>
      </c>
      <c r="AX59" s="23">
        <v>5</v>
      </c>
      <c r="AY59" s="23">
        <v>4</v>
      </c>
      <c r="AZ59" s="23" t="s">
        <v>81</v>
      </c>
      <c r="BA59" s="23">
        <v>1</v>
      </c>
      <c r="BB59" s="23" t="s">
        <v>82</v>
      </c>
      <c r="BC59" s="18" t="s">
        <v>83</v>
      </c>
      <c r="BD59" s="23" t="s">
        <v>84</v>
      </c>
      <c r="BE59" s="18" t="str">
        <f t="shared" si="35"/>
        <v>Baik</v>
      </c>
      <c r="BF59" s="23">
        <v>2</v>
      </c>
      <c r="BG59" s="18" t="s">
        <v>108</v>
      </c>
      <c r="BH59" s="18" t="s">
        <v>83</v>
      </c>
      <c r="BI59" s="23" t="s">
        <v>86</v>
      </c>
      <c r="BJ59" s="18" t="str">
        <f t="shared" si="36"/>
        <v>Sangat baik</v>
      </c>
      <c r="BK59" s="23"/>
      <c r="BL59" s="23"/>
      <c r="BM59" s="23"/>
      <c r="BN59" s="23"/>
      <c r="BO59" s="18"/>
      <c r="BP59" s="54"/>
      <c r="BQ59" s="54"/>
      <c r="BR59" s="54"/>
    </row>
    <row r="60" spans="1:70" ht="24.95" customHeight="1" x14ac:dyDescent="0.25">
      <c r="A60" s="23">
        <v>59</v>
      </c>
      <c r="B60" s="23">
        <v>2525784</v>
      </c>
      <c r="C60" s="23" t="s">
        <v>415</v>
      </c>
      <c r="D60" s="18" t="s">
        <v>416</v>
      </c>
      <c r="E60" s="23" t="s">
        <v>370</v>
      </c>
      <c r="F60" s="23" t="s">
        <v>291</v>
      </c>
      <c r="G60" s="23" t="s">
        <v>371</v>
      </c>
      <c r="H60" s="23" t="s">
        <v>372</v>
      </c>
      <c r="I60" s="60" t="s">
        <v>76</v>
      </c>
      <c r="J60" s="61" t="s">
        <v>77</v>
      </c>
      <c r="K60" s="61" t="s">
        <v>78</v>
      </c>
      <c r="L60" s="61" t="s">
        <v>79</v>
      </c>
      <c r="M60" s="23">
        <v>82</v>
      </c>
      <c r="N60" s="18" t="str">
        <f t="shared" si="20"/>
        <v>Mencapai kompetensi dengan baik dalam hal</v>
      </c>
      <c r="O60" s="23">
        <v>77</v>
      </c>
      <c r="P60" s="18" t="str">
        <f t="shared" si="21"/>
        <v>Mencapai kompetensi dengan baik dalam hal</v>
      </c>
      <c r="Q60" s="23">
        <v>81</v>
      </c>
      <c r="R60" s="18" t="str">
        <f t="shared" si="22"/>
        <v>Mencapai kompetensi dengan baik dalam hal</v>
      </c>
      <c r="S60" s="23">
        <v>80</v>
      </c>
      <c r="T60" s="18" t="str">
        <f t="shared" si="23"/>
        <v>Mencapai kompetensi dengan baik dalam hal</v>
      </c>
      <c r="U60" s="23">
        <v>83</v>
      </c>
      <c r="V60" s="18" t="str">
        <f t="shared" si="24"/>
        <v>Mencapai kompetensi dengan baik dalam hal</v>
      </c>
      <c r="W60" s="23">
        <v>79</v>
      </c>
      <c r="X60" s="18" t="str">
        <f t="shared" si="25"/>
        <v>Mencapai kompetensi dengan baik dalam hal</v>
      </c>
      <c r="Y60" s="23">
        <v>78</v>
      </c>
      <c r="Z60" s="18" t="str">
        <f t="shared" si="26"/>
        <v>Mencapai kompetensi dengan baik dalam hal</v>
      </c>
      <c r="AA60" s="23">
        <v>80</v>
      </c>
      <c r="AB60" s="18" t="str">
        <f t="shared" si="27"/>
        <v>Mencapai kompetensi dengan baik dalam hal</v>
      </c>
      <c r="AC60" s="23">
        <v>86</v>
      </c>
      <c r="AD60" s="18" t="str">
        <f t="shared" si="28"/>
        <v>Mencapai kompetensi dengan baik dalam hal</v>
      </c>
      <c r="AE60" s="23">
        <v>88</v>
      </c>
      <c r="AF60" s="18" t="str">
        <f t="shared" si="29"/>
        <v>Mencapai kompetensi dengan baik dalam hal</v>
      </c>
      <c r="AG60" s="23">
        <v>90</v>
      </c>
      <c r="AH60" s="18" t="str">
        <f t="shared" si="10"/>
        <v>Mencapai kompetensi dengan sangat baik dalam hal</v>
      </c>
      <c r="AI60" s="23">
        <v>91</v>
      </c>
      <c r="AJ60" s="18" t="str">
        <f t="shared" si="11"/>
        <v>Mencapai kompetensi dengan sangat baik dalam hal</v>
      </c>
      <c r="AK60" s="23">
        <v>85</v>
      </c>
      <c r="AL60" s="18" t="str">
        <f t="shared" si="30"/>
        <v>Mencapai kompetensi dengan baik dalam hal</v>
      </c>
      <c r="AM60" s="23">
        <v>84</v>
      </c>
      <c r="AN60" s="18" t="str">
        <f t="shared" si="31"/>
        <v>Mencapai kompetensi dengan baik dalam hal</v>
      </c>
      <c r="AO60" s="23">
        <v>85</v>
      </c>
      <c r="AP60" s="18" t="str">
        <f t="shared" si="14"/>
        <v>Mencapai kompetensi dengan baik dalam hal</v>
      </c>
      <c r="AQ60" s="23">
        <v>83</v>
      </c>
      <c r="AR60" s="18" t="str">
        <f t="shared" si="32"/>
        <v>Mencapai kompetensi dengan baik dalam hal</v>
      </c>
      <c r="AS60" s="62">
        <f t="shared" si="33"/>
        <v>86.333333333333329</v>
      </c>
      <c r="AT60" s="23">
        <v>86</v>
      </c>
      <c r="AU60" s="18" t="str">
        <f t="shared" si="16"/>
        <v>Mencapai kompetensi dengan baik dalam hal</v>
      </c>
      <c r="AV60" s="23">
        <v>76</v>
      </c>
      <c r="AW60" s="18" t="str">
        <f t="shared" si="34"/>
        <v>Mencapai kompetensi dengan baik dalam hal</v>
      </c>
      <c r="AX60" s="23" t="s">
        <v>81</v>
      </c>
      <c r="AY60" s="23" t="s">
        <v>81</v>
      </c>
      <c r="AZ60" s="23" t="s">
        <v>81</v>
      </c>
      <c r="BA60" s="23">
        <v>1</v>
      </c>
      <c r="BB60" s="23" t="s">
        <v>82</v>
      </c>
      <c r="BC60" s="18" t="s">
        <v>83</v>
      </c>
      <c r="BD60" s="23" t="s">
        <v>86</v>
      </c>
      <c r="BE60" s="18" t="str">
        <f t="shared" si="35"/>
        <v>Sangat baik</v>
      </c>
      <c r="BF60" s="23">
        <v>2</v>
      </c>
      <c r="BG60" s="18" t="s">
        <v>212</v>
      </c>
      <c r="BH60" s="18" t="s">
        <v>83</v>
      </c>
      <c r="BI60" s="23" t="s">
        <v>86</v>
      </c>
      <c r="BJ60" s="18" t="str">
        <f t="shared" si="36"/>
        <v>Sangat baik</v>
      </c>
      <c r="BK60" s="23"/>
      <c r="BL60" s="23"/>
      <c r="BM60" s="23"/>
      <c r="BN60" s="23"/>
      <c r="BO60" s="18"/>
      <c r="BP60" s="54"/>
      <c r="BQ60" s="54"/>
      <c r="BR60" s="54"/>
    </row>
    <row r="61" spans="1:70" ht="24.95" customHeight="1" x14ac:dyDescent="0.25">
      <c r="A61" s="23">
        <v>60</v>
      </c>
      <c r="B61" s="23">
        <v>2525785</v>
      </c>
      <c r="C61" s="23" t="s">
        <v>417</v>
      </c>
      <c r="D61" s="18" t="s">
        <v>418</v>
      </c>
      <c r="E61" s="23" t="s">
        <v>370</v>
      </c>
      <c r="F61" s="23" t="s">
        <v>291</v>
      </c>
      <c r="G61" s="23" t="s">
        <v>371</v>
      </c>
      <c r="H61" s="23" t="s">
        <v>372</v>
      </c>
      <c r="I61" s="60" t="s">
        <v>76</v>
      </c>
      <c r="J61" s="61" t="s">
        <v>77</v>
      </c>
      <c r="K61" s="61" t="s">
        <v>78</v>
      </c>
      <c r="L61" s="61" t="s">
        <v>79</v>
      </c>
      <c r="M61" s="23">
        <v>80</v>
      </c>
      <c r="N61" s="18" t="str">
        <f t="shared" si="20"/>
        <v>Mencapai kompetensi dengan baik dalam hal</v>
      </c>
      <c r="O61" s="23">
        <v>76</v>
      </c>
      <c r="P61" s="18" t="str">
        <f t="shared" si="21"/>
        <v>Mencapai kompetensi dengan baik dalam hal</v>
      </c>
      <c r="Q61" s="23">
        <v>80</v>
      </c>
      <c r="R61" s="18" t="str">
        <f t="shared" si="22"/>
        <v>Mencapai kompetensi dengan baik dalam hal</v>
      </c>
      <c r="S61" s="23">
        <v>78</v>
      </c>
      <c r="T61" s="18" t="str">
        <f t="shared" si="23"/>
        <v>Mencapai kompetensi dengan baik dalam hal</v>
      </c>
      <c r="U61" s="23">
        <v>75</v>
      </c>
      <c r="V61" s="18" t="str">
        <f t="shared" si="24"/>
        <v>Mencapai kompetensi dengan baik dalam hal</v>
      </c>
      <c r="W61" s="23">
        <v>75</v>
      </c>
      <c r="X61" s="18" t="str">
        <f t="shared" si="25"/>
        <v>Mencapai kompetensi dengan baik dalam hal</v>
      </c>
      <c r="Y61" s="23">
        <v>80</v>
      </c>
      <c r="Z61" s="18" t="str">
        <f t="shared" si="26"/>
        <v>Mencapai kompetensi dengan baik dalam hal</v>
      </c>
      <c r="AA61" s="23">
        <v>79</v>
      </c>
      <c r="AB61" s="18" t="str">
        <f t="shared" si="27"/>
        <v>Mencapai kompetensi dengan baik dalam hal</v>
      </c>
      <c r="AC61" s="23">
        <v>81</v>
      </c>
      <c r="AD61" s="18" t="str">
        <f t="shared" si="28"/>
        <v>Mencapai kompetensi dengan baik dalam hal</v>
      </c>
      <c r="AE61" s="23">
        <v>82</v>
      </c>
      <c r="AF61" s="18" t="str">
        <f t="shared" si="29"/>
        <v>Mencapai kompetensi dengan baik dalam hal</v>
      </c>
      <c r="AG61" s="23">
        <v>89</v>
      </c>
      <c r="AH61" s="18" t="str">
        <f t="shared" si="10"/>
        <v>Mencapai kompetensi dengan baik dalam hal</v>
      </c>
      <c r="AI61" s="23">
        <v>85</v>
      </c>
      <c r="AJ61" s="18" t="str">
        <f t="shared" si="11"/>
        <v>Mencapai kompetensi dengan baik dalam hal</v>
      </c>
      <c r="AK61" s="23">
        <v>82</v>
      </c>
      <c r="AL61" s="18" t="str">
        <f t="shared" si="30"/>
        <v>Mencapai kompetensi dengan baik dalam hal</v>
      </c>
      <c r="AM61" s="23">
        <v>80</v>
      </c>
      <c r="AN61" s="18" t="str">
        <f t="shared" si="31"/>
        <v>Mencapai kompetensi dengan baik dalam hal</v>
      </c>
      <c r="AO61" s="23">
        <v>84</v>
      </c>
      <c r="AP61" s="18" t="str">
        <f t="shared" si="14"/>
        <v>Mencapai kompetensi dengan baik dalam hal</v>
      </c>
      <c r="AQ61" s="23">
        <v>83</v>
      </c>
      <c r="AR61" s="18" t="str">
        <f t="shared" si="32"/>
        <v>Mencapai kompetensi dengan baik dalam hal</v>
      </c>
      <c r="AS61" s="62">
        <f t="shared" si="33"/>
        <v>83.833333333333329</v>
      </c>
      <c r="AT61" s="23">
        <v>81</v>
      </c>
      <c r="AU61" s="18" t="str">
        <f t="shared" si="16"/>
        <v>Mencapai kompetensi dengan baik dalam hal</v>
      </c>
      <c r="AV61" s="23">
        <v>75</v>
      </c>
      <c r="AW61" s="18" t="str">
        <f t="shared" si="34"/>
        <v>Mencapai kompetensi dengan baik dalam hal</v>
      </c>
      <c r="AX61" s="23" t="s">
        <v>81</v>
      </c>
      <c r="AY61" s="23" t="s">
        <v>81</v>
      </c>
      <c r="AZ61" s="23" t="s">
        <v>81</v>
      </c>
      <c r="BA61" s="23">
        <v>1</v>
      </c>
      <c r="BB61" s="23" t="s">
        <v>82</v>
      </c>
      <c r="BC61" s="18" t="s">
        <v>83</v>
      </c>
      <c r="BD61" s="23" t="s">
        <v>84</v>
      </c>
      <c r="BE61" s="18" t="str">
        <f t="shared" si="35"/>
        <v>Baik</v>
      </c>
      <c r="BF61" s="23">
        <v>2</v>
      </c>
      <c r="BG61" s="18" t="s">
        <v>108</v>
      </c>
      <c r="BH61" s="18" t="s">
        <v>83</v>
      </c>
      <c r="BI61" s="23" t="s">
        <v>86</v>
      </c>
      <c r="BJ61" s="18" t="str">
        <f t="shared" si="36"/>
        <v>Sangat baik</v>
      </c>
      <c r="BK61" s="23"/>
      <c r="BL61" s="23"/>
      <c r="BM61" s="23"/>
      <c r="BN61" s="23"/>
      <c r="BO61" s="18"/>
      <c r="BP61" s="54"/>
      <c r="BQ61" s="54"/>
      <c r="BR61" s="54"/>
    </row>
    <row r="62" spans="1:70" ht="24.95" customHeight="1" x14ac:dyDescent="0.25">
      <c r="A62" s="23">
        <v>61</v>
      </c>
      <c r="B62" s="23">
        <v>2525786</v>
      </c>
      <c r="C62" s="23" t="s">
        <v>419</v>
      </c>
      <c r="D62" s="18" t="s">
        <v>420</v>
      </c>
      <c r="E62" s="23" t="s">
        <v>370</v>
      </c>
      <c r="F62" s="23" t="s">
        <v>291</v>
      </c>
      <c r="G62" s="23" t="s">
        <v>371</v>
      </c>
      <c r="H62" s="23" t="s">
        <v>372</v>
      </c>
      <c r="I62" s="60" t="s">
        <v>76</v>
      </c>
      <c r="J62" s="61" t="s">
        <v>77</v>
      </c>
      <c r="K62" s="61" t="s">
        <v>78</v>
      </c>
      <c r="L62" s="61" t="s">
        <v>79</v>
      </c>
      <c r="M62" s="23">
        <v>84</v>
      </c>
      <c r="N62" s="18" t="str">
        <f t="shared" si="20"/>
        <v>Mencapai kompetensi dengan baik dalam hal</v>
      </c>
      <c r="O62" s="23">
        <v>85</v>
      </c>
      <c r="P62" s="18" t="str">
        <f t="shared" si="21"/>
        <v>Mencapai kompetensi dengan baik dalam hal</v>
      </c>
      <c r="Q62" s="23">
        <v>83</v>
      </c>
      <c r="R62" s="18" t="str">
        <f t="shared" si="22"/>
        <v>Mencapai kompetensi dengan baik dalam hal</v>
      </c>
      <c r="S62" s="23">
        <v>79</v>
      </c>
      <c r="T62" s="18" t="str">
        <f t="shared" si="23"/>
        <v>Mencapai kompetensi dengan baik dalam hal</v>
      </c>
      <c r="U62" s="23">
        <v>88</v>
      </c>
      <c r="V62" s="18" t="str">
        <f t="shared" si="24"/>
        <v>Mencapai kompetensi dengan baik dalam hal</v>
      </c>
      <c r="W62" s="23">
        <v>79</v>
      </c>
      <c r="X62" s="18" t="str">
        <f t="shared" si="25"/>
        <v>Mencapai kompetensi dengan baik dalam hal</v>
      </c>
      <c r="Y62" s="23">
        <v>75</v>
      </c>
      <c r="Z62" s="18" t="str">
        <f t="shared" si="26"/>
        <v>Mencapai kompetensi dengan baik dalam hal</v>
      </c>
      <c r="AA62" s="23">
        <v>81</v>
      </c>
      <c r="AB62" s="18" t="str">
        <f t="shared" si="27"/>
        <v>Mencapai kompetensi dengan baik dalam hal</v>
      </c>
      <c r="AC62" s="23">
        <v>80</v>
      </c>
      <c r="AD62" s="18" t="str">
        <f t="shared" si="28"/>
        <v>Mencapai kompetensi dengan baik dalam hal</v>
      </c>
      <c r="AE62" s="23">
        <v>86</v>
      </c>
      <c r="AF62" s="18" t="str">
        <f t="shared" si="29"/>
        <v>Mencapai kompetensi dengan baik dalam hal</v>
      </c>
      <c r="AG62" s="23">
        <v>82</v>
      </c>
      <c r="AH62" s="18" t="str">
        <f t="shared" si="10"/>
        <v>Mencapai kompetensi dengan baik dalam hal</v>
      </c>
      <c r="AI62" s="23">
        <v>87</v>
      </c>
      <c r="AJ62" s="18" t="str">
        <f t="shared" si="11"/>
        <v>Mencapai kompetensi dengan baik dalam hal</v>
      </c>
      <c r="AK62" s="23">
        <v>84</v>
      </c>
      <c r="AL62" s="18" t="str">
        <f t="shared" si="30"/>
        <v>Mencapai kompetensi dengan baik dalam hal</v>
      </c>
      <c r="AM62" s="23">
        <v>77</v>
      </c>
      <c r="AN62" s="18" t="str">
        <f t="shared" si="31"/>
        <v>Mencapai kompetensi dengan baik dalam hal</v>
      </c>
      <c r="AO62" s="23">
        <v>83</v>
      </c>
      <c r="AP62" s="18" t="str">
        <f t="shared" si="14"/>
        <v>Mencapai kompetensi dengan baik dalam hal</v>
      </c>
      <c r="AQ62" s="23">
        <v>84</v>
      </c>
      <c r="AR62" s="18" t="str">
        <f t="shared" si="32"/>
        <v>Mencapai kompetensi dengan baik dalam hal</v>
      </c>
      <c r="AS62" s="62">
        <f t="shared" si="33"/>
        <v>82.833333333333329</v>
      </c>
      <c r="AT62" s="23">
        <v>80</v>
      </c>
      <c r="AU62" s="18" t="str">
        <f t="shared" si="16"/>
        <v>Mencapai kompetensi dengan baik dalam hal</v>
      </c>
      <c r="AV62" s="23">
        <v>82</v>
      </c>
      <c r="AW62" s="18" t="str">
        <f t="shared" si="34"/>
        <v>Mencapai kompetensi dengan baik dalam hal</v>
      </c>
      <c r="AX62" s="23" t="s">
        <v>81</v>
      </c>
      <c r="AY62" s="23" t="s">
        <v>81</v>
      </c>
      <c r="AZ62" s="23" t="s">
        <v>81</v>
      </c>
      <c r="BA62" s="23">
        <v>1</v>
      </c>
      <c r="BB62" s="23" t="s">
        <v>82</v>
      </c>
      <c r="BC62" s="18" t="s">
        <v>83</v>
      </c>
      <c r="BD62" s="23" t="s">
        <v>84</v>
      </c>
      <c r="BE62" s="18" t="str">
        <f t="shared" si="35"/>
        <v>Baik</v>
      </c>
      <c r="BF62" s="23">
        <v>2</v>
      </c>
      <c r="BG62" s="18" t="s">
        <v>134</v>
      </c>
      <c r="BH62" s="18" t="s">
        <v>83</v>
      </c>
      <c r="BI62" s="23" t="s">
        <v>84</v>
      </c>
      <c r="BJ62" s="18" t="str">
        <f t="shared" si="36"/>
        <v>Baik</v>
      </c>
      <c r="BK62" s="23"/>
      <c r="BL62" s="23"/>
      <c r="BM62" s="23"/>
      <c r="BN62" s="23"/>
      <c r="BO62" s="18"/>
      <c r="BP62" s="54"/>
      <c r="BQ62" s="54"/>
      <c r="BR62" s="54"/>
    </row>
    <row r="63" spans="1:70" ht="24.95" customHeight="1" x14ac:dyDescent="0.25">
      <c r="A63" s="23">
        <v>62</v>
      </c>
      <c r="B63" s="23">
        <v>2525787</v>
      </c>
      <c r="C63" s="23" t="s">
        <v>421</v>
      </c>
      <c r="D63" s="18" t="s">
        <v>422</v>
      </c>
      <c r="E63" s="23" t="s">
        <v>370</v>
      </c>
      <c r="F63" s="23" t="s">
        <v>291</v>
      </c>
      <c r="G63" s="23" t="s">
        <v>371</v>
      </c>
      <c r="H63" s="23" t="s">
        <v>372</v>
      </c>
      <c r="I63" s="60" t="s">
        <v>76</v>
      </c>
      <c r="J63" s="61" t="s">
        <v>77</v>
      </c>
      <c r="K63" s="61" t="s">
        <v>78</v>
      </c>
      <c r="L63" s="61" t="s">
        <v>79</v>
      </c>
      <c r="M63" s="23">
        <v>76</v>
      </c>
      <c r="N63" s="18" t="str">
        <f t="shared" si="20"/>
        <v>Mencapai kompetensi dengan baik dalam hal</v>
      </c>
      <c r="O63" s="23">
        <v>75</v>
      </c>
      <c r="P63" s="18" t="str">
        <f t="shared" si="21"/>
        <v>Mencapai kompetensi dengan baik dalam hal</v>
      </c>
      <c r="Q63" s="23">
        <v>80</v>
      </c>
      <c r="R63" s="18" t="str">
        <f t="shared" si="22"/>
        <v>Mencapai kompetensi dengan baik dalam hal</v>
      </c>
      <c r="S63" s="23">
        <v>78</v>
      </c>
      <c r="T63" s="18" t="str">
        <f t="shared" si="23"/>
        <v>Mencapai kompetensi dengan baik dalam hal</v>
      </c>
      <c r="U63" s="23">
        <v>75</v>
      </c>
      <c r="V63" s="18" t="str">
        <f t="shared" si="24"/>
        <v>Mencapai kompetensi dengan baik dalam hal</v>
      </c>
      <c r="W63" s="23">
        <v>75</v>
      </c>
      <c r="X63" s="18" t="str">
        <f t="shared" si="25"/>
        <v>Mencapai kompetensi dengan baik dalam hal</v>
      </c>
      <c r="Y63" s="23">
        <v>75</v>
      </c>
      <c r="Z63" s="18" t="str">
        <f t="shared" si="26"/>
        <v>Mencapai kompetensi dengan baik dalam hal</v>
      </c>
      <c r="AA63" s="23">
        <v>75</v>
      </c>
      <c r="AB63" s="18" t="str">
        <f t="shared" si="27"/>
        <v>Mencapai kompetensi dengan baik dalam hal</v>
      </c>
      <c r="AC63" s="23">
        <v>76</v>
      </c>
      <c r="AD63" s="18" t="str">
        <f t="shared" si="28"/>
        <v>Mencapai kompetensi dengan baik dalam hal</v>
      </c>
      <c r="AE63" s="23">
        <v>80</v>
      </c>
      <c r="AF63" s="18" t="str">
        <f t="shared" si="29"/>
        <v>Mencapai kompetensi dengan baik dalam hal</v>
      </c>
      <c r="AG63" s="23">
        <v>77</v>
      </c>
      <c r="AH63" s="18" t="str">
        <f t="shared" si="10"/>
        <v>Mencapai kompetensi dengan baik dalam hal</v>
      </c>
      <c r="AI63" s="23">
        <v>87</v>
      </c>
      <c r="AJ63" s="18" t="str">
        <f t="shared" si="11"/>
        <v>Mencapai kompetensi dengan baik dalam hal</v>
      </c>
      <c r="AK63" s="23">
        <v>82</v>
      </c>
      <c r="AL63" s="18" t="str">
        <f t="shared" si="30"/>
        <v>Mencapai kompetensi dengan baik dalam hal</v>
      </c>
      <c r="AM63" s="23">
        <v>76</v>
      </c>
      <c r="AN63" s="18" t="str">
        <f t="shared" si="31"/>
        <v>Mencapai kompetensi dengan baik dalam hal</v>
      </c>
      <c r="AO63" s="23">
        <v>77</v>
      </c>
      <c r="AP63" s="18" t="str">
        <f t="shared" si="14"/>
        <v>Mencapai kompetensi dengan baik dalam hal</v>
      </c>
      <c r="AQ63" s="23">
        <v>80</v>
      </c>
      <c r="AR63" s="18" t="str">
        <f t="shared" si="32"/>
        <v>Mencapai kompetensi dengan baik dalam hal</v>
      </c>
      <c r="AS63" s="62">
        <f t="shared" si="33"/>
        <v>79.833333333333329</v>
      </c>
      <c r="AT63" s="23">
        <v>76</v>
      </c>
      <c r="AU63" s="18" t="str">
        <f t="shared" si="16"/>
        <v>Mencapai kompetensi dengan baik dalam hal</v>
      </c>
      <c r="AV63" s="23">
        <v>75</v>
      </c>
      <c r="AW63" s="18" t="str">
        <f t="shared" si="34"/>
        <v>Mencapai kompetensi dengan baik dalam hal</v>
      </c>
      <c r="AX63" s="23">
        <v>3</v>
      </c>
      <c r="AY63" s="23">
        <v>1</v>
      </c>
      <c r="AZ63" s="23" t="s">
        <v>81</v>
      </c>
      <c r="BA63" s="23">
        <v>1</v>
      </c>
      <c r="BB63" s="23" t="s">
        <v>82</v>
      </c>
      <c r="BC63" s="18" t="s">
        <v>83</v>
      </c>
      <c r="BD63" s="23" t="s">
        <v>104</v>
      </c>
      <c r="BE63" s="18" t="str">
        <f t="shared" si="35"/>
        <v>Cukup</v>
      </c>
      <c r="BF63" s="23">
        <v>2</v>
      </c>
      <c r="BG63" s="18" t="s">
        <v>108</v>
      </c>
      <c r="BH63" s="18" t="s">
        <v>83</v>
      </c>
      <c r="BI63" s="23" t="s">
        <v>86</v>
      </c>
      <c r="BJ63" s="18" t="str">
        <f t="shared" si="36"/>
        <v>Sangat baik</v>
      </c>
      <c r="BK63" s="23"/>
      <c r="BL63" s="23"/>
      <c r="BM63" s="23"/>
      <c r="BN63" s="23"/>
      <c r="BO63" s="18"/>
      <c r="BP63" s="54"/>
      <c r="BQ63" s="54"/>
      <c r="BR63" s="54"/>
    </row>
    <row r="64" spans="1:70" ht="24.95" customHeight="1" x14ac:dyDescent="0.25">
      <c r="A64" s="23">
        <v>63</v>
      </c>
      <c r="B64" s="23">
        <v>2525788</v>
      </c>
      <c r="C64" s="23" t="s">
        <v>423</v>
      </c>
      <c r="D64" s="18" t="s">
        <v>424</v>
      </c>
      <c r="E64" s="23" t="s">
        <v>370</v>
      </c>
      <c r="F64" s="23" t="s">
        <v>291</v>
      </c>
      <c r="G64" s="23" t="s">
        <v>371</v>
      </c>
      <c r="H64" s="23" t="s">
        <v>372</v>
      </c>
      <c r="I64" s="60" t="s">
        <v>76</v>
      </c>
      <c r="J64" s="61" t="s">
        <v>77</v>
      </c>
      <c r="K64" s="61" t="s">
        <v>78</v>
      </c>
      <c r="L64" s="61" t="s">
        <v>79</v>
      </c>
      <c r="M64" s="23">
        <v>76</v>
      </c>
      <c r="N64" s="18" t="str">
        <f t="shared" si="20"/>
        <v>Mencapai kompetensi dengan baik dalam hal</v>
      </c>
      <c r="O64" s="23">
        <v>75</v>
      </c>
      <c r="P64" s="18" t="str">
        <f t="shared" si="21"/>
        <v>Mencapai kompetensi dengan baik dalam hal</v>
      </c>
      <c r="Q64" s="23">
        <v>79</v>
      </c>
      <c r="R64" s="18" t="str">
        <f t="shared" si="22"/>
        <v>Mencapai kompetensi dengan baik dalam hal</v>
      </c>
      <c r="S64" s="23">
        <v>78</v>
      </c>
      <c r="T64" s="18" t="str">
        <f t="shared" si="23"/>
        <v>Mencapai kompetensi dengan baik dalam hal</v>
      </c>
      <c r="U64" s="23">
        <v>75</v>
      </c>
      <c r="V64" s="18" t="str">
        <f t="shared" si="24"/>
        <v>Mencapai kompetensi dengan baik dalam hal</v>
      </c>
      <c r="W64" s="23">
        <v>72</v>
      </c>
      <c r="X64" s="18" t="str">
        <f t="shared" si="25"/>
        <v>Perlu peningkatan dalam hal</v>
      </c>
      <c r="Y64" s="23">
        <v>78</v>
      </c>
      <c r="Z64" s="18" t="str">
        <f t="shared" si="26"/>
        <v>Mencapai kompetensi dengan baik dalam hal</v>
      </c>
      <c r="AA64" s="23">
        <v>75</v>
      </c>
      <c r="AB64" s="18" t="str">
        <f t="shared" si="27"/>
        <v>Mencapai kompetensi dengan baik dalam hal</v>
      </c>
      <c r="AC64" s="23">
        <v>76</v>
      </c>
      <c r="AD64" s="18" t="str">
        <f t="shared" si="28"/>
        <v>Mencapai kompetensi dengan baik dalam hal</v>
      </c>
      <c r="AE64" s="23">
        <v>83</v>
      </c>
      <c r="AF64" s="18" t="str">
        <f t="shared" si="29"/>
        <v>Mencapai kompetensi dengan baik dalam hal</v>
      </c>
      <c r="AG64" s="23">
        <v>84</v>
      </c>
      <c r="AH64" s="18" t="str">
        <f t="shared" si="10"/>
        <v>Mencapai kompetensi dengan baik dalam hal</v>
      </c>
      <c r="AI64" s="23">
        <v>88</v>
      </c>
      <c r="AJ64" s="18" t="str">
        <f t="shared" si="11"/>
        <v>Mencapai kompetensi dengan baik dalam hal</v>
      </c>
      <c r="AK64" s="23">
        <v>83</v>
      </c>
      <c r="AL64" s="18" t="str">
        <f t="shared" si="30"/>
        <v>Mencapai kompetensi dengan baik dalam hal</v>
      </c>
      <c r="AM64" s="23">
        <v>79</v>
      </c>
      <c r="AN64" s="18" t="str">
        <f t="shared" si="31"/>
        <v>Mencapai kompetensi dengan baik dalam hal</v>
      </c>
      <c r="AO64" s="23">
        <v>82</v>
      </c>
      <c r="AP64" s="18" t="str">
        <f t="shared" si="14"/>
        <v>Mencapai kompetensi dengan baik dalam hal</v>
      </c>
      <c r="AQ64" s="23">
        <v>81</v>
      </c>
      <c r="AR64" s="18" t="str">
        <f t="shared" si="32"/>
        <v>Mencapai kompetensi dengan baik dalam hal</v>
      </c>
      <c r="AS64" s="62">
        <f t="shared" si="33"/>
        <v>82.833333333333329</v>
      </c>
      <c r="AT64" s="23">
        <v>76</v>
      </c>
      <c r="AU64" s="18" t="str">
        <f t="shared" si="16"/>
        <v>Mencapai kompetensi dengan baik dalam hal</v>
      </c>
      <c r="AV64" s="23">
        <v>75</v>
      </c>
      <c r="AW64" s="18" t="str">
        <f t="shared" si="34"/>
        <v>Mencapai kompetensi dengan baik dalam hal</v>
      </c>
      <c r="AX64" s="23" t="s">
        <v>81</v>
      </c>
      <c r="AY64" s="23" t="s">
        <v>81</v>
      </c>
      <c r="AZ64" s="23" t="s">
        <v>81</v>
      </c>
      <c r="BA64" s="23">
        <v>1</v>
      </c>
      <c r="BB64" s="23" t="s">
        <v>82</v>
      </c>
      <c r="BC64" s="18" t="s">
        <v>83</v>
      </c>
      <c r="BD64" s="23" t="s">
        <v>84</v>
      </c>
      <c r="BE64" s="18" t="str">
        <f t="shared" si="35"/>
        <v>Baik</v>
      </c>
      <c r="BF64" s="23">
        <v>2</v>
      </c>
      <c r="BG64" s="18" t="s">
        <v>99</v>
      </c>
      <c r="BH64" s="18" t="s">
        <v>83</v>
      </c>
      <c r="BI64" s="23" t="s">
        <v>84</v>
      </c>
      <c r="BJ64" s="18" t="str">
        <f t="shared" si="36"/>
        <v>Baik</v>
      </c>
      <c r="BK64" s="23"/>
      <c r="BL64" s="23"/>
      <c r="BM64" s="23"/>
      <c r="BN64" s="23"/>
      <c r="BO64" s="18"/>
      <c r="BP64" s="54"/>
      <c r="BQ64" s="54"/>
      <c r="BR64" s="54"/>
    </row>
    <row r="65" spans="1:70" ht="24.95" customHeight="1" x14ac:dyDescent="0.25">
      <c r="A65" s="23">
        <v>64</v>
      </c>
      <c r="B65" s="23">
        <v>2525789</v>
      </c>
      <c r="C65" s="23" t="s">
        <v>425</v>
      </c>
      <c r="D65" s="18" t="s">
        <v>426</v>
      </c>
      <c r="E65" s="23" t="s">
        <v>370</v>
      </c>
      <c r="F65" s="23" t="s">
        <v>291</v>
      </c>
      <c r="G65" s="23" t="s">
        <v>371</v>
      </c>
      <c r="H65" s="23" t="s">
        <v>372</v>
      </c>
      <c r="I65" s="60" t="s">
        <v>76</v>
      </c>
      <c r="J65" s="61" t="s">
        <v>77</v>
      </c>
      <c r="K65" s="61" t="s">
        <v>78</v>
      </c>
      <c r="L65" s="61" t="s">
        <v>79</v>
      </c>
      <c r="M65" s="23">
        <v>80</v>
      </c>
      <c r="N65" s="18" t="str">
        <f t="shared" si="20"/>
        <v>Mencapai kompetensi dengan baik dalam hal</v>
      </c>
      <c r="O65" s="23">
        <v>76</v>
      </c>
      <c r="P65" s="18" t="str">
        <f t="shared" si="21"/>
        <v>Mencapai kompetensi dengan baik dalam hal</v>
      </c>
      <c r="Q65" s="23">
        <v>80</v>
      </c>
      <c r="R65" s="18" t="str">
        <f t="shared" si="22"/>
        <v>Mencapai kompetensi dengan baik dalam hal</v>
      </c>
      <c r="S65" s="23">
        <v>78</v>
      </c>
      <c r="T65" s="18" t="str">
        <f t="shared" si="23"/>
        <v>Mencapai kompetensi dengan baik dalam hal</v>
      </c>
      <c r="U65" s="23">
        <v>75</v>
      </c>
      <c r="V65" s="18" t="str">
        <f t="shared" si="24"/>
        <v>Mencapai kompetensi dengan baik dalam hal</v>
      </c>
      <c r="W65" s="23">
        <v>76</v>
      </c>
      <c r="X65" s="18" t="str">
        <f t="shared" si="25"/>
        <v>Mencapai kompetensi dengan baik dalam hal</v>
      </c>
      <c r="Y65" s="23">
        <v>78</v>
      </c>
      <c r="Z65" s="18" t="str">
        <f t="shared" si="26"/>
        <v>Mencapai kompetensi dengan baik dalam hal</v>
      </c>
      <c r="AA65" s="23">
        <v>79</v>
      </c>
      <c r="AB65" s="18" t="str">
        <f t="shared" si="27"/>
        <v>Mencapai kompetensi dengan baik dalam hal</v>
      </c>
      <c r="AC65" s="23">
        <v>76</v>
      </c>
      <c r="AD65" s="18" t="str">
        <f t="shared" si="28"/>
        <v>Mencapai kompetensi dengan baik dalam hal</v>
      </c>
      <c r="AE65" s="23">
        <v>82</v>
      </c>
      <c r="AF65" s="18" t="str">
        <f t="shared" si="29"/>
        <v>Mencapai kompetensi dengan baik dalam hal</v>
      </c>
      <c r="AG65" s="23">
        <v>84</v>
      </c>
      <c r="AH65" s="18" t="str">
        <f t="shared" si="10"/>
        <v>Mencapai kompetensi dengan baik dalam hal</v>
      </c>
      <c r="AI65" s="23">
        <v>85</v>
      </c>
      <c r="AJ65" s="18" t="str">
        <f t="shared" si="11"/>
        <v>Mencapai kompetensi dengan baik dalam hal</v>
      </c>
      <c r="AK65" s="23">
        <v>81</v>
      </c>
      <c r="AL65" s="18" t="str">
        <f t="shared" si="30"/>
        <v>Mencapai kompetensi dengan baik dalam hal</v>
      </c>
      <c r="AM65" s="23">
        <v>85</v>
      </c>
      <c r="AN65" s="18" t="str">
        <f t="shared" si="31"/>
        <v>Mencapai kompetensi dengan baik dalam hal</v>
      </c>
      <c r="AO65" s="23">
        <v>83</v>
      </c>
      <c r="AP65" s="18" t="str">
        <f t="shared" si="14"/>
        <v>Mencapai kompetensi dengan baik dalam hal</v>
      </c>
      <c r="AQ65" s="23">
        <v>81</v>
      </c>
      <c r="AR65" s="18" t="str">
        <f t="shared" si="32"/>
        <v>Mencapai kompetensi dengan baik dalam hal</v>
      </c>
      <c r="AS65" s="62">
        <f t="shared" si="33"/>
        <v>83.166666666666671</v>
      </c>
      <c r="AT65" s="23">
        <v>76</v>
      </c>
      <c r="AU65" s="18" t="str">
        <f t="shared" si="16"/>
        <v>Mencapai kompetensi dengan baik dalam hal</v>
      </c>
      <c r="AV65" s="23">
        <v>75</v>
      </c>
      <c r="AW65" s="18" t="str">
        <f t="shared" si="34"/>
        <v>Mencapai kompetensi dengan baik dalam hal</v>
      </c>
      <c r="AX65" s="23" t="s">
        <v>81</v>
      </c>
      <c r="AY65" s="23" t="s">
        <v>81</v>
      </c>
      <c r="AZ65" s="23" t="s">
        <v>81</v>
      </c>
      <c r="BA65" s="23">
        <v>1</v>
      </c>
      <c r="BB65" s="23" t="s">
        <v>82</v>
      </c>
      <c r="BC65" s="18" t="s">
        <v>83</v>
      </c>
      <c r="BD65" s="23" t="s">
        <v>86</v>
      </c>
      <c r="BE65" s="18" t="str">
        <f t="shared" si="35"/>
        <v>Sangat baik</v>
      </c>
      <c r="BF65" s="23">
        <v>2</v>
      </c>
      <c r="BG65" s="18" t="s">
        <v>103</v>
      </c>
      <c r="BH65" s="18" t="s">
        <v>83</v>
      </c>
      <c r="BI65" s="23" t="s">
        <v>84</v>
      </c>
      <c r="BJ65" s="18" t="str">
        <f t="shared" si="36"/>
        <v>Baik</v>
      </c>
      <c r="BK65" s="23"/>
      <c r="BL65" s="23"/>
      <c r="BM65" s="23"/>
      <c r="BN65" s="23"/>
      <c r="BO65" s="18"/>
      <c r="BP65" s="54"/>
      <c r="BQ65" s="54"/>
      <c r="BR65" s="54"/>
    </row>
    <row r="66" spans="1:70" ht="24.95" customHeight="1" x14ac:dyDescent="0.25">
      <c r="A66" s="23">
        <v>65</v>
      </c>
      <c r="B66" s="23">
        <v>2525790</v>
      </c>
      <c r="C66" s="23" t="s">
        <v>427</v>
      </c>
      <c r="D66" s="18" t="s">
        <v>428</v>
      </c>
      <c r="E66" s="23" t="s">
        <v>370</v>
      </c>
      <c r="F66" s="23" t="s">
        <v>291</v>
      </c>
      <c r="G66" s="23" t="s">
        <v>371</v>
      </c>
      <c r="H66" s="23" t="s">
        <v>372</v>
      </c>
      <c r="I66" s="60" t="s">
        <v>76</v>
      </c>
      <c r="J66" s="61" t="s">
        <v>77</v>
      </c>
      <c r="K66" s="61" t="s">
        <v>78</v>
      </c>
      <c r="L66" s="61" t="s">
        <v>79</v>
      </c>
      <c r="M66" s="23">
        <v>86</v>
      </c>
      <c r="N66" s="18" t="str">
        <f t="shared" si="20"/>
        <v>Mencapai kompetensi dengan baik dalam hal</v>
      </c>
      <c r="O66" s="23">
        <v>75</v>
      </c>
      <c r="P66" s="18" t="str">
        <f t="shared" si="21"/>
        <v>Mencapai kompetensi dengan baik dalam hal</v>
      </c>
      <c r="Q66" s="23">
        <v>81</v>
      </c>
      <c r="R66" s="18" t="str">
        <f t="shared" si="22"/>
        <v>Mencapai kompetensi dengan baik dalam hal</v>
      </c>
      <c r="S66" s="23">
        <v>78</v>
      </c>
      <c r="T66" s="18" t="str">
        <f t="shared" si="23"/>
        <v>Mencapai kompetensi dengan baik dalam hal</v>
      </c>
      <c r="U66" s="23">
        <v>75</v>
      </c>
      <c r="V66" s="18" t="str">
        <f t="shared" si="24"/>
        <v>Mencapai kompetensi dengan baik dalam hal</v>
      </c>
      <c r="W66" s="23">
        <v>75</v>
      </c>
      <c r="X66" s="18" t="str">
        <f t="shared" si="25"/>
        <v>Mencapai kompetensi dengan baik dalam hal</v>
      </c>
      <c r="Y66" s="23">
        <v>82</v>
      </c>
      <c r="Z66" s="18" t="str">
        <f t="shared" si="26"/>
        <v>Mencapai kompetensi dengan baik dalam hal</v>
      </c>
      <c r="AA66" s="23">
        <v>75</v>
      </c>
      <c r="AB66" s="18" t="str">
        <f t="shared" si="27"/>
        <v>Mencapai kompetensi dengan baik dalam hal</v>
      </c>
      <c r="AC66" s="23">
        <v>82</v>
      </c>
      <c r="AD66" s="18" t="str">
        <f t="shared" si="28"/>
        <v>Mencapai kompetensi dengan baik dalam hal</v>
      </c>
      <c r="AE66" s="23">
        <v>85</v>
      </c>
      <c r="AF66" s="18" t="str">
        <f t="shared" si="29"/>
        <v>Mencapai kompetensi dengan baik dalam hal</v>
      </c>
      <c r="AG66" s="23">
        <v>78</v>
      </c>
      <c r="AH66" s="18" t="str">
        <f t="shared" ref="AH66:AH108" si="37">VLOOKUP(AG66,grades1,2,TRUE)</f>
        <v>Mencapai kompetensi dengan baik dalam hal</v>
      </c>
      <c r="AI66" s="23">
        <v>94</v>
      </c>
      <c r="AJ66" s="18" t="str">
        <f t="shared" ref="AJ66:AJ108" si="38">VLOOKUP(AI66,grades1,2,TRUE)</f>
        <v>Mencapai kompetensi dengan sangat baik dalam hal</v>
      </c>
      <c r="AK66" s="23">
        <v>85</v>
      </c>
      <c r="AL66" s="18" t="str">
        <f t="shared" si="30"/>
        <v>Mencapai kompetensi dengan baik dalam hal</v>
      </c>
      <c r="AM66" s="23">
        <v>77</v>
      </c>
      <c r="AN66" s="18" t="str">
        <f t="shared" si="31"/>
        <v>Mencapai kompetensi dengan baik dalam hal</v>
      </c>
      <c r="AO66" s="23">
        <v>76</v>
      </c>
      <c r="AP66" s="18" t="str">
        <f t="shared" ref="AP66:AP108" si="39">VLOOKUP(AO66,grades1,2,TRUE)</f>
        <v>Mencapai kompetensi dengan baik dalam hal</v>
      </c>
      <c r="AQ66" s="23">
        <v>82</v>
      </c>
      <c r="AR66" s="18" t="str">
        <f t="shared" si="32"/>
        <v>Mencapai kompetensi dengan baik dalam hal</v>
      </c>
      <c r="AS66" s="62">
        <f t="shared" si="33"/>
        <v>82</v>
      </c>
      <c r="AT66" s="23">
        <v>82</v>
      </c>
      <c r="AU66" s="18" t="str">
        <f t="shared" ref="AU66:AU108" si="40">VLOOKUP(AT66,grades1,2,TRUE)</f>
        <v>Mencapai kompetensi dengan baik dalam hal</v>
      </c>
      <c r="AV66" s="23">
        <v>75</v>
      </c>
      <c r="AW66" s="18" t="str">
        <f t="shared" si="34"/>
        <v>Mencapai kompetensi dengan baik dalam hal</v>
      </c>
      <c r="AX66" s="23">
        <v>3</v>
      </c>
      <c r="AY66" s="23" t="s">
        <v>81</v>
      </c>
      <c r="AZ66" s="23" t="s">
        <v>81</v>
      </c>
      <c r="BA66" s="23">
        <v>1</v>
      </c>
      <c r="BB66" s="23" t="s">
        <v>82</v>
      </c>
      <c r="BC66" s="18" t="s">
        <v>83</v>
      </c>
      <c r="BD66" s="23" t="s">
        <v>84</v>
      </c>
      <c r="BE66" s="18" t="str">
        <f t="shared" ref="BE66:BE97" si="41">VLOOKUP(BD66,grades4,2,TRUE)</f>
        <v>Baik</v>
      </c>
      <c r="BF66" s="23">
        <v>2</v>
      </c>
      <c r="BG66" s="18" t="s">
        <v>429</v>
      </c>
      <c r="BH66" s="18" t="s">
        <v>83</v>
      </c>
      <c r="BI66" s="23" t="s">
        <v>84</v>
      </c>
      <c r="BJ66" s="18" t="str">
        <f t="shared" ref="BJ66:BJ97" si="42">VLOOKUP(BI66,grades4,2,TRUE)</f>
        <v>Baik</v>
      </c>
      <c r="BK66" s="23"/>
      <c r="BL66" s="23"/>
      <c r="BM66" s="23"/>
      <c r="BN66" s="23"/>
      <c r="BO66" s="18"/>
      <c r="BP66" s="54"/>
      <c r="BQ66" s="54"/>
      <c r="BR66" s="54"/>
    </row>
    <row r="67" spans="1:70" ht="24.95" customHeight="1" x14ac:dyDescent="0.25">
      <c r="A67" s="23">
        <v>66</v>
      </c>
      <c r="B67" s="23">
        <v>2525791</v>
      </c>
      <c r="C67" s="23" t="s">
        <v>430</v>
      </c>
      <c r="D67" s="18" t="s">
        <v>431</v>
      </c>
      <c r="E67" s="23" t="s">
        <v>370</v>
      </c>
      <c r="F67" s="23" t="s">
        <v>291</v>
      </c>
      <c r="G67" s="23" t="s">
        <v>371</v>
      </c>
      <c r="H67" s="23" t="s">
        <v>372</v>
      </c>
      <c r="I67" s="60" t="s">
        <v>76</v>
      </c>
      <c r="J67" s="61" t="s">
        <v>77</v>
      </c>
      <c r="K67" s="61" t="s">
        <v>78</v>
      </c>
      <c r="L67" s="61" t="s">
        <v>79</v>
      </c>
      <c r="M67" s="23">
        <v>83</v>
      </c>
      <c r="N67" s="18" t="str">
        <f t="shared" ref="N67:N108" si="43">VLOOKUP(M67,grades1,2,TRUE)</f>
        <v>Mencapai kompetensi dengan baik dalam hal</v>
      </c>
      <c r="O67" s="23">
        <v>79</v>
      </c>
      <c r="P67" s="18" t="str">
        <f t="shared" ref="P67:P108" si="44">VLOOKUP(O67,grades1,2,TRUE)</f>
        <v>Mencapai kompetensi dengan baik dalam hal</v>
      </c>
      <c r="Q67" s="23">
        <v>82</v>
      </c>
      <c r="R67" s="18" t="str">
        <f t="shared" ref="R67:R108" si="45">VLOOKUP(Q67,grades1,2,TRUE)</f>
        <v>Mencapai kompetensi dengan baik dalam hal</v>
      </c>
      <c r="S67" s="23">
        <v>78</v>
      </c>
      <c r="T67" s="18" t="str">
        <f t="shared" ref="T67:T108" si="46">VLOOKUP(S67,grades1,2,TRUE)</f>
        <v>Mencapai kompetensi dengan baik dalam hal</v>
      </c>
      <c r="U67" s="23">
        <v>84</v>
      </c>
      <c r="V67" s="18" t="str">
        <f t="shared" ref="V67:V108" si="47">VLOOKUP(U67,grades1,2,TRUE)</f>
        <v>Mencapai kompetensi dengan baik dalam hal</v>
      </c>
      <c r="W67" s="23">
        <v>82</v>
      </c>
      <c r="X67" s="18" t="str">
        <f t="shared" ref="X67:X108" si="48">VLOOKUP(W67,grades1,2,TRUE)</f>
        <v>Mencapai kompetensi dengan baik dalam hal</v>
      </c>
      <c r="Y67" s="23">
        <v>81</v>
      </c>
      <c r="Z67" s="18" t="str">
        <f t="shared" ref="Z67:Z108" si="49">VLOOKUP(Y67,grades1,2,TRUE)</f>
        <v>Mencapai kompetensi dengan baik dalam hal</v>
      </c>
      <c r="AA67" s="23">
        <v>78</v>
      </c>
      <c r="AB67" s="18" t="str">
        <f t="shared" ref="AB67:AB108" si="50">VLOOKUP(AA67,grades1,2,TRUE)</f>
        <v>Mencapai kompetensi dengan baik dalam hal</v>
      </c>
      <c r="AC67" s="23">
        <v>88</v>
      </c>
      <c r="AD67" s="18" t="str">
        <f t="shared" ref="AD67:AD108" si="51">VLOOKUP(AC67,grades1,2,TRUE)</f>
        <v>Mencapai kompetensi dengan baik dalam hal</v>
      </c>
      <c r="AE67" s="23">
        <v>90</v>
      </c>
      <c r="AF67" s="18" t="str">
        <f t="shared" ref="AF67:AF108" si="52">VLOOKUP(AE67,grades1,2,TRUE)</f>
        <v>Mencapai kompetensi dengan sangat baik dalam hal</v>
      </c>
      <c r="AG67" s="23">
        <v>85</v>
      </c>
      <c r="AH67" s="18" t="str">
        <f t="shared" si="37"/>
        <v>Mencapai kompetensi dengan baik dalam hal</v>
      </c>
      <c r="AI67" s="23">
        <v>96</v>
      </c>
      <c r="AJ67" s="18" t="str">
        <f t="shared" si="38"/>
        <v>Mencapai kompetensi dengan sangat baik dalam hal</v>
      </c>
      <c r="AK67" s="23">
        <v>92</v>
      </c>
      <c r="AL67" s="18" t="str">
        <f t="shared" ref="AL67:AL108" si="53">VLOOKUP(AK67,grades1,2,TRUE)</f>
        <v>Mencapai kompetensi dengan sangat baik dalam hal</v>
      </c>
      <c r="AM67" s="23">
        <v>89</v>
      </c>
      <c r="AN67" s="18" t="str">
        <f t="shared" ref="AN67:AN108" si="54">VLOOKUP(AM67,grades1,2,TRUE)</f>
        <v>Mencapai kompetensi dengan baik dalam hal</v>
      </c>
      <c r="AO67" s="23">
        <v>86</v>
      </c>
      <c r="AP67" s="18" t="str">
        <f t="shared" si="39"/>
        <v>Mencapai kompetensi dengan baik dalam hal</v>
      </c>
      <c r="AQ67" s="23">
        <v>82</v>
      </c>
      <c r="AR67" s="18" t="str">
        <f t="shared" ref="AR67:AR108" si="55">VLOOKUP(AQ67,grades1,2,TRUE)</f>
        <v>Mencapai kompetensi dengan baik dalam hal</v>
      </c>
      <c r="AS67" s="62">
        <f t="shared" ref="AS67:AS108" si="56">AVERAGE(AQ67,AO67,AM67,AK67,AI67,AG67)</f>
        <v>88.333333333333329</v>
      </c>
      <c r="AT67" s="23">
        <v>88</v>
      </c>
      <c r="AU67" s="18" t="str">
        <f t="shared" si="40"/>
        <v>Mencapai kompetensi dengan baik dalam hal</v>
      </c>
      <c r="AV67" s="23">
        <v>80</v>
      </c>
      <c r="AW67" s="18" t="str">
        <f t="shared" ref="AW67:AW108" si="57">VLOOKUP(AV67,grades1,2,TRUE)</f>
        <v>Mencapai kompetensi dengan baik dalam hal</v>
      </c>
      <c r="AX67" s="23" t="s">
        <v>81</v>
      </c>
      <c r="AY67" s="23" t="s">
        <v>81</v>
      </c>
      <c r="AZ67" s="23" t="s">
        <v>81</v>
      </c>
      <c r="BA67" s="23">
        <v>1</v>
      </c>
      <c r="BB67" s="23" t="s">
        <v>82</v>
      </c>
      <c r="BC67" s="18" t="s">
        <v>83</v>
      </c>
      <c r="BD67" s="23" t="s">
        <v>84</v>
      </c>
      <c r="BE67" s="18" t="str">
        <f t="shared" si="41"/>
        <v>Baik</v>
      </c>
      <c r="BF67" s="23">
        <v>2</v>
      </c>
      <c r="BG67" s="18" t="s">
        <v>119</v>
      </c>
      <c r="BH67" s="18" t="s">
        <v>83</v>
      </c>
      <c r="BI67" s="23" t="s">
        <v>84</v>
      </c>
      <c r="BJ67" s="18" t="str">
        <f t="shared" si="42"/>
        <v>Baik</v>
      </c>
      <c r="BK67" s="23"/>
      <c r="BL67" s="23"/>
      <c r="BM67" s="23"/>
      <c r="BN67" s="23"/>
      <c r="BO67" s="18"/>
      <c r="BP67" s="54"/>
      <c r="BQ67" s="54"/>
      <c r="BR67" s="54"/>
    </row>
    <row r="68" spans="1:70" ht="24.95" customHeight="1" x14ac:dyDescent="0.25">
      <c r="A68" s="23">
        <v>67</v>
      </c>
      <c r="B68" s="23">
        <v>2525792</v>
      </c>
      <c r="C68" s="23" t="s">
        <v>432</v>
      </c>
      <c r="D68" s="18" t="s">
        <v>433</v>
      </c>
      <c r="E68" s="23" t="s">
        <v>370</v>
      </c>
      <c r="F68" s="23" t="s">
        <v>291</v>
      </c>
      <c r="G68" s="23" t="s">
        <v>371</v>
      </c>
      <c r="H68" s="23" t="s">
        <v>372</v>
      </c>
      <c r="I68" s="60" t="s">
        <v>76</v>
      </c>
      <c r="J68" s="61" t="s">
        <v>77</v>
      </c>
      <c r="K68" s="61" t="s">
        <v>78</v>
      </c>
      <c r="L68" s="61" t="s">
        <v>79</v>
      </c>
      <c r="M68" s="23">
        <v>80</v>
      </c>
      <c r="N68" s="18" t="str">
        <f t="shared" si="43"/>
        <v>Mencapai kompetensi dengan baik dalam hal</v>
      </c>
      <c r="O68" s="23">
        <v>75</v>
      </c>
      <c r="P68" s="18" t="str">
        <f t="shared" si="44"/>
        <v>Mencapai kompetensi dengan baik dalam hal</v>
      </c>
      <c r="Q68" s="23">
        <v>80</v>
      </c>
      <c r="R68" s="18" t="str">
        <f t="shared" si="45"/>
        <v>Mencapai kompetensi dengan baik dalam hal</v>
      </c>
      <c r="S68" s="23">
        <v>80</v>
      </c>
      <c r="T68" s="18" t="str">
        <f t="shared" si="46"/>
        <v>Mencapai kompetensi dengan baik dalam hal</v>
      </c>
      <c r="U68" s="23">
        <v>81</v>
      </c>
      <c r="V68" s="18" t="str">
        <f t="shared" si="47"/>
        <v>Mencapai kompetensi dengan baik dalam hal</v>
      </c>
      <c r="W68" s="23">
        <v>79</v>
      </c>
      <c r="X68" s="18" t="str">
        <f t="shared" si="48"/>
        <v>Mencapai kompetensi dengan baik dalam hal</v>
      </c>
      <c r="Y68" s="23">
        <v>76</v>
      </c>
      <c r="Z68" s="18" t="str">
        <f t="shared" si="49"/>
        <v>Mencapai kompetensi dengan baik dalam hal</v>
      </c>
      <c r="AA68" s="23">
        <v>76</v>
      </c>
      <c r="AB68" s="18" t="str">
        <f t="shared" si="50"/>
        <v>Mencapai kompetensi dengan baik dalam hal</v>
      </c>
      <c r="AC68" s="23">
        <v>78</v>
      </c>
      <c r="AD68" s="18" t="str">
        <f t="shared" si="51"/>
        <v>Mencapai kompetensi dengan baik dalam hal</v>
      </c>
      <c r="AE68" s="23">
        <v>84</v>
      </c>
      <c r="AF68" s="18" t="str">
        <f t="shared" si="52"/>
        <v>Mencapai kompetensi dengan baik dalam hal</v>
      </c>
      <c r="AG68" s="23">
        <v>86</v>
      </c>
      <c r="AH68" s="18" t="str">
        <f t="shared" si="37"/>
        <v>Mencapai kompetensi dengan baik dalam hal</v>
      </c>
      <c r="AI68" s="23">
        <v>91</v>
      </c>
      <c r="AJ68" s="18" t="str">
        <f t="shared" si="38"/>
        <v>Mencapai kompetensi dengan sangat baik dalam hal</v>
      </c>
      <c r="AK68" s="23">
        <v>90</v>
      </c>
      <c r="AL68" s="18" t="str">
        <f t="shared" si="53"/>
        <v>Mencapai kompetensi dengan sangat baik dalam hal</v>
      </c>
      <c r="AM68" s="23">
        <v>80</v>
      </c>
      <c r="AN68" s="18" t="str">
        <f t="shared" si="54"/>
        <v>Mencapai kompetensi dengan baik dalam hal</v>
      </c>
      <c r="AO68" s="23">
        <v>80</v>
      </c>
      <c r="AP68" s="18" t="str">
        <f t="shared" si="39"/>
        <v>Mencapai kompetensi dengan baik dalam hal</v>
      </c>
      <c r="AQ68" s="23">
        <v>83</v>
      </c>
      <c r="AR68" s="18" t="str">
        <f t="shared" si="55"/>
        <v>Mencapai kompetensi dengan baik dalam hal</v>
      </c>
      <c r="AS68" s="62">
        <f t="shared" si="56"/>
        <v>85</v>
      </c>
      <c r="AT68" s="23">
        <v>78</v>
      </c>
      <c r="AU68" s="18" t="str">
        <f t="shared" si="40"/>
        <v>Mencapai kompetensi dengan baik dalam hal</v>
      </c>
      <c r="AV68" s="23">
        <v>76</v>
      </c>
      <c r="AW68" s="18" t="str">
        <f t="shared" si="57"/>
        <v>Mencapai kompetensi dengan baik dalam hal</v>
      </c>
      <c r="AX68" s="23">
        <v>1</v>
      </c>
      <c r="AY68" s="23" t="s">
        <v>81</v>
      </c>
      <c r="AZ68" s="23" t="s">
        <v>81</v>
      </c>
      <c r="BA68" s="23">
        <v>1</v>
      </c>
      <c r="BB68" s="23" t="s">
        <v>82</v>
      </c>
      <c r="BC68" s="18" t="s">
        <v>83</v>
      </c>
      <c r="BD68" s="23" t="s">
        <v>86</v>
      </c>
      <c r="BE68" s="18" t="str">
        <f t="shared" si="41"/>
        <v>Sangat baik</v>
      </c>
      <c r="BF68" s="23">
        <v>2</v>
      </c>
      <c r="BG68" s="18" t="s">
        <v>99</v>
      </c>
      <c r="BH68" s="18" t="s">
        <v>83</v>
      </c>
      <c r="BI68" s="23" t="s">
        <v>84</v>
      </c>
      <c r="BJ68" s="18" t="str">
        <f t="shared" si="42"/>
        <v>Baik</v>
      </c>
      <c r="BK68" s="23"/>
      <c r="BL68" s="23"/>
      <c r="BM68" s="23"/>
      <c r="BN68" s="23"/>
      <c r="BO68" s="18"/>
      <c r="BP68" s="54"/>
      <c r="BQ68" s="54"/>
      <c r="BR68" s="54"/>
    </row>
    <row r="69" spans="1:70" ht="24.95" customHeight="1" x14ac:dyDescent="0.25">
      <c r="A69" s="23">
        <v>68</v>
      </c>
      <c r="B69" s="23">
        <v>2525793</v>
      </c>
      <c r="C69" s="23" t="s">
        <v>434</v>
      </c>
      <c r="D69" s="18" t="s">
        <v>435</v>
      </c>
      <c r="E69" s="23" t="s">
        <v>370</v>
      </c>
      <c r="F69" s="23" t="s">
        <v>291</v>
      </c>
      <c r="G69" s="23" t="s">
        <v>371</v>
      </c>
      <c r="H69" s="23" t="s">
        <v>372</v>
      </c>
      <c r="I69" s="60" t="s">
        <v>76</v>
      </c>
      <c r="J69" s="61" t="s">
        <v>77</v>
      </c>
      <c r="K69" s="61" t="s">
        <v>78</v>
      </c>
      <c r="L69" s="61" t="s">
        <v>79</v>
      </c>
      <c r="M69" s="23">
        <v>78</v>
      </c>
      <c r="N69" s="18" t="str">
        <f t="shared" si="43"/>
        <v>Mencapai kompetensi dengan baik dalam hal</v>
      </c>
      <c r="O69" s="23">
        <v>75</v>
      </c>
      <c r="P69" s="18" t="str">
        <f t="shared" si="44"/>
        <v>Mencapai kompetensi dengan baik dalam hal</v>
      </c>
      <c r="Q69" s="23">
        <v>80</v>
      </c>
      <c r="R69" s="18" t="str">
        <f t="shared" si="45"/>
        <v>Mencapai kompetensi dengan baik dalam hal</v>
      </c>
      <c r="S69" s="23">
        <v>79</v>
      </c>
      <c r="T69" s="18" t="str">
        <f t="shared" si="46"/>
        <v>Mencapai kompetensi dengan baik dalam hal</v>
      </c>
      <c r="U69" s="23">
        <v>75</v>
      </c>
      <c r="V69" s="18" t="str">
        <f t="shared" si="47"/>
        <v>Mencapai kompetensi dengan baik dalam hal</v>
      </c>
      <c r="W69" s="23">
        <v>75</v>
      </c>
      <c r="X69" s="18" t="str">
        <f t="shared" si="48"/>
        <v>Mencapai kompetensi dengan baik dalam hal</v>
      </c>
      <c r="Y69" s="23">
        <v>76</v>
      </c>
      <c r="Z69" s="18" t="str">
        <f t="shared" si="49"/>
        <v>Mencapai kompetensi dengan baik dalam hal</v>
      </c>
      <c r="AA69" s="23">
        <v>75</v>
      </c>
      <c r="AB69" s="18" t="str">
        <f t="shared" si="50"/>
        <v>Mencapai kompetensi dengan baik dalam hal</v>
      </c>
      <c r="AC69" s="23">
        <v>77</v>
      </c>
      <c r="AD69" s="18" t="str">
        <f t="shared" si="51"/>
        <v>Mencapai kompetensi dengan baik dalam hal</v>
      </c>
      <c r="AE69" s="23">
        <v>82</v>
      </c>
      <c r="AF69" s="18" t="str">
        <f t="shared" si="52"/>
        <v>Mencapai kompetensi dengan baik dalam hal</v>
      </c>
      <c r="AG69" s="23">
        <v>77</v>
      </c>
      <c r="AH69" s="18" t="str">
        <f t="shared" si="37"/>
        <v>Mencapai kompetensi dengan baik dalam hal</v>
      </c>
      <c r="AI69" s="23">
        <v>92</v>
      </c>
      <c r="AJ69" s="18" t="str">
        <f t="shared" si="38"/>
        <v>Mencapai kompetensi dengan sangat baik dalam hal</v>
      </c>
      <c r="AK69" s="23">
        <v>89</v>
      </c>
      <c r="AL69" s="18" t="str">
        <f t="shared" si="53"/>
        <v>Mencapai kompetensi dengan baik dalam hal</v>
      </c>
      <c r="AM69" s="23">
        <v>76</v>
      </c>
      <c r="AN69" s="18" t="str">
        <f t="shared" si="54"/>
        <v>Mencapai kompetensi dengan baik dalam hal</v>
      </c>
      <c r="AO69" s="23">
        <v>77</v>
      </c>
      <c r="AP69" s="18" t="str">
        <f t="shared" si="39"/>
        <v>Mencapai kompetensi dengan baik dalam hal</v>
      </c>
      <c r="AQ69" s="23">
        <v>81</v>
      </c>
      <c r="AR69" s="18" t="str">
        <f t="shared" si="55"/>
        <v>Mencapai kompetensi dengan baik dalam hal</v>
      </c>
      <c r="AS69" s="62">
        <f t="shared" si="56"/>
        <v>82</v>
      </c>
      <c r="AT69" s="23">
        <v>77</v>
      </c>
      <c r="AU69" s="18" t="str">
        <f t="shared" si="40"/>
        <v>Mencapai kompetensi dengan baik dalam hal</v>
      </c>
      <c r="AV69" s="23">
        <v>75</v>
      </c>
      <c r="AW69" s="18" t="str">
        <f t="shared" si="57"/>
        <v>Mencapai kompetensi dengan baik dalam hal</v>
      </c>
      <c r="AX69" s="23">
        <v>1</v>
      </c>
      <c r="AY69" s="23" t="s">
        <v>81</v>
      </c>
      <c r="AZ69" s="23" t="s">
        <v>81</v>
      </c>
      <c r="BA69" s="23">
        <v>1</v>
      </c>
      <c r="BB69" s="23" t="s">
        <v>82</v>
      </c>
      <c r="BC69" s="18" t="s">
        <v>83</v>
      </c>
      <c r="BD69" s="23" t="s">
        <v>84</v>
      </c>
      <c r="BE69" s="18" t="str">
        <f t="shared" si="41"/>
        <v>Baik</v>
      </c>
      <c r="BF69" s="23">
        <v>2</v>
      </c>
      <c r="BG69" s="18" t="s">
        <v>103</v>
      </c>
      <c r="BH69" s="18" t="s">
        <v>83</v>
      </c>
      <c r="BI69" s="23" t="s">
        <v>84</v>
      </c>
      <c r="BJ69" s="18" t="str">
        <f t="shared" si="42"/>
        <v>Baik</v>
      </c>
      <c r="BK69" s="23"/>
      <c r="BL69" s="23"/>
      <c r="BM69" s="23"/>
      <c r="BN69" s="23"/>
      <c r="BO69" s="18"/>
      <c r="BP69" s="54"/>
      <c r="BQ69" s="54"/>
      <c r="BR69" s="54"/>
    </row>
    <row r="70" spans="1:70" ht="24.95" customHeight="1" x14ac:dyDescent="0.25">
      <c r="A70" s="23">
        <v>69</v>
      </c>
      <c r="B70" s="23">
        <v>2525794</v>
      </c>
      <c r="C70" s="23" t="s">
        <v>436</v>
      </c>
      <c r="D70" s="18" t="s">
        <v>437</v>
      </c>
      <c r="E70" s="23" t="s">
        <v>370</v>
      </c>
      <c r="F70" s="23" t="s">
        <v>291</v>
      </c>
      <c r="G70" s="23" t="s">
        <v>371</v>
      </c>
      <c r="H70" s="23" t="s">
        <v>372</v>
      </c>
      <c r="I70" s="60" t="s">
        <v>76</v>
      </c>
      <c r="J70" s="61" t="s">
        <v>77</v>
      </c>
      <c r="K70" s="61" t="s">
        <v>78</v>
      </c>
      <c r="L70" s="61" t="s">
        <v>79</v>
      </c>
      <c r="M70" s="23">
        <v>79</v>
      </c>
      <c r="N70" s="18" t="str">
        <f t="shared" si="43"/>
        <v>Mencapai kompetensi dengan baik dalam hal</v>
      </c>
      <c r="O70" s="23">
        <v>75</v>
      </c>
      <c r="P70" s="18" t="str">
        <f t="shared" si="44"/>
        <v>Mencapai kompetensi dengan baik dalam hal</v>
      </c>
      <c r="Q70" s="23">
        <v>80</v>
      </c>
      <c r="R70" s="18" t="str">
        <f t="shared" si="45"/>
        <v>Mencapai kompetensi dengan baik dalam hal</v>
      </c>
      <c r="S70" s="23">
        <v>78</v>
      </c>
      <c r="T70" s="18" t="str">
        <f t="shared" si="46"/>
        <v>Mencapai kompetensi dengan baik dalam hal</v>
      </c>
      <c r="U70" s="23">
        <v>77</v>
      </c>
      <c r="V70" s="18" t="str">
        <f t="shared" si="47"/>
        <v>Mencapai kompetensi dengan baik dalam hal</v>
      </c>
      <c r="W70" s="23">
        <v>75</v>
      </c>
      <c r="X70" s="18" t="str">
        <f t="shared" si="48"/>
        <v>Mencapai kompetensi dengan baik dalam hal</v>
      </c>
      <c r="Y70" s="23">
        <v>77</v>
      </c>
      <c r="Z70" s="18" t="str">
        <f t="shared" si="49"/>
        <v>Mencapai kompetensi dengan baik dalam hal</v>
      </c>
      <c r="AA70" s="23">
        <v>75</v>
      </c>
      <c r="AB70" s="18" t="str">
        <f t="shared" si="50"/>
        <v>Mencapai kompetensi dengan baik dalam hal</v>
      </c>
      <c r="AC70" s="23">
        <v>76</v>
      </c>
      <c r="AD70" s="18" t="str">
        <f t="shared" si="51"/>
        <v>Mencapai kompetensi dengan baik dalam hal</v>
      </c>
      <c r="AE70" s="23">
        <v>82</v>
      </c>
      <c r="AF70" s="18" t="str">
        <f t="shared" si="52"/>
        <v>Mencapai kompetensi dengan baik dalam hal</v>
      </c>
      <c r="AG70" s="23">
        <v>82</v>
      </c>
      <c r="AH70" s="18" t="str">
        <f t="shared" si="37"/>
        <v>Mencapai kompetensi dengan baik dalam hal</v>
      </c>
      <c r="AI70" s="23">
        <v>80</v>
      </c>
      <c r="AJ70" s="18" t="str">
        <f t="shared" si="38"/>
        <v>Mencapai kompetensi dengan baik dalam hal</v>
      </c>
      <c r="AK70" s="23">
        <v>85</v>
      </c>
      <c r="AL70" s="18" t="str">
        <f t="shared" si="53"/>
        <v>Mencapai kompetensi dengan baik dalam hal</v>
      </c>
      <c r="AM70" s="23">
        <v>78</v>
      </c>
      <c r="AN70" s="18" t="str">
        <f t="shared" si="54"/>
        <v>Mencapai kompetensi dengan baik dalam hal</v>
      </c>
      <c r="AO70" s="23">
        <v>83</v>
      </c>
      <c r="AP70" s="18" t="str">
        <f t="shared" si="39"/>
        <v>Mencapai kompetensi dengan baik dalam hal</v>
      </c>
      <c r="AQ70" s="23">
        <v>80</v>
      </c>
      <c r="AR70" s="18" t="str">
        <f t="shared" si="55"/>
        <v>Mencapai kompetensi dengan baik dalam hal</v>
      </c>
      <c r="AS70" s="62">
        <f t="shared" si="56"/>
        <v>81.333333333333329</v>
      </c>
      <c r="AT70" s="23">
        <v>76</v>
      </c>
      <c r="AU70" s="18" t="str">
        <f t="shared" si="40"/>
        <v>Mencapai kompetensi dengan baik dalam hal</v>
      </c>
      <c r="AV70" s="23">
        <v>75</v>
      </c>
      <c r="AW70" s="18" t="str">
        <f t="shared" si="57"/>
        <v>Mencapai kompetensi dengan baik dalam hal</v>
      </c>
      <c r="AX70" s="23">
        <v>1</v>
      </c>
      <c r="AY70" s="23">
        <v>1</v>
      </c>
      <c r="AZ70" s="23" t="s">
        <v>81</v>
      </c>
      <c r="BA70" s="23">
        <v>1</v>
      </c>
      <c r="BB70" s="23" t="s">
        <v>82</v>
      </c>
      <c r="BC70" s="18" t="s">
        <v>83</v>
      </c>
      <c r="BD70" s="23" t="s">
        <v>86</v>
      </c>
      <c r="BE70" s="18" t="str">
        <f t="shared" si="41"/>
        <v>Sangat baik</v>
      </c>
      <c r="BF70" s="23">
        <v>2</v>
      </c>
      <c r="BG70" s="18" t="s">
        <v>108</v>
      </c>
      <c r="BH70" s="18" t="s">
        <v>83</v>
      </c>
      <c r="BI70" s="23" t="s">
        <v>86</v>
      </c>
      <c r="BJ70" s="18" t="str">
        <f t="shared" si="42"/>
        <v>Sangat baik</v>
      </c>
      <c r="BK70" s="23"/>
      <c r="BL70" s="23"/>
      <c r="BM70" s="23"/>
      <c r="BN70" s="23"/>
      <c r="BO70" s="18"/>
      <c r="BP70" s="54"/>
      <c r="BQ70" s="54"/>
      <c r="BR70" s="54"/>
    </row>
    <row r="71" spans="1:70" ht="24.95" customHeight="1" x14ac:dyDescent="0.25">
      <c r="A71" s="23">
        <v>70</v>
      </c>
      <c r="B71" s="23">
        <v>2525795</v>
      </c>
      <c r="C71" s="23" t="s">
        <v>438</v>
      </c>
      <c r="D71" s="18" t="s">
        <v>439</v>
      </c>
      <c r="E71" s="23" t="s">
        <v>370</v>
      </c>
      <c r="F71" s="23" t="s">
        <v>291</v>
      </c>
      <c r="G71" s="23" t="s">
        <v>371</v>
      </c>
      <c r="H71" s="23" t="s">
        <v>372</v>
      </c>
      <c r="I71" s="60" t="s">
        <v>76</v>
      </c>
      <c r="J71" s="61" t="s">
        <v>77</v>
      </c>
      <c r="K71" s="61" t="s">
        <v>78</v>
      </c>
      <c r="L71" s="61" t="s">
        <v>79</v>
      </c>
      <c r="M71" s="23">
        <v>76</v>
      </c>
      <c r="N71" s="18" t="str">
        <f t="shared" si="43"/>
        <v>Mencapai kompetensi dengan baik dalam hal</v>
      </c>
      <c r="O71" s="23">
        <v>75</v>
      </c>
      <c r="P71" s="18" t="str">
        <f t="shared" si="44"/>
        <v>Mencapai kompetensi dengan baik dalam hal</v>
      </c>
      <c r="Q71" s="23">
        <v>80</v>
      </c>
      <c r="R71" s="18" t="str">
        <f t="shared" si="45"/>
        <v>Mencapai kompetensi dengan baik dalam hal</v>
      </c>
      <c r="S71" s="23">
        <v>78</v>
      </c>
      <c r="T71" s="18" t="str">
        <f t="shared" si="46"/>
        <v>Mencapai kompetensi dengan baik dalam hal</v>
      </c>
      <c r="U71" s="23">
        <v>75</v>
      </c>
      <c r="V71" s="18" t="str">
        <f t="shared" si="47"/>
        <v>Mencapai kompetensi dengan baik dalam hal</v>
      </c>
      <c r="W71" s="23">
        <v>70</v>
      </c>
      <c r="X71" s="18" t="str">
        <f t="shared" si="48"/>
        <v>Perlu peningkatan dalam hal</v>
      </c>
      <c r="Y71" s="23">
        <v>75</v>
      </c>
      <c r="Z71" s="18" t="str">
        <f t="shared" si="49"/>
        <v>Mencapai kompetensi dengan baik dalam hal</v>
      </c>
      <c r="AA71" s="23">
        <v>75</v>
      </c>
      <c r="AB71" s="18" t="str">
        <f t="shared" si="50"/>
        <v>Mencapai kompetensi dengan baik dalam hal</v>
      </c>
      <c r="AC71" s="23">
        <v>75</v>
      </c>
      <c r="AD71" s="18" t="str">
        <f t="shared" si="51"/>
        <v>Mencapai kompetensi dengan baik dalam hal</v>
      </c>
      <c r="AE71" s="23">
        <v>80</v>
      </c>
      <c r="AF71" s="18" t="str">
        <f t="shared" si="52"/>
        <v>Mencapai kompetensi dengan baik dalam hal</v>
      </c>
      <c r="AG71" s="23">
        <v>75</v>
      </c>
      <c r="AH71" s="18" t="str">
        <f t="shared" si="37"/>
        <v>Mencapai kompetensi dengan baik dalam hal</v>
      </c>
      <c r="AI71" s="23">
        <v>89</v>
      </c>
      <c r="AJ71" s="18" t="str">
        <f t="shared" si="38"/>
        <v>Mencapai kompetensi dengan baik dalam hal</v>
      </c>
      <c r="AK71" s="23">
        <v>83</v>
      </c>
      <c r="AL71" s="18" t="str">
        <f t="shared" si="53"/>
        <v>Mencapai kompetensi dengan baik dalam hal</v>
      </c>
      <c r="AM71" s="23">
        <v>76</v>
      </c>
      <c r="AN71" s="18" t="str">
        <f t="shared" si="54"/>
        <v>Mencapai kompetensi dengan baik dalam hal</v>
      </c>
      <c r="AO71" s="23">
        <v>76</v>
      </c>
      <c r="AP71" s="18" t="str">
        <f t="shared" si="39"/>
        <v>Mencapai kompetensi dengan baik dalam hal</v>
      </c>
      <c r="AQ71" s="23">
        <v>76</v>
      </c>
      <c r="AR71" s="18" t="str">
        <f t="shared" si="55"/>
        <v>Mencapai kompetensi dengan baik dalam hal</v>
      </c>
      <c r="AS71" s="62">
        <f t="shared" si="56"/>
        <v>79.166666666666671</v>
      </c>
      <c r="AT71" s="23">
        <v>75</v>
      </c>
      <c r="AU71" s="18" t="str">
        <f t="shared" si="40"/>
        <v>Mencapai kompetensi dengan baik dalam hal</v>
      </c>
      <c r="AV71" s="23">
        <v>75</v>
      </c>
      <c r="AW71" s="18" t="str">
        <f t="shared" si="57"/>
        <v>Mencapai kompetensi dengan baik dalam hal</v>
      </c>
      <c r="AX71" s="23">
        <v>1</v>
      </c>
      <c r="AY71" s="23" t="s">
        <v>81</v>
      </c>
      <c r="AZ71" s="23" t="s">
        <v>81</v>
      </c>
      <c r="BA71" s="23">
        <v>1</v>
      </c>
      <c r="BB71" s="23" t="s">
        <v>82</v>
      </c>
      <c r="BC71" s="18" t="s">
        <v>83</v>
      </c>
      <c r="BD71" s="23" t="s">
        <v>84</v>
      </c>
      <c r="BE71" s="18" t="str">
        <f t="shared" si="41"/>
        <v>Baik</v>
      </c>
      <c r="BF71" s="23">
        <v>2</v>
      </c>
      <c r="BG71" s="18" t="s">
        <v>325</v>
      </c>
      <c r="BH71" s="18" t="s">
        <v>83</v>
      </c>
      <c r="BI71" s="23" t="s">
        <v>84</v>
      </c>
      <c r="BJ71" s="18" t="str">
        <f t="shared" si="42"/>
        <v>Baik</v>
      </c>
      <c r="BK71" s="23"/>
      <c r="BL71" s="23"/>
      <c r="BM71" s="23"/>
      <c r="BN71" s="23"/>
      <c r="BO71" s="18"/>
      <c r="BP71" s="54"/>
      <c r="BQ71" s="54"/>
      <c r="BR71" s="54"/>
    </row>
    <row r="72" spans="1:70" ht="24.95" customHeight="1" x14ac:dyDescent="0.25">
      <c r="A72" s="23">
        <v>71</v>
      </c>
      <c r="B72" s="23">
        <v>2525796</v>
      </c>
      <c r="C72" s="23" t="s">
        <v>440</v>
      </c>
      <c r="D72" s="18" t="s">
        <v>441</v>
      </c>
      <c r="E72" s="23" t="s">
        <v>370</v>
      </c>
      <c r="F72" s="23" t="s">
        <v>291</v>
      </c>
      <c r="G72" s="23" t="s">
        <v>371</v>
      </c>
      <c r="H72" s="23" t="s">
        <v>372</v>
      </c>
      <c r="I72" s="60" t="s">
        <v>76</v>
      </c>
      <c r="J72" s="61" t="s">
        <v>77</v>
      </c>
      <c r="K72" s="61" t="s">
        <v>78</v>
      </c>
      <c r="L72" s="61" t="s">
        <v>79</v>
      </c>
      <c r="M72" s="23">
        <v>76</v>
      </c>
      <c r="N72" s="18" t="str">
        <f t="shared" si="43"/>
        <v>Mencapai kompetensi dengan baik dalam hal</v>
      </c>
      <c r="O72" s="23">
        <v>76</v>
      </c>
      <c r="P72" s="18" t="str">
        <f t="shared" si="44"/>
        <v>Mencapai kompetensi dengan baik dalam hal</v>
      </c>
      <c r="Q72" s="23">
        <v>80</v>
      </c>
      <c r="R72" s="18" t="str">
        <f t="shared" si="45"/>
        <v>Mencapai kompetensi dengan baik dalam hal</v>
      </c>
      <c r="S72" s="23">
        <v>79</v>
      </c>
      <c r="T72" s="18" t="str">
        <f t="shared" si="46"/>
        <v>Mencapai kompetensi dengan baik dalam hal</v>
      </c>
      <c r="U72" s="23">
        <v>75</v>
      </c>
      <c r="V72" s="18" t="str">
        <f t="shared" si="47"/>
        <v>Mencapai kompetensi dengan baik dalam hal</v>
      </c>
      <c r="W72" s="23">
        <v>75</v>
      </c>
      <c r="X72" s="18" t="str">
        <f t="shared" si="48"/>
        <v>Mencapai kompetensi dengan baik dalam hal</v>
      </c>
      <c r="Y72" s="23">
        <v>75</v>
      </c>
      <c r="Z72" s="18" t="str">
        <f t="shared" si="49"/>
        <v>Mencapai kompetensi dengan baik dalam hal</v>
      </c>
      <c r="AA72" s="23">
        <v>75</v>
      </c>
      <c r="AB72" s="18" t="str">
        <f t="shared" si="50"/>
        <v>Mencapai kompetensi dengan baik dalam hal</v>
      </c>
      <c r="AC72" s="23">
        <v>75</v>
      </c>
      <c r="AD72" s="18" t="str">
        <f t="shared" si="51"/>
        <v>Mencapai kompetensi dengan baik dalam hal</v>
      </c>
      <c r="AE72" s="23">
        <v>86</v>
      </c>
      <c r="AF72" s="18" t="str">
        <f t="shared" si="52"/>
        <v>Mencapai kompetensi dengan baik dalam hal</v>
      </c>
      <c r="AG72" s="23">
        <v>89</v>
      </c>
      <c r="AH72" s="18" t="str">
        <f t="shared" si="37"/>
        <v>Mencapai kompetensi dengan baik dalam hal</v>
      </c>
      <c r="AI72" s="23">
        <v>90</v>
      </c>
      <c r="AJ72" s="18" t="str">
        <f t="shared" si="38"/>
        <v>Mencapai kompetensi dengan sangat baik dalam hal</v>
      </c>
      <c r="AK72" s="23">
        <v>90</v>
      </c>
      <c r="AL72" s="18" t="str">
        <f t="shared" si="53"/>
        <v>Mencapai kompetensi dengan sangat baik dalam hal</v>
      </c>
      <c r="AM72" s="23">
        <v>89</v>
      </c>
      <c r="AN72" s="18" t="str">
        <f t="shared" si="54"/>
        <v>Mencapai kompetensi dengan baik dalam hal</v>
      </c>
      <c r="AO72" s="23">
        <v>80</v>
      </c>
      <c r="AP72" s="18" t="str">
        <f t="shared" si="39"/>
        <v>Mencapai kompetensi dengan baik dalam hal</v>
      </c>
      <c r="AQ72" s="23">
        <v>82</v>
      </c>
      <c r="AR72" s="18" t="str">
        <f t="shared" si="55"/>
        <v>Mencapai kompetensi dengan baik dalam hal</v>
      </c>
      <c r="AS72" s="62">
        <f t="shared" si="56"/>
        <v>86.666666666666671</v>
      </c>
      <c r="AT72" s="23">
        <v>75</v>
      </c>
      <c r="AU72" s="18" t="str">
        <f t="shared" si="40"/>
        <v>Mencapai kompetensi dengan baik dalam hal</v>
      </c>
      <c r="AV72" s="23">
        <v>76</v>
      </c>
      <c r="AW72" s="18" t="str">
        <f t="shared" si="57"/>
        <v>Mencapai kompetensi dengan baik dalam hal</v>
      </c>
      <c r="AX72" s="23">
        <v>5</v>
      </c>
      <c r="AY72" s="23" t="s">
        <v>81</v>
      </c>
      <c r="AZ72" s="23" t="s">
        <v>81</v>
      </c>
      <c r="BA72" s="23">
        <v>1</v>
      </c>
      <c r="BB72" s="23" t="s">
        <v>82</v>
      </c>
      <c r="BC72" s="18" t="s">
        <v>83</v>
      </c>
      <c r="BD72" s="23" t="s">
        <v>86</v>
      </c>
      <c r="BE72" s="18" t="str">
        <f t="shared" si="41"/>
        <v>Sangat baik</v>
      </c>
      <c r="BF72" s="23">
        <v>2</v>
      </c>
      <c r="BG72" s="18" t="s">
        <v>99</v>
      </c>
      <c r="BH72" s="18" t="s">
        <v>83</v>
      </c>
      <c r="BI72" s="23" t="s">
        <v>84</v>
      </c>
      <c r="BJ72" s="18" t="str">
        <f t="shared" si="42"/>
        <v>Baik</v>
      </c>
      <c r="BK72" s="23"/>
      <c r="BL72" s="23"/>
      <c r="BM72" s="23"/>
      <c r="BN72" s="23"/>
      <c r="BO72" s="18"/>
      <c r="BP72" s="54"/>
      <c r="BQ72" s="54"/>
      <c r="BR72" s="54"/>
    </row>
    <row r="73" spans="1:70" ht="24.95" customHeight="1" x14ac:dyDescent="0.25">
      <c r="A73" s="23">
        <v>72</v>
      </c>
      <c r="B73" s="23">
        <v>2525797</v>
      </c>
      <c r="C73" s="23" t="s">
        <v>442</v>
      </c>
      <c r="D73" s="18" t="s">
        <v>443</v>
      </c>
      <c r="E73" s="23" t="s">
        <v>370</v>
      </c>
      <c r="F73" s="23" t="s">
        <v>291</v>
      </c>
      <c r="G73" s="23" t="s">
        <v>371</v>
      </c>
      <c r="H73" s="23" t="s">
        <v>372</v>
      </c>
      <c r="I73" s="60" t="s">
        <v>76</v>
      </c>
      <c r="J73" s="61" t="s">
        <v>77</v>
      </c>
      <c r="K73" s="61" t="s">
        <v>78</v>
      </c>
      <c r="L73" s="61" t="s">
        <v>79</v>
      </c>
      <c r="M73" s="23">
        <v>83</v>
      </c>
      <c r="N73" s="18" t="str">
        <f t="shared" si="43"/>
        <v>Mencapai kompetensi dengan baik dalam hal</v>
      </c>
      <c r="O73" s="23">
        <v>77</v>
      </c>
      <c r="P73" s="18" t="str">
        <f t="shared" si="44"/>
        <v>Mencapai kompetensi dengan baik dalam hal</v>
      </c>
      <c r="Q73" s="23">
        <v>82</v>
      </c>
      <c r="R73" s="18" t="str">
        <f t="shared" si="45"/>
        <v>Mencapai kompetensi dengan baik dalam hal</v>
      </c>
      <c r="S73" s="23">
        <v>80</v>
      </c>
      <c r="T73" s="18" t="str">
        <f t="shared" si="46"/>
        <v>Mencapai kompetensi dengan baik dalam hal</v>
      </c>
      <c r="U73" s="23">
        <v>84</v>
      </c>
      <c r="V73" s="18" t="str">
        <f t="shared" si="47"/>
        <v>Mencapai kompetensi dengan baik dalam hal</v>
      </c>
      <c r="W73" s="23">
        <v>87</v>
      </c>
      <c r="X73" s="18" t="str">
        <f t="shared" si="48"/>
        <v>Mencapai kompetensi dengan baik dalam hal</v>
      </c>
      <c r="Y73" s="23">
        <v>80</v>
      </c>
      <c r="Z73" s="18" t="str">
        <f t="shared" si="49"/>
        <v>Mencapai kompetensi dengan baik dalam hal</v>
      </c>
      <c r="AA73" s="23">
        <v>81</v>
      </c>
      <c r="AB73" s="18" t="str">
        <f t="shared" si="50"/>
        <v>Mencapai kompetensi dengan baik dalam hal</v>
      </c>
      <c r="AC73" s="23">
        <v>87</v>
      </c>
      <c r="AD73" s="18" t="str">
        <f t="shared" si="51"/>
        <v>Mencapai kompetensi dengan baik dalam hal</v>
      </c>
      <c r="AE73" s="23">
        <v>85</v>
      </c>
      <c r="AF73" s="18" t="str">
        <f t="shared" si="52"/>
        <v>Mencapai kompetensi dengan baik dalam hal</v>
      </c>
      <c r="AG73" s="23">
        <v>85</v>
      </c>
      <c r="AH73" s="18" t="str">
        <f t="shared" si="37"/>
        <v>Mencapai kompetensi dengan baik dalam hal</v>
      </c>
      <c r="AI73" s="23">
        <v>96</v>
      </c>
      <c r="AJ73" s="18" t="str">
        <f t="shared" si="38"/>
        <v>Mencapai kompetensi dengan sangat baik dalam hal</v>
      </c>
      <c r="AK73" s="23">
        <v>87</v>
      </c>
      <c r="AL73" s="18" t="str">
        <f t="shared" si="53"/>
        <v>Mencapai kompetensi dengan baik dalam hal</v>
      </c>
      <c r="AM73" s="23">
        <v>90</v>
      </c>
      <c r="AN73" s="18" t="str">
        <f t="shared" si="54"/>
        <v>Mencapai kompetensi dengan sangat baik dalam hal</v>
      </c>
      <c r="AO73" s="23">
        <v>83</v>
      </c>
      <c r="AP73" s="18" t="str">
        <f t="shared" si="39"/>
        <v>Mencapai kompetensi dengan baik dalam hal</v>
      </c>
      <c r="AQ73" s="23">
        <v>83</v>
      </c>
      <c r="AR73" s="18" t="str">
        <f t="shared" si="55"/>
        <v>Mencapai kompetensi dengan baik dalam hal</v>
      </c>
      <c r="AS73" s="62">
        <f t="shared" si="56"/>
        <v>87.333333333333329</v>
      </c>
      <c r="AT73" s="23">
        <v>87</v>
      </c>
      <c r="AU73" s="18" t="str">
        <f t="shared" si="40"/>
        <v>Mencapai kompetensi dengan baik dalam hal</v>
      </c>
      <c r="AV73" s="23">
        <v>81</v>
      </c>
      <c r="AW73" s="18" t="str">
        <f t="shared" si="57"/>
        <v>Mencapai kompetensi dengan baik dalam hal</v>
      </c>
      <c r="AX73" s="23" t="s">
        <v>81</v>
      </c>
      <c r="AY73" s="23" t="s">
        <v>81</v>
      </c>
      <c r="AZ73" s="23" t="s">
        <v>81</v>
      </c>
      <c r="BA73" s="23">
        <v>1</v>
      </c>
      <c r="BB73" s="23" t="s">
        <v>82</v>
      </c>
      <c r="BC73" s="18" t="s">
        <v>83</v>
      </c>
      <c r="BD73" s="23" t="s">
        <v>86</v>
      </c>
      <c r="BE73" s="18" t="str">
        <f t="shared" si="41"/>
        <v>Sangat baik</v>
      </c>
      <c r="BF73" s="23">
        <v>2</v>
      </c>
      <c r="BG73" s="18" t="s">
        <v>125</v>
      </c>
      <c r="BH73" s="18" t="s">
        <v>83</v>
      </c>
      <c r="BI73" s="23" t="s">
        <v>104</v>
      </c>
      <c r="BJ73" s="18" t="str">
        <f t="shared" si="42"/>
        <v>Cukup</v>
      </c>
      <c r="BK73" s="23"/>
      <c r="BL73" s="23"/>
      <c r="BM73" s="23"/>
      <c r="BN73" s="23"/>
      <c r="BO73" s="18"/>
      <c r="BP73" s="54"/>
      <c r="BQ73" s="54"/>
      <c r="BR73" s="54"/>
    </row>
    <row r="74" spans="1:70" ht="24.95" customHeight="1" x14ac:dyDescent="0.25">
      <c r="A74" s="23">
        <v>73</v>
      </c>
      <c r="B74" s="23">
        <v>2525798</v>
      </c>
      <c r="C74" s="23" t="s">
        <v>444</v>
      </c>
      <c r="D74" s="18" t="s">
        <v>445</v>
      </c>
      <c r="E74" s="23" t="s">
        <v>446</v>
      </c>
      <c r="F74" s="23" t="s">
        <v>291</v>
      </c>
      <c r="G74" s="23" t="s">
        <v>447</v>
      </c>
      <c r="H74" s="23" t="s">
        <v>448</v>
      </c>
      <c r="I74" s="60" t="s">
        <v>76</v>
      </c>
      <c r="J74" s="61" t="s">
        <v>77</v>
      </c>
      <c r="K74" s="61" t="s">
        <v>78</v>
      </c>
      <c r="L74" s="61" t="s">
        <v>79</v>
      </c>
      <c r="M74" s="23">
        <v>77</v>
      </c>
      <c r="N74" s="18" t="str">
        <f t="shared" si="43"/>
        <v>Mencapai kompetensi dengan baik dalam hal</v>
      </c>
      <c r="O74" s="23">
        <v>77</v>
      </c>
      <c r="P74" s="18" t="str">
        <f t="shared" si="44"/>
        <v>Mencapai kompetensi dengan baik dalam hal</v>
      </c>
      <c r="Q74" s="23">
        <v>75</v>
      </c>
      <c r="R74" s="18" t="str">
        <f t="shared" si="45"/>
        <v>Mencapai kompetensi dengan baik dalam hal</v>
      </c>
      <c r="S74" s="23">
        <v>81</v>
      </c>
      <c r="T74" s="18" t="str">
        <f t="shared" si="46"/>
        <v>Mencapai kompetensi dengan baik dalam hal</v>
      </c>
      <c r="U74" s="23">
        <v>75</v>
      </c>
      <c r="V74" s="18" t="str">
        <f t="shared" si="47"/>
        <v>Mencapai kompetensi dengan baik dalam hal</v>
      </c>
      <c r="W74" s="23">
        <v>75</v>
      </c>
      <c r="X74" s="18" t="str">
        <f t="shared" si="48"/>
        <v>Mencapai kompetensi dengan baik dalam hal</v>
      </c>
      <c r="Y74" s="23">
        <v>80</v>
      </c>
      <c r="Z74" s="18" t="str">
        <f t="shared" si="49"/>
        <v>Mencapai kompetensi dengan baik dalam hal</v>
      </c>
      <c r="AA74" s="23">
        <v>77</v>
      </c>
      <c r="AB74" s="18" t="str">
        <f t="shared" si="50"/>
        <v>Mencapai kompetensi dengan baik dalam hal</v>
      </c>
      <c r="AC74" s="23">
        <v>82</v>
      </c>
      <c r="AD74" s="18" t="str">
        <f t="shared" si="51"/>
        <v>Mencapai kompetensi dengan baik dalam hal</v>
      </c>
      <c r="AE74" s="23">
        <v>80</v>
      </c>
      <c r="AF74" s="18" t="str">
        <f t="shared" si="52"/>
        <v>Mencapai kompetensi dengan baik dalam hal</v>
      </c>
      <c r="AG74" s="23">
        <v>87</v>
      </c>
      <c r="AH74" s="18" t="str">
        <f t="shared" si="37"/>
        <v>Mencapai kompetensi dengan baik dalam hal</v>
      </c>
      <c r="AI74" s="23">
        <v>90</v>
      </c>
      <c r="AJ74" s="18" t="str">
        <f t="shared" si="38"/>
        <v>Mencapai kompetensi dengan sangat baik dalam hal</v>
      </c>
      <c r="AK74" s="23">
        <v>89</v>
      </c>
      <c r="AL74" s="18" t="str">
        <f t="shared" si="53"/>
        <v>Mencapai kompetensi dengan baik dalam hal</v>
      </c>
      <c r="AM74" s="23">
        <v>85</v>
      </c>
      <c r="AN74" s="18" t="str">
        <f t="shared" si="54"/>
        <v>Mencapai kompetensi dengan baik dalam hal</v>
      </c>
      <c r="AO74" s="23">
        <v>84</v>
      </c>
      <c r="AP74" s="18" t="str">
        <f t="shared" si="39"/>
        <v>Mencapai kompetensi dengan baik dalam hal</v>
      </c>
      <c r="AQ74" s="23">
        <v>84</v>
      </c>
      <c r="AR74" s="18" t="str">
        <f t="shared" si="55"/>
        <v>Mencapai kompetensi dengan baik dalam hal</v>
      </c>
      <c r="AS74" s="62">
        <f t="shared" si="56"/>
        <v>86.5</v>
      </c>
      <c r="AT74" s="18">
        <v>82</v>
      </c>
      <c r="AU74" s="18" t="str">
        <f t="shared" si="40"/>
        <v>Mencapai kompetensi dengan baik dalam hal</v>
      </c>
      <c r="AV74" s="23">
        <v>80</v>
      </c>
      <c r="AW74" s="18" t="str">
        <f t="shared" si="57"/>
        <v>Mencapai kompetensi dengan baik dalam hal</v>
      </c>
      <c r="AX74" s="23">
        <v>2</v>
      </c>
      <c r="AY74" s="23">
        <v>1</v>
      </c>
      <c r="AZ74" s="23" t="s">
        <v>81</v>
      </c>
      <c r="BA74" s="23">
        <v>1</v>
      </c>
      <c r="BB74" s="23" t="s">
        <v>82</v>
      </c>
      <c r="BC74" s="18" t="s">
        <v>83</v>
      </c>
      <c r="BD74" s="23" t="s">
        <v>84</v>
      </c>
      <c r="BE74" s="18" t="str">
        <f t="shared" si="41"/>
        <v>Baik</v>
      </c>
      <c r="BF74" s="23">
        <v>2</v>
      </c>
      <c r="BG74" s="18" t="s">
        <v>108</v>
      </c>
      <c r="BH74" s="18" t="s">
        <v>83</v>
      </c>
      <c r="BI74" s="23" t="s">
        <v>86</v>
      </c>
      <c r="BJ74" s="18" t="str">
        <f t="shared" si="42"/>
        <v>Sangat baik</v>
      </c>
      <c r="BK74" s="23"/>
      <c r="BL74" s="23"/>
      <c r="BM74" s="23"/>
      <c r="BN74" s="23"/>
      <c r="BO74" s="18"/>
      <c r="BP74" s="54"/>
      <c r="BQ74" s="54"/>
      <c r="BR74" s="54"/>
    </row>
    <row r="75" spans="1:70" ht="24.95" customHeight="1" x14ac:dyDescent="0.25">
      <c r="A75" s="23">
        <v>74</v>
      </c>
      <c r="B75" s="23">
        <v>2525799</v>
      </c>
      <c r="C75" s="23" t="s">
        <v>449</v>
      </c>
      <c r="D75" s="18" t="s">
        <v>450</v>
      </c>
      <c r="E75" s="23" t="s">
        <v>446</v>
      </c>
      <c r="F75" s="23" t="s">
        <v>291</v>
      </c>
      <c r="G75" s="23" t="s">
        <v>447</v>
      </c>
      <c r="H75" s="23" t="s">
        <v>448</v>
      </c>
      <c r="I75" s="60" t="s">
        <v>76</v>
      </c>
      <c r="J75" s="61" t="s">
        <v>77</v>
      </c>
      <c r="K75" s="61" t="s">
        <v>78</v>
      </c>
      <c r="L75" s="61" t="s">
        <v>79</v>
      </c>
      <c r="M75" s="23">
        <v>77</v>
      </c>
      <c r="N75" s="18" t="str">
        <f t="shared" si="43"/>
        <v>Mencapai kompetensi dengan baik dalam hal</v>
      </c>
      <c r="O75" s="23">
        <v>76</v>
      </c>
      <c r="P75" s="18" t="str">
        <f t="shared" si="44"/>
        <v>Mencapai kompetensi dengan baik dalam hal</v>
      </c>
      <c r="Q75" s="23">
        <v>75</v>
      </c>
      <c r="R75" s="18" t="str">
        <f t="shared" si="45"/>
        <v>Mencapai kompetensi dengan baik dalam hal</v>
      </c>
      <c r="S75" s="23">
        <v>80</v>
      </c>
      <c r="T75" s="18" t="str">
        <f t="shared" si="46"/>
        <v>Mencapai kompetensi dengan baik dalam hal</v>
      </c>
      <c r="U75" s="23">
        <v>75</v>
      </c>
      <c r="V75" s="18" t="str">
        <f t="shared" si="47"/>
        <v>Mencapai kompetensi dengan baik dalam hal</v>
      </c>
      <c r="W75" s="23">
        <v>75</v>
      </c>
      <c r="X75" s="18" t="str">
        <f t="shared" si="48"/>
        <v>Mencapai kompetensi dengan baik dalam hal</v>
      </c>
      <c r="Y75" s="23">
        <v>77</v>
      </c>
      <c r="Z75" s="18" t="str">
        <f t="shared" si="49"/>
        <v>Mencapai kompetensi dengan baik dalam hal</v>
      </c>
      <c r="AA75" s="23">
        <v>80</v>
      </c>
      <c r="AB75" s="18" t="str">
        <f t="shared" si="50"/>
        <v>Mencapai kompetensi dengan baik dalam hal</v>
      </c>
      <c r="AC75" s="23">
        <v>85</v>
      </c>
      <c r="AD75" s="18" t="str">
        <f t="shared" si="51"/>
        <v>Mencapai kompetensi dengan baik dalam hal</v>
      </c>
      <c r="AE75" s="23">
        <v>75</v>
      </c>
      <c r="AF75" s="18" t="str">
        <f t="shared" si="52"/>
        <v>Mencapai kompetensi dengan baik dalam hal</v>
      </c>
      <c r="AG75" s="23">
        <v>80</v>
      </c>
      <c r="AH75" s="18" t="str">
        <f t="shared" si="37"/>
        <v>Mencapai kompetensi dengan baik dalam hal</v>
      </c>
      <c r="AI75" s="23">
        <v>84</v>
      </c>
      <c r="AJ75" s="18" t="str">
        <f t="shared" si="38"/>
        <v>Mencapai kompetensi dengan baik dalam hal</v>
      </c>
      <c r="AK75" s="23">
        <v>86</v>
      </c>
      <c r="AL75" s="18" t="str">
        <f t="shared" si="53"/>
        <v>Mencapai kompetensi dengan baik dalam hal</v>
      </c>
      <c r="AM75" s="23">
        <v>77</v>
      </c>
      <c r="AN75" s="18" t="str">
        <f t="shared" si="54"/>
        <v>Mencapai kompetensi dengan baik dalam hal</v>
      </c>
      <c r="AO75" s="23">
        <v>80</v>
      </c>
      <c r="AP75" s="18" t="str">
        <f t="shared" si="39"/>
        <v>Mencapai kompetensi dengan baik dalam hal</v>
      </c>
      <c r="AQ75" s="23">
        <v>82</v>
      </c>
      <c r="AR75" s="18" t="str">
        <f t="shared" si="55"/>
        <v>Mencapai kompetensi dengan baik dalam hal</v>
      </c>
      <c r="AS75" s="62">
        <f t="shared" si="56"/>
        <v>81.5</v>
      </c>
      <c r="AT75" s="18">
        <v>85</v>
      </c>
      <c r="AU75" s="18" t="str">
        <f t="shared" si="40"/>
        <v>Mencapai kompetensi dengan baik dalam hal</v>
      </c>
      <c r="AV75" s="23">
        <v>79</v>
      </c>
      <c r="AW75" s="18" t="str">
        <f t="shared" si="57"/>
        <v>Mencapai kompetensi dengan baik dalam hal</v>
      </c>
      <c r="AX75" s="23">
        <v>3</v>
      </c>
      <c r="AY75" s="23">
        <v>1</v>
      </c>
      <c r="AZ75" s="23" t="s">
        <v>81</v>
      </c>
      <c r="BA75" s="23">
        <v>1</v>
      </c>
      <c r="BB75" s="23" t="s">
        <v>82</v>
      </c>
      <c r="BC75" s="18" t="s">
        <v>83</v>
      </c>
      <c r="BD75" s="23" t="s">
        <v>110</v>
      </c>
      <c r="BE75" s="18" t="str">
        <f t="shared" si="41"/>
        <v>Kurang</v>
      </c>
      <c r="BF75" s="23">
        <v>2</v>
      </c>
      <c r="BG75" s="18" t="s">
        <v>103</v>
      </c>
      <c r="BH75" s="18" t="s">
        <v>83</v>
      </c>
      <c r="BI75" s="23" t="s">
        <v>84</v>
      </c>
      <c r="BJ75" s="18" t="str">
        <f t="shared" si="42"/>
        <v>Baik</v>
      </c>
      <c r="BK75" s="23"/>
      <c r="BL75" s="23"/>
      <c r="BM75" s="23"/>
      <c r="BN75" s="23"/>
      <c r="BO75" s="18"/>
      <c r="BP75" s="54"/>
      <c r="BQ75" s="54"/>
      <c r="BR75" s="54"/>
    </row>
    <row r="76" spans="1:70" ht="24.95" customHeight="1" x14ac:dyDescent="0.25">
      <c r="A76" s="23">
        <v>75</v>
      </c>
      <c r="B76" s="23">
        <v>2525800</v>
      </c>
      <c r="C76" s="23" t="s">
        <v>451</v>
      </c>
      <c r="D76" s="18" t="s">
        <v>452</v>
      </c>
      <c r="E76" s="23" t="s">
        <v>446</v>
      </c>
      <c r="F76" s="23" t="s">
        <v>291</v>
      </c>
      <c r="G76" s="23" t="s">
        <v>447</v>
      </c>
      <c r="H76" s="23" t="s">
        <v>448</v>
      </c>
      <c r="I76" s="60" t="s">
        <v>76</v>
      </c>
      <c r="J76" s="61" t="s">
        <v>77</v>
      </c>
      <c r="K76" s="61" t="s">
        <v>78</v>
      </c>
      <c r="L76" s="61" t="s">
        <v>79</v>
      </c>
      <c r="M76" s="23">
        <v>80</v>
      </c>
      <c r="N76" s="18" t="str">
        <f t="shared" si="43"/>
        <v>Mencapai kompetensi dengan baik dalam hal</v>
      </c>
      <c r="O76" s="23">
        <v>77</v>
      </c>
      <c r="P76" s="18" t="str">
        <f t="shared" si="44"/>
        <v>Mencapai kompetensi dengan baik dalam hal</v>
      </c>
      <c r="Q76" s="23">
        <v>75</v>
      </c>
      <c r="R76" s="18" t="str">
        <f t="shared" si="45"/>
        <v>Mencapai kompetensi dengan baik dalam hal</v>
      </c>
      <c r="S76" s="23">
        <v>80</v>
      </c>
      <c r="T76" s="18" t="str">
        <f t="shared" si="46"/>
        <v>Mencapai kompetensi dengan baik dalam hal</v>
      </c>
      <c r="U76" s="23">
        <v>75</v>
      </c>
      <c r="V76" s="18" t="str">
        <f t="shared" si="47"/>
        <v>Mencapai kompetensi dengan baik dalam hal</v>
      </c>
      <c r="W76" s="23">
        <v>75</v>
      </c>
      <c r="X76" s="18" t="str">
        <f t="shared" si="48"/>
        <v>Mencapai kompetensi dengan baik dalam hal</v>
      </c>
      <c r="Y76" s="23">
        <v>75</v>
      </c>
      <c r="Z76" s="18" t="str">
        <f t="shared" si="49"/>
        <v>Mencapai kompetensi dengan baik dalam hal</v>
      </c>
      <c r="AA76" s="23">
        <v>76</v>
      </c>
      <c r="AB76" s="18" t="str">
        <f t="shared" si="50"/>
        <v>Mencapai kompetensi dengan baik dalam hal</v>
      </c>
      <c r="AC76" s="23">
        <v>83</v>
      </c>
      <c r="AD76" s="18" t="str">
        <f t="shared" si="51"/>
        <v>Mencapai kompetensi dengan baik dalam hal</v>
      </c>
      <c r="AE76" s="23">
        <v>77</v>
      </c>
      <c r="AF76" s="18" t="str">
        <f t="shared" si="52"/>
        <v>Mencapai kompetensi dengan baik dalam hal</v>
      </c>
      <c r="AG76" s="23">
        <v>80</v>
      </c>
      <c r="AH76" s="18" t="str">
        <f t="shared" si="37"/>
        <v>Mencapai kompetensi dengan baik dalam hal</v>
      </c>
      <c r="AI76" s="23">
        <v>91</v>
      </c>
      <c r="AJ76" s="18" t="str">
        <f t="shared" si="38"/>
        <v>Mencapai kompetensi dengan sangat baik dalam hal</v>
      </c>
      <c r="AK76" s="23">
        <v>84</v>
      </c>
      <c r="AL76" s="18" t="str">
        <f t="shared" si="53"/>
        <v>Mencapai kompetensi dengan baik dalam hal</v>
      </c>
      <c r="AM76" s="23">
        <v>87</v>
      </c>
      <c r="AN76" s="18" t="str">
        <f t="shared" si="54"/>
        <v>Mencapai kompetensi dengan baik dalam hal</v>
      </c>
      <c r="AO76" s="23">
        <v>81</v>
      </c>
      <c r="AP76" s="18" t="str">
        <f t="shared" si="39"/>
        <v>Mencapai kompetensi dengan baik dalam hal</v>
      </c>
      <c r="AQ76" s="23">
        <v>82</v>
      </c>
      <c r="AR76" s="18" t="str">
        <f t="shared" si="55"/>
        <v>Mencapai kompetensi dengan baik dalam hal</v>
      </c>
      <c r="AS76" s="62">
        <f t="shared" si="56"/>
        <v>84.166666666666671</v>
      </c>
      <c r="AT76" s="18">
        <v>83</v>
      </c>
      <c r="AU76" s="18" t="str">
        <f t="shared" si="40"/>
        <v>Mencapai kompetensi dengan baik dalam hal</v>
      </c>
      <c r="AV76" s="23">
        <v>77</v>
      </c>
      <c r="AW76" s="18" t="str">
        <f t="shared" si="57"/>
        <v>Mencapai kompetensi dengan baik dalam hal</v>
      </c>
      <c r="AX76" s="23">
        <v>2</v>
      </c>
      <c r="AY76" s="23" t="s">
        <v>81</v>
      </c>
      <c r="AZ76" s="23" t="s">
        <v>81</v>
      </c>
      <c r="BA76" s="23">
        <v>1</v>
      </c>
      <c r="BB76" s="23" t="s">
        <v>82</v>
      </c>
      <c r="BC76" s="18" t="s">
        <v>83</v>
      </c>
      <c r="BD76" s="23" t="s">
        <v>84</v>
      </c>
      <c r="BE76" s="18" t="str">
        <f t="shared" si="41"/>
        <v>Baik</v>
      </c>
      <c r="BF76" s="23">
        <v>2</v>
      </c>
      <c r="BG76" s="18" t="s">
        <v>298</v>
      </c>
      <c r="BH76" s="18" t="s">
        <v>83</v>
      </c>
      <c r="BI76" s="23" t="s">
        <v>104</v>
      </c>
      <c r="BJ76" s="18" t="str">
        <f t="shared" si="42"/>
        <v>Cukup</v>
      </c>
      <c r="BK76" s="23"/>
      <c r="BL76" s="23"/>
      <c r="BM76" s="23"/>
      <c r="BN76" s="23"/>
      <c r="BO76" s="18"/>
      <c r="BP76" s="54"/>
      <c r="BQ76" s="54"/>
      <c r="BR76" s="54"/>
    </row>
    <row r="77" spans="1:70" ht="24.95" customHeight="1" x14ac:dyDescent="0.25">
      <c r="A77" s="23">
        <v>76</v>
      </c>
      <c r="B77" s="23">
        <v>2525801</v>
      </c>
      <c r="C77" s="23" t="s">
        <v>453</v>
      </c>
      <c r="D77" s="18" t="s">
        <v>454</v>
      </c>
      <c r="E77" s="23" t="s">
        <v>446</v>
      </c>
      <c r="F77" s="23" t="s">
        <v>291</v>
      </c>
      <c r="G77" s="23" t="s">
        <v>447</v>
      </c>
      <c r="H77" s="23" t="s">
        <v>448</v>
      </c>
      <c r="I77" s="60" t="s">
        <v>76</v>
      </c>
      <c r="J77" s="61" t="s">
        <v>77</v>
      </c>
      <c r="K77" s="61" t="s">
        <v>78</v>
      </c>
      <c r="L77" s="61" t="s">
        <v>79</v>
      </c>
      <c r="M77" s="23">
        <v>75</v>
      </c>
      <c r="N77" s="18" t="str">
        <f t="shared" si="43"/>
        <v>Mencapai kompetensi dengan baik dalam hal</v>
      </c>
      <c r="O77" s="23">
        <v>76</v>
      </c>
      <c r="P77" s="18" t="str">
        <f t="shared" si="44"/>
        <v>Mencapai kompetensi dengan baik dalam hal</v>
      </c>
      <c r="Q77" s="23">
        <v>75</v>
      </c>
      <c r="R77" s="18" t="str">
        <f t="shared" si="45"/>
        <v>Mencapai kompetensi dengan baik dalam hal</v>
      </c>
      <c r="S77" s="23">
        <v>80</v>
      </c>
      <c r="T77" s="18" t="str">
        <f t="shared" si="46"/>
        <v>Mencapai kompetensi dengan baik dalam hal</v>
      </c>
      <c r="U77" s="23">
        <v>75</v>
      </c>
      <c r="V77" s="18" t="str">
        <f t="shared" si="47"/>
        <v>Mencapai kompetensi dengan baik dalam hal</v>
      </c>
      <c r="W77" s="23">
        <v>75</v>
      </c>
      <c r="X77" s="18" t="str">
        <f t="shared" si="48"/>
        <v>Mencapai kompetensi dengan baik dalam hal</v>
      </c>
      <c r="Y77" s="23">
        <v>75</v>
      </c>
      <c r="Z77" s="18" t="str">
        <f t="shared" si="49"/>
        <v>Mencapai kompetensi dengan baik dalam hal</v>
      </c>
      <c r="AA77" s="23">
        <v>76</v>
      </c>
      <c r="AB77" s="18" t="str">
        <f t="shared" si="50"/>
        <v>Mencapai kompetensi dengan baik dalam hal</v>
      </c>
      <c r="AC77" s="23">
        <v>87</v>
      </c>
      <c r="AD77" s="18" t="str">
        <f t="shared" si="51"/>
        <v>Mencapai kompetensi dengan baik dalam hal</v>
      </c>
      <c r="AE77" s="23">
        <v>80</v>
      </c>
      <c r="AF77" s="18" t="str">
        <f t="shared" si="52"/>
        <v>Mencapai kompetensi dengan baik dalam hal</v>
      </c>
      <c r="AG77" s="23">
        <v>90</v>
      </c>
      <c r="AH77" s="18" t="str">
        <f t="shared" si="37"/>
        <v>Mencapai kompetensi dengan sangat baik dalam hal</v>
      </c>
      <c r="AI77" s="23">
        <v>96</v>
      </c>
      <c r="AJ77" s="18" t="str">
        <f t="shared" si="38"/>
        <v>Mencapai kompetensi dengan sangat baik dalam hal</v>
      </c>
      <c r="AK77" s="23">
        <v>91</v>
      </c>
      <c r="AL77" s="18" t="str">
        <f t="shared" si="53"/>
        <v>Mencapai kompetensi dengan sangat baik dalam hal</v>
      </c>
      <c r="AM77" s="23">
        <v>90</v>
      </c>
      <c r="AN77" s="18" t="str">
        <f t="shared" si="54"/>
        <v>Mencapai kompetensi dengan sangat baik dalam hal</v>
      </c>
      <c r="AO77" s="23">
        <v>83</v>
      </c>
      <c r="AP77" s="18" t="str">
        <f t="shared" si="39"/>
        <v>Mencapai kompetensi dengan baik dalam hal</v>
      </c>
      <c r="AQ77" s="23">
        <v>82</v>
      </c>
      <c r="AR77" s="18" t="str">
        <f t="shared" si="55"/>
        <v>Mencapai kompetensi dengan baik dalam hal</v>
      </c>
      <c r="AS77" s="62">
        <f t="shared" si="56"/>
        <v>88.666666666666671</v>
      </c>
      <c r="AT77" s="18">
        <v>87</v>
      </c>
      <c r="AU77" s="18" t="str">
        <f t="shared" si="40"/>
        <v>Mencapai kompetensi dengan baik dalam hal</v>
      </c>
      <c r="AV77" s="23">
        <v>80</v>
      </c>
      <c r="AW77" s="18" t="str">
        <f t="shared" si="57"/>
        <v>Mencapai kompetensi dengan baik dalam hal</v>
      </c>
      <c r="AX77" s="23">
        <v>3</v>
      </c>
      <c r="AY77" s="23">
        <v>1</v>
      </c>
      <c r="AZ77" s="23" t="s">
        <v>81</v>
      </c>
      <c r="BA77" s="23">
        <v>1</v>
      </c>
      <c r="BB77" s="23" t="s">
        <v>82</v>
      </c>
      <c r="BC77" s="18" t="s">
        <v>83</v>
      </c>
      <c r="BD77" s="23" t="s">
        <v>84</v>
      </c>
      <c r="BE77" s="18" t="str">
        <f t="shared" si="41"/>
        <v>Baik</v>
      </c>
      <c r="BF77" s="23">
        <v>2</v>
      </c>
      <c r="BG77" s="18" t="s">
        <v>108</v>
      </c>
      <c r="BH77" s="18" t="s">
        <v>83</v>
      </c>
      <c r="BI77" s="23" t="s">
        <v>86</v>
      </c>
      <c r="BJ77" s="18" t="str">
        <f t="shared" si="42"/>
        <v>Sangat baik</v>
      </c>
      <c r="BK77" s="23"/>
      <c r="BL77" s="23"/>
      <c r="BM77" s="23"/>
      <c r="BN77" s="23"/>
      <c r="BO77" s="18"/>
      <c r="BP77" s="54"/>
      <c r="BQ77" s="54"/>
      <c r="BR77" s="54"/>
    </row>
    <row r="78" spans="1:70" ht="24.95" customHeight="1" x14ac:dyDescent="0.25">
      <c r="A78" s="23">
        <v>77</v>
      </c>
      <c r="B78" s="23">
        <v>2525802</v>
      </c>
      <c r="C78" s="23" t="s">
        <v>455</v>
      </c>
      <c r="D78" s="18" t="s">
        <v>456</v>
      </c>
      <c r="E78" s="23" t="s">
        <v>446</v>
      </c>
      <c r="F78" s="23" t="s">
        <v>291</v>
      </c>
      <c r="G78" s="23" t="s">
        <v>447</v>
      </c>
      <c r="H78" s="23" t="s">
        <v>448</v>
      </c>
      <c r="I78" s="60" t="s">
        <v>76</v>
      </c>
      <c r="J78" s="61" t="s">
        <v>77</v>
      </c>
      <c r="K78" s="61" t="s">
        <v>78</v>
      </c>
      <c r="L78" s="61" t="s">
        <v>79</v>
      </c>
      <c r="M78" s="23">
        <v>82</v>
      </c>
      <c r="N78" s="18" t="str">
        <f t="shared" si="43"/>
        <v>Mencapai kompetensi dengan baik dalam hal</v>
      </c>
      <c r="O78" s="23">
        <v>75</v>
      </c>
      <c r="P78" s="18" t="str">
        <f t="shared" si="44"/>
        <v>Mencapai kompetensi dengan baik dalam hal</v>
      </c>
      <c r="Q78" s="23">
        <v>76</v>
      </c>
      <c r="R78" s="18" t="str">
        <f t="shared" si="45"/>
        <v>Mencapai kompetensi dengan baik dalam hal</v>
      </c>
      <c r="S78" s="23">
        <v>80</v>
      </c>
      <c r="T78" s="18" t="str">
        <f t="shared" si="46"/>
        <v>Mencapai kompetensi dengan baik dalam hal</v>
      </c>
      <c r="U78" s="23">
        <v>75</v>
      </c>
      <c r="V78" s="18" t="str">
        <f t="shared" si="47"/>
        <v>Mencapai kompetensi dengan baik dalam hal</v>
      </c>
      <c r="W78" s="23">
        <v>75</v>
      </c>
      <c r="X78" s="18" t="str">
        <f t="shared" si="48"/>
        <v>Mencapai kompetensi dengan baik dalam hal</v>
      </c>
      <c r="Y78" s="23">
        <v>75</v>
      </c>
      <c r="Z78" s="18" t="str">
        <f t="shared" si="49"/>
        <v>Mencapai kompetensi dengan baik dalam hal</v>
      </c>
      <c r="AA78" s="23">
        <v>78</v>
      </c>
      <c r="AB78" s="18" t="str">
        <f t="shared" si="50"/>
        <v>Mencapai kompetensi dengan baik dalam hal</v>
      </c>
      <c r="AC78" s="23">
        <v>86</v>
      </c>
      <c r="AD78" s="18" t="str">
        <f t="shared" si="51"/>
        <v>Mencapai kompetensi dengan baik dalam hal</v>
      </c>
      <c r="AE78" s="23">
        <v>80</v>
      </c>
      <c r="AF78" s="18" t="str">
        <f t="shared" si="52"/>
        <v>Mencapai kompetensi dengan baik dalam hal</v>
      </c>
      <c r="AG78" s="23">
        <v>78</v>
      </c>
      <c r="AH78" s="18" t="str">
        <f t="shared" si="37"/>
        <v>Mencapai kompetensi dengan baik dalam hal</v>
      </c>
      <c r="AI78" s="23">
        <v>90</v>
      </c>
      <c r="AJ78" s="18" t="str">
        <f t="shared" si="38"/>
        <v>Mencapai kompetensi dengan sangat baik dalam hal</v>
      </c>
      <c r="AK78" s="23">
        <v>90</v>
      </c>
      <c r="AL78" s="18" t="str">
        <f t="shared" si="53"/>
        <v>Mencapai kompetensi dengan sangat baik dalam hal</v>
      </c>
      <c r="AM78" s="23">
        <v>80</v>
      </c>
      <c r="AN78" s="18" t="str">
        <f t="shared" si="54"/>
        <v>Mencapai kompetensi dengan baik dalam hal</v>
      </c>
      <c r="AO78" s="23">
        <v>82</v>
      </c>
      <c r="AP78" s="18" t="str">
        <f t="shared" si="39"/>
        <v>Mencapai kompetensi dengan baik dalam hal</v>
      </c>
      <c r="AQ78" s="23">
        <v>82</v>
      </c>
      <c r="AR78" s="18" t="str">
        <f t="shared" si="55"/>
        <v>Mencapai kompetensi dengan baik dalam hal</v>
      </c>
      <c r="AS78" s="62">
        <f t="shared" si="56"/>
        <v>83.666666666666671</v>
      </c>
      <c r="AT78" s="18">
        <v>86</v>
      </c>
      <c r="AU78" s="18" t="str">
        <f t="shared" si="40"/>
        <v>Mencapai kompetensi dengan baik dalam hal</v>
      </c>
      <c r="AV78" s="23">
        <v>80</v>
      </c>
      <c r="AW78" s="18" t="str">
        <f t="shared" si="57"/>
        <v>Mencapai kompetensi dengan baik dalam hal</v>
      </c>
      <c r="AX78" s="23">
        <v>1</v>
      </c>
      <c r="AY78" s="23">
        <v>1</v>
      </c>
      <c r="AZ78" s="23" t="s">
        <v>81</v>
      </c>
      <c r="BA78" s="23">
        <v>1</v>
      </c>
      <c r="BB78" s="23" t="s">
        <v>82</v>
      </c>
      <c r="BC78" s="18" t="s">
        <v>83</v>
      </c>
      <c r="BD78" s="23" t="s">
        <v>84</v>
      </c>
      <c r="BE78" s="18" t="str">
        <f t="shared" si="41"/>
        <v>Baik</v>
      </c>
      <c r="BF78" s="23">
        <v>2</v>
      </c>
      <c r="BG78" s="18" t="s">
        <v>108</v>
      </c>
      <c r="BH78" s="18" t="s">
        <v>83</v>
      </c>
      <c r="BI78" s="23" t="s">
        <v>86</v>
      </c>
      <c r="BJ78" s="18" t="str">
        <f t="shared" si="42"/>
        <v>Sangat baik</v>
      </c>
      <c r="BK78" s="23"/>
      <c r="BL78" s="23"/>
      <c r="BM78" s="23"/>
      <c r="BN78" s="23"/>
      <c r="BO78" s="18"/>
      <c r="BP78" s="54"/>
      <c r="BQ78" s="54"/>
      <c r="BR78" s="54"/>
    </row>
    <row r="79" spans="1:70" ht="24.95" customHeight="1" x14ac:dyDescent="0.25">
      <c r="A79" s="23">
        <v>78</v>
      </c>
      <c r="B79" s="23">
        <v>2525803</v>
      </c>
      <c r="C79" s="23" t="s">
        <v>457</v>
      </c>
      <c r="D79" s="18" t="s">
        <v>458</v>
      </c>
      <c r="E79" s="23" t="s">
        <v>446</v>
      </c>
      <c r="F79" s="23" t="s">
        <v>291</v>
      </c>
      <c r="G79" s="23" t="s">
        <v>447</v>
      </c>
      <c r="H79" s="23" t="s">
        <v>448</v>
      </c>
      <c r="I79" s="60" t="s">
        <v>76</v>
      </c>
      <c r="J79" s="61" t="s">
        <v>77</v>
      </c>
      <c r="K79" s="61" t="s">
        <v>78</v>
      </c>
      <c r="L79" s="61" t="s">
        <v>79</v>
      </c>
      <c r="M79" s="23">
        <v>76</v>
      </c>
      <c r="N79" s="18" t="str">
        <f t="shared" si="43"/>
        <v>Mencapai kompetensi dengan baik dalam hal</v>
      </c>
      <c r="O79" s="23">
        <v>75</v>
      </c>
      <c r="P79" s="18" t="str">
        <f t="shared" si="44"/>
        <v>Mencapai kompetensi dengan baik dalam hal</v>
      </c>
      <c r="Q79" s="23">
        <v>75</v>
      </c>
      <c r="R79" s="18" t="str">
        <f t="shared" si="45"/>
        <v>Mencapai kompetensi dengan baik dalam hal</v>
      </c>
      <c r="S79" s="23">
        <v>79</v>
      </c>
      <c r="T79" s="18" t="str">
        <f t="shared" si="46"/>
        <v>Mencapai kompetensi dengan baik dalam hal</v>
      </c>
      <c r="U79" s="23">
        <v>75</v>
      </c>
      <c r="V79" s="18" t="str">
        <f t="shared" si="47"/>
        <v>Mencapai kompetensi dengan baik dalam hal</v>
      </c>
      <c r="W79" s="23">
        <v>75</v>
      </c>
      <c r="X79" s="18" t="str">
        <f t="shared" si="48"/>
        <v>Mencapai kompetensi dengan baik dalam hal</v>
      </c>
      <c r="Y79" s="23">
        <v>77</v>
      </c>
      <c r="Z79" s="18" t="str">
        <f t="shared" si="49"/>
        <v>Mencapai kompetensi dengan baik dalam hal</v>
      </c>
      <c r="AA79" s="23">
        <v>79</v>
      </c>
      <c r="AB79" s="18" t="str">
        <f t="shared" si="50"/>
        <v>Mencapai kompetensi dengan baik dalam hal</v>
      </c>
      <c r="AC79" s="23">
        <v>76</v>
      </c>
      <c r="AD79" s="18" t="str">
        <f t="shared" si="51"/>
        <v>Mencapai kompetensi dengan baik dalam hal</v>
      </c>
      <c r="AE79" s="23">
        <v>78</v>
      </c>
      <c r="AF79" s="18" t="str">
        <f t="shared" si="52"/>
        <v>Mencapai kompetensi dengan baik dalam hal</v>
      </c>
      <c r="AG79" s="23">
        <v>75</v>
      </c>
      <c r="AH79" s="18" t="str">
        <f t="shared" si="37"/>
        <v>Mencapai kompetensi dengan baik dalam hal</v>
      </c>
      <c r="AI79" s="23">
        <v>87</v>
      </c>
      <c r="AJ79" s="18" t="str">
        <f t="shared" si="38"/>
        <v>Mencapai kompetensi dengan baik dalam hal</v>
      </c>
      <c r="AK79" s="23">
        <v>88</v>
      </c>
      <c r="AL79" s="18" t="str">
        <f t="shared" si="53"/>
        <v>Mencapai kompetensi dengan baik dalam hal</v>
      </c>
      <c r="AM79" s="23">
        <v>75</v>
      </c>
      <c r="AN79" s="18" t="str">
        <f t="shared" si="54"/>
        <v>Mencapai kompetensi dengan baik dalam hal</v>
      </c>
      <c r="AO79" s="23">
        <v>76</v>
      </c>
      <c r="AP79" s="18" t="str">
        <f t="shared" si="39"/>
        <v>Mencapai kompetensi dengan baik dalam hal</v>
      </c>
      <c r="AQ79" s="23">
        <v>82</v>
      </c>
      <c r="AR79" s="18" t="str">
        <f t="shared" si="55"/>
        <v>Mencapai kompetensi dengan baik dalam hal</v>
      </c>
      <c r="AS79" s="62">
        <f t="shared" si="56"/>
        <v>80.5</v>
      </c>
      <c r="AT79" s="18">
        <v>76</v>
      </c>
      <c r="AU79" s="18" t="str">
        <f t="shared" si="40"/>
        <v>Mencapai kompetensi dengan baik dalam hal</v>
      </c>
      <c r="AV79" s="23">
        <v>78</v>
      </c>
      <c r="AW79" s="18" t="str">
        <f t="shared" si="57"/>
        <v>Mencapai kompetensi dengan baik dalam hal</v>
      </c>
      <c r="AX79" s="23">
        <v>4</v>
      </c>
      <c r="AY79" s="23" t="s">
        <v>81</v>
      </c>
      <c r="AZ79" s="23" t="s">
        <v>81</v>
      </c>
      <c r="BA79" s="23">
        <v>1</v>
      </c>
      <c r="BB79" s="23" t="s">
        <v>82</v>
      </c>
      <c r="BC79" s="18" t="s">
        <v>83</v>
      </c>
      <c r="BD79" s="23" t="s">
        <v>110</v>
      </c>
      <c r="BE79" s="18" t="str">
        <f t="shared" si="41"/>
        <v>Kurang</v>
      </c>
      <c r="BF79" s="23">
        <v>2</v>
      </c>
      <c r="BG79" s="18" t="s">
        <v>103</v>
      </c>
      <c r="BH79" s="18" t="s">
        <v>83</v>
      </c>
      <c r="BI79" s="23" t="s">
        <v>84</v>
      </c>
      <c r="BJ79" s="18" t="str">
        <f t="shared" si="42"/>
        <v>Baik</v>
      </c>
      <c r="BK79" s="23"/>
      <c r="BL79" s="23"/>
      <c r="BM79" s="23"/>
      <c r="BN79" s="23"/>
      <c r="BO79" s="18"/>
      <c r="BP79" s="54"/>
      <c r="BQ79" s="54"/>
      <c r="BR79" s="54"/>
    </row>
    <row r="80" spans="1:70" ht="24.95" customHeight="1" x14ac:dyDescent="0.25">
      <c r="A80" s="23">
        <v>79</v>
      </c>
      <c r="B80" s="23">
        <v>2525804</v>
      </c>
      <c r="C80" s="23" t="s">
        <v>459</v>
      </c>
      <c r="D80" s="18" t="s">
        <v>460</v>
      </c>
      <c r="E80" s="23" t="s">
        <v>446</v>
      </c>
      <c r="F80" s="23" t="s">
        <v>291</v>
      </c>
      <c r="G80" s="23" t="s">
        <v>447</v>
      </c>
      <c r="H80" s="23" t="s">
        <v>448</v>
      </c>
      <c r="I80" s="60" t="s">
        <v>76</v>
      </c>
      <c r="J80" s="61" t="s">
        <v>77</v>
      </c>
      <c r="K80" s="61" t="s">
        <v>78</v>
      </c>
      <c r="L80" s="61" t="s">
        <v>79</v>
      </c>
      <c r="M80" s="23">
        <v>75</v>
      </c>
      <c r="N80" s="18" t="str">
        <f t="shared" si="43"/>
        <v>Mencapai kompetensi dengan baik dalam hal</v>
      </c>
      <c r="O80" s="23">
        <v>75</v>
      </c>
      <c r="P80" s="18" t="str">
        <f t="shared" si="44"/>
        <v>Mencapai kompetensi dengan baik dalam hal</v>
      </c>
      <c r="Q80" s="23">
        <v>75</v>
      </c>
      <c r="R80" s="18" t="str">
        <f t="shared" si="45"/>
        <v>Mencapai kompetensi dengan baik dalam hal</v>
      </c>
      <c r="S80" s="23">
        <v>79</v>
      </c>
      <c r="T80" s="18" t="str">
        <f t="shared" si="46"/>
        <v>Mencapai kompetensi dengan baik dalam hal</v>
      </c>
      <c r="U80" s="23">
        <v>70</v>
      </c>
      <c r="V80" s="18" t="str">
        <f t="shared" si="47"/>
        <v>Perlu peningkatan dalam hal</v>
      </c>
      <c r="W80" s="23">
        <v>75</v>
      </c>
      <c r="X80" s="18" t="str">
        <f t="shared" si="48"/>
        <v>Mencapai kompetensi dengan baik dalam hal</v>
      </c>
      <c r="Y80" s="23">
        <v>75</v>
      </c>
      <c r="Z80" s="18" t="str">
        <f t="shared" si="49"/>
        <v>Mencapai kompetensi dengan baik dalam hal</v>
      </c>
      <c r="AA80" s="23">
        <v>76</v>
      </c>
      <c r="AB80" s="18" t="str">
        <f t="shared" si="50"/>
        <v>Mencapai kompetensi dengan baik dalam hal</v>
      </c>
      <c r="AC80" s="23">
        <v>77</v>
      </c>
      <c r="AD80" s="18" t="str">
        <f t="shared" si="51"/>
        <v>Mencapai kompetensi dengan baik dalam hal</v>
      </c>
      <c r="AE80" s="23">
        <v>70</v>
      </c>
      <c r="AF80" s="18" t="str">
        <f t="shared" si="52"/>
        <v>Perlu peningkatan dalam hal</v>
      </c>
      <c r="AG80" s="23">
        <v>75</v>
      </c>
      <c r="AH80" s="18" t="str">
        <f t="shared" si="37"/>
        <v>Mencapai kompetensi dengan baik dalam hal</v>
      </c>
      <c r="AI80" s="23">
        <v>86</v>
      </c>
      <c r="AJ80" s="18" t="str">
        <f t="shared" si="38"/>
        <v>Mencapai kompetensi dengan baik dalam hal</v>
      </c>
      <c r="AK80" s="23">
        <v>86</v>
      </c>
      <c r="AL80" s="18" t="str">
        <f t="shared" si="53"/>
        <v>Mencapai kompetensi dengan baik dalam hal</v>
      </c>
      <c r="AM80" s="23">
        <v>78</v>
      </c>
      <c r="AN80" s="18" t="str">
        <f t="shared" si="54"/>
        <v>Mencapai kompetensi dengan baik dalam hal</v>
      </c>
      <c r="AO80" s="23">
        <v>80</v>
      </c>
      <c r="AP80" s="18" t="str">
        <f t="shared" si="39"/>
        <v>Mencapai kompetensi dengan baik dalam hal</v>
      </c>
      <c r="AQ80" s="23">
        <v>70</v>
      </c>
      <c r="AR80" s="18" t="str">
        <f t="shared" si="55"/>
        <v>Perlu peningkatan dalam hal</v>
      </c>
      <c r="AS80" s="62">
        <f t="shared" si="56"/>
        <v>79.166666666666671</v>
      </c>
      <c r="AT80" s="18">
        <v>77</v>
      </c>
      <c r="AU80" s="18" t="str">
        <f t="shared" si="40"/>
        <v>Mencapai kompetensi dengan baik dalam hal</v>
      </c>
      <c r="AV80" s="23">
        <v>80</v>
      </c>
      <c r="AW80" s="18" t="str">
        <f t="shared" si="57"/>
        <v>Mencapai kompetensi dengan baik dalam hal</v>
      </c>
      <c r="AX80" s="23">
        <v>3</v>
      </c>
      <c r="AY80" s="23" t="s">
        <v>81</v>
      </c>
      <c r="AZ80" s="23" t="s">
        <v>81</v>
      </c>
      <c r="BA80" s="23">
        <v>1</v>
      </c>
      <c r="BB80" s="23" t="s">
        <v>82</v>
      </c>
      <c r="BC80" s="18" t="s">
        <v>83</v>
      </c>
      <c r="BD80" s="23" t="s">
        <v>110</v>
      </c>
      <c r="BE80" s="18" t="str">
        <f t="shared" si="41"/>
        <v>Kurang</v>
      </c>
      <c r="BF80" s="23">
        <v>2</v>
      </c>
      <c r="BG80" s="18" t="s">
        <v>429</v>
      </c>
      <c r="BH80" s="18" t="s">
        <v>83</v>
      </c>
      <c r="BI80" s="23" t="s">
        <v>84</v>
      </c>
      <c r="BJ80" s="18" t="str">
        <f t="shared" si="42"/>
        <v>Baik</v>
      </c>
      <c r="BK80" s="23"/>
      <c r="BL80" s="23"/>
      <c r="BM80" s="23"/>
      <c r="BN80" s="23"/>
      <c r="BO80" s="18"/>
      <c r="BP80" s="54"/>
      <c r="BQ80" s="54"/>
      <c r="BR80" s="54"/>
    </row>
    <row r="81" spans="1:70" ht="24.95" customHeight="1" x14ac:dyDescent="0.25">
      <c r="A81" s="23">
        <v>80</v>
      </c>
      <c r="B81" s="23">
        <v>2525805</v>
      </c>
      <c r="C81" s="23" t="s">
        <v>461</v>
      </c>
      <c r="D81" s="18" t="s">
        <v>462</v>
      </c>
      <c r="E81" s="23" t="s">
        <v>446</v>
      </c>
      <c r="F81" s="23" t="s">
        <v>291</v>
      </c>
      <c r="G81" s="23" t="s">
        <v>447</v>
      </c>
      <c r="H81" s="23" t="s">
        <v>448</v>
      </c>
      <c r="I81" s="60" t="s">
        <v>76</v>
      </c>
      <c r="J81" s="61" t="s">
        <v>77</v>
      </c>
      <c r="K81" s="61" t="s">
        <v>78</v>
      </c>
      <c r="L81" s="61" t="s">
        <v>79</v>
      </c>
      <c r="M81" s="23">
        <v>82</v>
      </c>
      <c r="N81" s="18" t="str">
        <f t="shared" si="43"/>
        <v>Mencapai kompetensi dengan baik dalam hal</v>
      </c>
      <c r="O81" s="23">
        <v>80</v>
      </c>
      <c r="P81" s="18" t="str">
        <f t="shared" si="44"/>
        <v>Mencapai kompetensi dengan baik dalam hal</v>
      </c>
      <c r="Q81" s="23">
        <v>78</v>
      </c>
      <c r="R81" s="18" t="str">
        <f t="shared" si="45"/>
        <v>Mencapai kompetensi dengan baik dalam hal</v>
      </c>
      <c r="S81" s="23">
        <v>83</v>
      </c>
      <c r="T81" s="18" t="str">
        <f t="shared" si="46"/>
        <v>Mencapai kompetensi dengan baik dalam hal</v>
      </c>
      <c r="U81" s="23">
        <v>76</v>
      </c>
      <c r="V81" s="18" t="str">
        <f t="shared" si="47"/>
        <v>Mencapai kompetensi dengan baik dalam hal</v>
      </c>
      <c r="W81" s="23">
        <v>79</v>
      </c>
      <c r="X81" s="18" t="str">
        <f t="shared" si="48"/>
        <v>Mencapai kompetensi dengan baik dalam hal</v>
      </c>
      <c r="Y81" s="23">
        <v>85</v>
      </c>
      <c r="Z81" s="18" t="str">
        <f t="shared" si="49"/>
        <v>Mencapai kompetensi dengan baik dalam hal</v>
      </c>
      <c r="AA81" s="23">
        <v>82</v>
      </c>
      <c r="AB81" s="18" t="str">
        <f t="shared" si="50"/>
        <v>Mencapai kompetensi dengan baik dalam hal</v>
      </c>
      <c r="AC81" s="23">
        <v>81</v>
      </c>
      <c r="AD81" s="18" t="str">
        <f t="shared" si="51"/>
        <v>Mencapai kompetensi dengan baik dalam hal</v>
      </c>
      <c r="AE81" s="23">
        <v>90</v>
      </c>
      <c r="AF81" s="18" t="str">
        <f t="shared" si="52"/>
        <v>Mencapai kompetensi dengan sangat baik dalam hal</v>
      </c>
      <c r="AG81" s="23">
        <v>90</v>
      </c>
      <c r="AH81" s="18" t="str">
        <f t="shared" si="37"/>
        <v>Mencapai kompetensi dengan sangat baik dalam hal</v>
      </c>
      <c r="AI81" s="23">
        <v>91</v>
      </c>
      <c r="AJ81" s="18" t="str">
        <f t="shared" si="38"/>
        <v>Mencapai kompetensi dengan sangat baik dalam hal</v>
      </c>
      <c r="AK81" s="23">
        <v>90</v>
      </c>
      <c r="AL81" s="18" t="str">
        <f t="shared" si="53"/>
        <v>Mencapai kompetensi dengan sangat baik dalam hal</v>
      </c>
      <c r="AM81" s="23">
        <v>90</v>
      </c>
      <c r="AN81" s="18" t="str">
        <f t="shared" si="54"/>
        <v>Mencapai kompetensi dengan sangat baik dalam hal</v>
      </c>
      <c r="AO81" s="23">
        <v>86</v>
      </c>
      <c r="AP81" s="18" t="str">
        <f t="shared" si="39"/>
        <v>Mencapai kompetensi dengan baik dalam hal</v>
      </c>
      <c r="AQ81" s="23">
        <v>85</v>
      </c>
      <c r="AR81" s="18" t="str">
        <f t="shared" si="55"/>
        <v>Mencapai kompetensi dengan baik dalam hal</v>
      </c>
      <c r="AS81" s="62">
        <f t="shared" si="56"/>
        <v>88.666666666666671</v>
      </c>
      <c r="AT81" s="18">
        <v>81</v>
      </c>
      <c r="AU81" s="18" t="str">
        <f t="shared" si="40"/>
        <v>Mencapai kompetensi dengan baik dalam hal</v>
      </c>
      <c r="AV81" s="23">
        <v>81</v>
      </c>
      <c r="AW81" s="18" t="str">
        <f t="shared" si="57"/>
        <v>Mencapai kompetensi dengan baik dalam hal</v>
      </c>
      <c r="AX81" s="23">
        <v>1</v>
      </c>
      <c r="AY81" s="23" t="s">
        <v>81</v>
      </c>
      <c r="AZ81" s="23" t="s">
        <v>81</v>
      </c>
      <c r="BA81" s="23">
        <v>1</v>
      </c>
      <c r="BB81" s="23" t="s">
        <v>82</v>
      </c>
      <c r="BC81" s="18" t="s">
        <v>83</v>
      </c>
      <c r="BD81" s="23" t="s">
        <v>84</v>
      </c>
      <c r="BE81" s="18" t="str">
        <f t="shared" si="41"/>
        <v>Baik</v>
      </c>
      <c r="BF81" s="23">
        <v>2</v>
      </c>
      <c r="BG81" s="18" t="s">
        <v>125</v>
      </c>
      <c r="BH81" s="18" t="s">
        <v>83</v>
      </c>
      <c r="BI81" s="23" t="s">
        <v>104</v>
      </c>
      <c r="BJ81" s="18" t="str">
        <f t="shared" si="42"/>
        <v>Cukup</v>
      </c>
      <c r="BK81" s="23"/>
      <c r="BL81" s="23"/>
      <c r="BM81" s="23"/>
      <c r="BN81" s="23"/>
      <c r="BO81" s="18"/>
      <c r="BP81" s="54"/>
      <c r="BQ81" s="54"/>
      <c r="BR81" s="54"/>
    </row>
    <row r="82" spans="1:70" ht="24.95" customHeight="1" x14ac:dyDescent="0.25">
      <c r="A82" s="23">
        <v>81</v>
      </c>
      <c r="B82" s="23">
        <v>2525806</v>
      </c>
      <c r="C82" s="23" t="s">
        <v>463</v>
      </c>
      <c r="D82" s="18" t="s">
        <v>464</v>
      </c>
      <c r="E82" s="23" t="s">
        <v>446</v>
      </c>
      <c r="F82" s="23" t="s">
        <v>291</v>
      </c>
      <c r="G82" s="23" t="s">
        <v>447</v>
      </c>
      <c r="H82" s="23" t="s">
        <v>448</v>
      </c>
      <c r="I82" s="60" t="s">
        <v>76</v>
      </c>
      <c r="J82" s="61" t="s">
        <v>77</v>
      </c>
      <c r="K82" s="61" t="s">
        <v>78</v>
      </c>
      <c r="L82" s="61" t="s">
        <v>79</v>
      </c>
      <c r="M82" s="23">
        <v>79</v>
      </c>
      <c r="N82" s="18" t="str">
        <f t="shared" si="43"/>
        <v>Mencapai kompetensi dengan baik dalam hal</v>
      </c>
      <c r="O82" s="23">
        <v>78</v>
      </c>
      <c r="P82" s="18" t="str">
        <f t="shared" si="44"/>
        <v>Mencapai kompetensi dengan baik dalam hal</v>
      </c>
      <c r="Q82" s="23">
        <v>78</v>
      </c>
      <c r="R82" s="18" t="str">
        <f t="shared" si="45"/>
        <v>Mencapai kompetensi dengan baik dalam hal</v>
      </c>
      <c r="S82" s="23">
        <v>79</v>
      </c>
      <c r="T82" s="18" t="str">
        <f t="shared" si="46"/>
        <v>Mencapai kompetensi dengan baik dalam hal</v>
      </c>
      <c r="U82" s="23">
        <v>88</v>
      </c>
      <c r="V82" s="18" t="str">
        <f t="shared" si="47"/>
        <v>Mencapai kompetensi dengan baik dalam hal</v>
      </c>
      <c r="W82" s="23">
        <v>75</v>
      </c>
      <c r="X82" s="18" t="str">
        <f t="shared" si="48"/>
        <v>Mencapai kompetensi dengan baik dalam hal</v>
      </c>
      <c r="Y82" s="23">
        <v>79</v>
      </c>
      <c r="Z82" s="18" t="str">
        <f t="shared" si="49"/>
        <v>Mencapai kompetensi dengan baik dalam hal</v>
      </c>
      <c r="AA82" s="23">
        <v>77</v>
      </c>
      <c r="AB82" s="18" t="str">
        <f t="shared" si="50"/>
        <v>Mencapai kompetensi dengan baik dalam hal</v>
      </c>
      <c r="AC82" s="23">
        <v>80</v>
      </c>
      <c r="AD82" s="18" t="str">
        <f t="shared" si="51"/>
        <v>Mencapai kompetensi dengan baik dalam hal</v>
      </c>
      <c r="AE82" s="23">
        <v>81</v>
      </c>
      <c r="AF82" s="18" t="str">
        <f t="shared" si="52"/>
        <v>Mencapai kompetensi dengan baik dalam hal</v>
      </c>
      <c r="AG82" s="23">
        <v>89</v>
      </c>
      <c r="AH82" s="18" t="str">
        <f t="shared" si="37"/>
        <v>Mencapai kompetensi dengan baik dalam hal</v>
      </c>
      <c r="AI82" s="23">
        <v>79</v>
      </c>
      <c r="AJ82" s="18" t="str">
        <f t="shared" si="38"/>
        <v>Mencapai kompetensi dengan baik dalam hal</v>
      </c>
      <c r="AK82" s="23">
        <v>87</v>
      </c>
      <c r="AL82" s="18" t="str">
        <f t="shared" si="53"/>
        <v>Mencapai kompetensi dengan baik dalam hal</v>
      </c>
      <c r="AM82" s="23">
        <v>83</v>
      </c>
      <c r="AN82" s="18" t="str">
        <f t="shared" si="54"/>
        <v>Mencapai kompetensi dengan baik dalam hal</v>
      </c>
      <c r="AO82" s="23">
        <v>87</v>
      </c>
      <c r="AP82" s="18" t="str">
        <f t="shared" si="39"/>
        <v>Mencapai kompetensi dengan baik dalam hal</v>
      </c>
      <c r="AQ82" s="23">
        <v>84</v>
      </c>
      <c r="AR82" s="18" t="str">
        <f t="shared" si="55"/>
        <v>Mencapai kompetensi dengan baik dalam hal</v>
      </c>
      <c r="AS82" s="62">
        <f t="shared" si="56"/>
        <v>84.833333333333329</v>
      </c>
      <c r="AT82" s="18">
        <v>80</v>
      </c>
      <c r="AU82" s="18" t="str">
        <f t="shared" si="40"/>
        <v>Mencapai kompetensi dengan baik dalam hal</v>
      </c>
      <c r="AV82" s="23">
        <v>79</v>
      </c>
      <c r="AW82" s="18" t="str">
        <f t="shared" si="57"/>
        <v>Mencapai kompetensi dengan baik dalam hal</v>
      </c>
      <c r="AX82" s="23">
        <v>1</v>
      </c>
      <c r="AY82" s="23" t="s">
        <v>81</v>
      </c>
      <c r="AZ82" s="23" t="s">
        <v>81</v>
      </c>
      <c r="BA82" s="23">
        <v>1</v>
      </c>
      <c r="BB82" s="23" t="s">
        <v>82</v>
      </c>
      <c r="BC82" s="18" t="s">
        <v>83</v>
      </c>
      <c r="BD82" s="23" t="s">
        <v>86</v>
      </c>
      <c r="BE82" s="18" t="str">
        <f t="shared" si="41"/>
        <v>Sangat baik</v>
      </c>
      <c r="BF82" s="23">
        <v>2</v>
      </c>
      <c r="BG82" s="18" t="s">
        <v>212</v>
      </c>
      <c r="BH82" s="18" t="s">
        <v>83</v>
      </c>
      <c r="BI82" s="23" t="s">
        <v>86</v>
      </c>
      <c r="BJ82" s="18" t="str">
        <f t="shared" si="42"/>
        <v>Sangat baik</v>
      </c>
      <c r="BK82" s="23"/>
      <c r="BL82" s="23"/>
      <c r="BM82" s="23"/>
      <c r="BN82" s="23"/>
      <c r="BO82" s="18"/>
      <c r="BP82" s="54"/>
      <c r="BQ82" s="54"/>
      <c r="BR82" s="54"/>
    </row>
    <row r="83" spans="1:70" ht="24.95" customHeight="1" x14ac:dyDescent="0.25">
      <c r="A83" s="23">
        <v>82</v>
      </c>
      <c r="B83" s="23">
        <v>2525807</v>
      </c>
      <c r="C83" s="23" t="s">
        <v>465</v>
      </c>
      <c r="D83" s="18" t="s">
        <v>466</v>
      </c>
      <c r="E83" s="23" t="s">
        <v>446</v>
      </c>
      <c r="F83" s="23" t="s">
        <v>291</v>
      </c>
      <c r="G83" s="23" t="s">
        <v>447</v>
      </c>
      <c r="H83" s="23" t="s">
        <v>448</v>
      </c>
      <c r="I83" s="60" t="s">
        <v>76</v>
      </c>
      <c r="J83" s="61" t="s">
        <v>77</v>
      </c>
      <c r="K83" s="61" t="s">
        <v>78</v>
      </c>
      <c r="L83" s="61" t="s">
        <v>79</v>
      </c>
      <c r="M83" s="23">
        <v>83</v>
      </c>
      <c r="N83" s="18" t="str">
        <f t="shared" si="43"/>
        <v>Mencapai kompetensi dengan baik dalam hal</v>
      </c>
      <c r="O83" s="23">
        <v>80</v>
      </c>
      <c r="P83" s="18" t="str">
        <f t="shared" si="44"/>
        <v>Mencapai kompetensi dengan baik dalam hal</v>
      </c>
      <c r="Q83" s="23">
        <v>77</v>
      </c>
      <c r="R83" s="18" t="str">
        <f t="shared" si="45"/>
        <v>Mencapai kompetensi dengan baik dalam hal</v>
      </c>
      <c r="S83" s="23">
        <v>82</v>
      </c>
      <c r="T83" s="18" t="str">
        <f t="shared" si="46"/>
        <v>Mencapai kompetensi dengan baik dalam hal</v>
      </c>
      <c r="U83" s="23">
        <v>88</v>
      </c>
      <c r="V83" s="18" t="str">
        <f t="shared" si="47"/>
        <v>Mencapai kompetensi dengan baik dalam hal</v>
      </c>
      <c r="W83" s="23">
        <v>80</v>
      </c>
      <c r="X83" s="18" t="str">
        <f t="shared" si="48"/>
        <v>Mencapai kompetensi dengan baik dalam hal</v>
      </c>
      <c r="Y83" s="23">
        <v>79</v>
      </c>
      <c r="Z83" s="18" t="str">
        <f t="shared" si="49"/>
        <v>Mencapai kompetensi dengan baik dalam hal</v>
      </c>
      <c r="AA83" s="23">
        <v>78</v>
      </c>
      <c r="AB83" s="18" t="str">
        <f t="shared" si="50"/>
        <v>Mencapai kompetensi dengan baik dalam hal</v>
      </c>
      <c r="AC83" s="23">
        <v>86</v>
      </c>
      <c r="AD83" s="18" t="str">
        <f t="shared" si="51"/>
        <v>Mencapai kompetensi dengan baik dalam hal</v>
      </c>
      <c r="AE83" s="23">
        <v>80</v>
      </c>
      <c r="AF83" s="18" t="str">
        <f t="shared" si="52"/>
        <v>Mencapai kompetensi dengan baik dalam hal</v>
      </c>
      <c r="AG83" s="23">
        <v>90</v>
      </c>
      <c r="AH83" s="18" t="str">
        <f t="shared" si="37"/>
        <v>Mencapai kompetensi dengan sangat baik dalam hal</v>
      </c>
      <c r="AI83" s="23">
        <v>91</v>
      </c>
      <c r="AJ83" s="18" t="str">
        <f t="shared" si="38"/>
        <v>Mencapai kompetensi dengan sangat baik dalam hal</v>
      </c>
      <c r="AK83" s="23">
        <v>90</v>
      </c>
      <c r="AL83" s="18" t="str">
        <f t="shared" si="53"/>
        <v>Mencapai kompetensi dengan sangat baik dalam hal</v>
      </c>
      <c r="AM83" s="23">
        <v>90</v>
      </c>
      <c r="AN83" s="18" t="str">
        <f t="shared" si="54"/>
        <v>Mencapai kompetensi dengan sangat baik dalam hal</v>
      </c>
      <c r="AO83" s="23">
        <v>85</v>
      </c>
      <c r="AP83" s="18" t="str">
        <f t="shared" si="39"/>
        <v>Mencapai kompetensi dengan baik dalam hal</v>
      </c>
      <c r="AQ83" s="23">
        <v>82</v>
      </c>
      <c r="AR83" s="18" t="str">
        <f t="shared" si="55"/>
        <v>Mencapai kompetensi dengan baik dalam hal</v>
      </c>
      <c r="AS83" s="62">
        <f t="shared" si="56"/>
        <v>88</v>
      </c>
      <c r="AT83" s="18">
        <v>86</v>
      </c>
      <c r="AU83" s="18" t="str">
        <f t="shared" si="40"/>
        <v>Mencapai kompetensi dengan baik dalam hal</v>
      </c>
      <c r="AV83" s="23">
        <v>83</v>
      </c>
      <c r="AW83" s="18" t="str">
        <f t="shared" si="57"/>
        <v>Mencapai kompetensi dengan baik dalam hal</v>
      </c>
      <c r="AX83" s="23" t="s">
        <v>81</v>
      </c>
      <c r="AY83" s="23" t="s">
        <v>81</v>
      </c>
      <c r="AZ83" s="23" t="s">
        <v>81</v>
      </c>
      <c r="BA83" s="23">
        <v>1</v>
      </c>
      <c r="BB83" s="23" t="s">
        <v>82</v>
      </c>
      <c r="BC83" s="18" t="s">
        <v>83</v>
      </c>
      <c r="BD83" s="23" t="s">
        <v>86</v>
      </c>
      <c r="BE83" s="18" t="str">
        <f t="shared" si="41"/>
        <v>Sangat baik</v>
      </c>
      <c r="BF83" s="23">
        <v>2</v>
      </c>
      <c r="BG83" s="18" t="s">
        <v>179</v>
      </c>
      <c r="BH83" s="18" t="s">
        <v>83</v>
      </c>
      <c r="BI83" s="23" t="s">
        <v>86</v>
      </c>
      <c r="BJ83" s="18" t="str">
        <f t="shared" si="42"/>
        <v>Sangat baik</v>
      </c>
      <c r="BK83" s="23"/>
      <c r="BL83" s="23"/>
      <c r="BM83" s="23"/>
      <c r="BN83" s="23"/>
      <c r="BO83" s="18"/>
      <c r="BP83" s="54"/>
      <c r="BQ83" s="54"/>
      <c r="BR83" s="54"/>
    </row>
    <row r="84" spans="1:70" ht="24.95" customHeight="1" x14ac:dyDescent="0.25">
      <c r="A84" s="23">
        <v>83</v>
      </c>
      <c r="B84" s="23">
        <v>2525808</v>
      </c>
      <c r="C84" s="23" t="s">
        <v>467</v>
      </c>
      <c r="D84" s="18" t="s">
        <v>468</v>
      </c>
      <c r="E84" s="23" t="s">
        <v>446</v>
      </c>
      <c r="F84" s="23" t="s">
        <v>291</v>
      </c>
      <c r="G84" s="23" t="s">
        <v>447</v>
      </c>
      <c r="H84" s="23" t="s">
        <v>448</v>
      </c>
      <c r="I84" s="60" t="s">
        <v>76</v>
      </c>
      <c r="J84" s="61" t="s">
        <v>77</v>
      </c>
      <c r="K84" s="61" t="s">
        <v>78</v>
      </c>
      <c r="L84" s="61" t="s">
        <v>79</v>
      </c>
      <c r="M84" s="23">
        <v>79</v>
      </c>
      <c r="N84" s="18" t="str">
        <f t="shared" si="43"/>
        <v>Mencapai kompetensi dengan baik dalam hal</v>
      </c>
      <c r="O84" s="23">
        <v>78</v>
      </c>
      <c r="P84" s="18" t="str">
        <f t="shared" si="44"/>
        <v>Mencapai kompetensi dengan baik dalam hal</v>
      </c>
      <c r="Q84" s="23">
        <v>78</v>
      </c>
      <c r="R84" s="18" t="str">
        <f t="shared" si="45"/>
        <v>Mencapai kompetensi dengan baik dalam hal</v>
      </c>
      <c r="S84" s="23">
        <v>81</v>
      </c>
      <c r="T84" s="18" t="str">
        <f t="shared" si="46"/>
        <v>Mencapai kompetensi dengan baik dalam hal</v>
      </c>
      <c r="U84" s="23">
        <v>84</v>
      </c>
      <c r="V84" s="18" t="str">
        <f t="shared" si="47"/>
        <v>Mencapai kompetensi dengan baik dalam hal</v>
      </c>
      <c r="W84" s="23">
        <v>81</v>
      </c>
      <c r="X84" s="18" t="str">
        <f t="shared" si="48"/>
        <v>Mencapai kompetensi dengan baik dalam hal</v>
      </c>
      <c r="Y84" s="23">
        <v>81</v>
      </c>
      <c r="Z84" s="18" t="str">
        <f t="shared" si="49"/>
        <v>Mencapai kompetensi dengan baik dalam hal</v>
      </c>
      <c r="AA84" s="23">
        <v>79</v>
      </c>
      <c r="AB84" s="18" t="str">
        <f t="shared" si="50"/>
        <v>Mencapai kompetensi dengan baik dalam hal</v>
      </c>
      <c r="AC84" s="23">
        <v>86</v>
      </c>
      <c r="AD84" s="18" t="str">
        <f t="shared" si="51"/>
        <v>Mencapai kompetensi dengan baik dalam hal</v>
      </c>
      <c r="AE84" s="23">
        <v>80</v>
      </c>
      <c r="AF84" s="18" t="str">
        <f t="shared" si="52"/>
        <v>Mencapai kompetensi dengan baik dalam hal</v>
      </c>
      <c r="AG84" s="23">
        <v>83</v>
      </c>
      <c r="AH84" s="18" t="str">
        <f t="shared" si="37"/>
        <v>Mencapai kompetensi dengan baik dalam hal</v>
      </c>
      <c r="AI84" s="23">
        <v>96</v>
      </c>
      <c r="AJ84" s="18" t="str">
        <f t="shared" si="38"/>
        <v>Mencapai kompetensi dengan sangat baik dalam hal</v>
      </c>
      <c r="AK84" s="23">
        <v>91</v>
      </c>
      <c r="AL84" s="18" t="str">
        <f t="shared" si="53"/>
        <v>Mencapai kompetensi dengan sangat baik dalam hal</v>
      </c>
      <c r="AM84" s="23">
        <v>82</v>
      </c>
      <c r="AN84" s="18" t="str">
        <f t="shared" si="54"/>
        <v>Mencapai kompetensi dengan baik dalam hal</v>
      </c>
      <c r="AO84" s="23">
        <v>84</v>
      </c>
      <c r="AP84" s="18" t="str">
        <f t="shared" si="39"/>
        <v>Mencapai kompetensi dengan baik dalam hal</v>
      </c>
      <c r="AQ84" s="23">
        <v>84</v>
      </c>
      <c r="AR84" s="18" t="str">
        <f t="shared" si="55"/>
        <v>Mencapai kompetensi dengan baik dalam hal</v>
      </c>
      <c r="AS84" s="62">
        <f t="shared" si="56"/>
        <v>86.666666666666671</v>
      </c>
      <c r="AT84" s="18">
        <v>86</v>
      </c>
      <c r="AU84" s="18" t="str">
        <f t="shared" si="40"/>
        <v>Mencapai kompetensi dengan baik dalam hal</v>
      </c>
      <c r="AV84" s="23">
        <v>77</v>
      </c>
      <c r="AW84" s="18" t="str">
        <f t="shared" si="57"/>
        <v>Mencapai kompetensi dengan baik dalam hal</v>
      </c>
      <c r="AX84" s="23" t="s">
        <v>81</v>
      </c>
      <c r="AY84" s="23" t="s">
        <v>81</v>
      </c>
      <c r="AZ84" s="23" t="s">
        <v>81</v>
      </c>
      <c r="BA84" s="23">
        <v>1</v>
      </c>
      <c r="BB84" s="23" t="s">
        <v>82</v>
      </c>
      <c r="BC84" s="18" t="s">
        <v>83</v>
      </c>
      <c r="BD84" s="23" t="s">
        <v>86</v>
      </c>
      <c r="BE84" s="18" t="str">
        <f t="shared" si="41"/>
        <v>Sangat baik</v>
      </c>
      <c r="BF84" s="23">
        <v>2</v>
      </c>
      <c r="BG84" s="18" t="s">
        <v>103</v>
      </c>
      <c r="BH84" s="18" t="s">
        <v>83</v>
      </c>
      <c r="BI84" s="23" t="s">
        <v>84</v>
      </c>
      <c r="BJ84" s="18" t="str">
        <f t="shared" si="42"/>
        <v>Baik</v>
      </c>
      <c r="BK84" s="23"/>
      <c r="BL84" s="23"/>
      <c r="BM84" s="23"/>
      <c r="BN84" s="23"/>
      <c r="BO84" s="18"/>
      <c r="BP84" s="54"/>
      <c r="BQ84" s="54"/>
      <c r="BR84" s="54"/>
    </row>
    <row r="85" spans="1:70" ht="24.95" customHeight="1" x14ac:dyDescent="0.25">
      <c r="A85" s="23">
        <v>84</v>
      </c>
      <c r="B85" s="23">
        <v>2525809</v>
      </c>
      <c r="C85" s="23" t="s">
        <v>469</v>
      </c>
      <c r="D85" s="18" t="s">
        <v>470</v>
      </c>
      <c r="E85" s="23" t="s">
        <v>446</v>
      </c>
      <c r="F85" s="23" t="s">
        <v>291</v>
      </c>
      <c r="G85" s="23" t="s">
        <v>447</v>
      </c>
      <c r="H85" s="23" t="s">
        <v>448</v>
      </c>
      <c r="I85" s="60" t="s">
        <v>76</v>
      </c>
      <c r="J85" s="61" t="s">
        <v>77</v>
      </c>
      <c r="K85" s="61" t="s">
        <v>78</v>
      </c>
      <c r="L85" s="61" t="s">
        <v>79</v>
      </c>
      <c r="M85" s="23">
        <v>75</v>
      </c>
      <c r="N85" s="18" t="str">
        <f t="shared" si="43"/>
        <v>Mencapai kompetensi dengan baik dalam hal</v>
      </c>
      <c r="O85" s="23">
        <v>75</v>
      </c>
      <c r="P85" s="18" t="str">
        <f t="shared" si="44"/>
        <v>Mencapai kompetensi dengan baik dalam hal</v>
      </c>
      <c r="Q85" s="23">
        <v>75</v>
      </c>
      <c r="R85" s="18" t="str">
        <f t="shared" si="45"/>
        <v>Mencapai kompetensi dengan baik dalam hal</v>
      </c>
      <c r="S85" s="23">
        <v>79</v>
      </c>
      <c r="T85" s="18" t="str">
        <f t="shared" si="46"/>
        <v>Mencapai kompetensi dengan baik dalam hal</v>
      </c>
      <c r="U85" s="23">
        <v>75</v>
      </c>
      <c r="V85" s="18" t="str">
        <f t="shared" si="47"/>
        <v>Mencapai kompetensi dengan baik dalam hal</v>
      </c>
      <c r="W85" s="23">
        <v>70</v>
      </c>
      <c r="X85" s="18" t="str">
        <f t="shared" si="48"/>
        <v>Perlu peningkatan dalam hal</v>
      </c>
      <c r="Y85" s="23">
        <v>75</v>
      </c>
      <c r="Z85" s="18" t="str">
        <f t="shared" si="49"/>
        <v>Mencapai kompetensi dengan baik dalam hal</v>
      </c>
      <c r="AA85" s="23">
        <v>77</v>
      </c>
      <c r="AB85" s="18" t="str">
        <f t="shared" si="50"/>
        <v>Mencapai kompetensi dengan baik dalam hal</v>
      </c>
      <c r="AC85" s="23">
        <v>76</v>
      </c>
      <c r="AD85" s="18" t="str">
        <f t="shared" si="51"/>
        <v>Mencapai kompetensi dengan baik dalam hal</v>
      </c>
      <c r="AE85" s="23">
        <v>70</v>
      </c>
      <c r="AF85" s="18" t="str">
        <f t="shared" si="52"/>
        <v>Perlu peningkatan dalam hal</v>
      </c>
      <c r="AG85" s="23">
        <v>75</v>
      </c>
      <c r="AH85" s="18" t="str">
        <f t="shared" si="37"/>
        <v>Mencapai kompetensi dengan baik dalam hal</v>
      </c>
      <c r="AI85" s="23">
        <v>82</v>
      </c>
      <c r="AJ85" s="18" t="str">
        <f t="shared" si="38"/>
        <v>Mencapai kompetensi dengan baik dalam hal</v>
      </c>
      <c r="AK85" s="23">
        <v>80</v>
      </c>
      <c r="AL85" s="18" t="str">
        <f t="shared" si="53"/>
        <v>Mencapai kompetensi dengan baik dalam hal</v>
      </c>
      <c r="AM85" s="23">
        <v>75</v>
      </c>
      <c r="AN85" s="18" t="str">
        <f t="shared" si="54"/>
        <v>Mencapai kompetensi dengan baik dalam hal</v>
      </c>
      <c r="AO85" s="23">
        <v>75</v>
      </c>
      <c r="AP85" s="18" t="str">
        <f t="shared" si="39"/>
        <v>Mencapai kompetensi dengan baik dalam hal</v>
      </c>
      <c r="AQ85" s="23">
        <v>79</v>
      </c>
      <c r="AR85" s="18" t="str">
        <f t="shared" si="55"/>
        <v>Mencapai kompetensi dengan baik dalam hal</v>
      </c>
      <c r="AS85" s="62">
        <f t="shared" si="56"/>
        <v>77.666666666666671</v>
      </c>
      <c r="AT85" s="18">
        <v>76</v>
      </c>
      <c r="AU85" s="18" t="str">
        <f t="shared" si="40"/>
        <v>Mencapai kompetensi dengan baik dalam hal</v>
      </c>
      <c r="AV85" s="23">
        <v>77</v>
      </c>
      <c r="AW85" s="18" t="str">
        <f t="shared" si="57"/>
        <v>Mencapai kompetensi dengan baik dalam hal</v>
      </c>
      <c r="AX85" s="23" t="s">
        <v>81</v>
      </c>
      <c r="AY85" s="23" t="s">
        <v>81</v>
      </c>
      <c r="AZ85" s="23" t="s">
        <v>81</v>
      </c>
      <c r="BA85" s="23">
        <v>1</v>
      </c>
      <c r="BB85" s="23" t="s">
        <v>82</v>
      </c>
      <c r="BC85" s="18" t="s">
        <v>83</v>
      </c>
      <c r="BD85" s="23" t="s">
        <v>110</v>
      </c>
      <c r="BE85" s="18" t="str">
        <f t="shared" si="41"/>
        <v>Kurang</v>
      </c>
      <c r="BF85" s="23">
        <v>2</v>
      </c>
      <c r="BG85" s="18" t="s">
        <v>179</v>
      </c>
      <c r="BH85" s="18" t="s">
        <v>83</v>
      </c>
      <c r="BI85" s="23" t="s">
        <v>84</v>
      </c>
      <c r="BJ85" s="18" t="str">
        <f t="shared" si="42"/>
        <v>Baik</v>
      </c>
      <c r="BK85" s="23"/>
      <c r="BL85" s="23"/>
      <c r="BM85" s="23"/>
      <c r="BN85" s="23"/>
      <c r="BO85" s="18"/>
      <c r="BP85" s="54"/>
      <c r="BQ85" s="54"/>
      <c r="BR85" s="54"/>
    </row>
    <row r="86" spans="1:70" ht="24.95" customHeight="1" x14ac:dyDescent="0.25">
      <c r="A86" s="23">
        <v>85</v>
      </c>
      <c r="B86" s="23">
        <v>2525810</v>
      </c>
      <c r="C86" s="23" t="s">
        <v>471</v>
      </c>
      <c r="D86" s="18" t="s">
        <v>472</v>
      </c>
      <c r="E86" s="23" t="s">
        <v>446</v>
      </c>
      <c r="F86" s="23" t="s">
        <v>291</v>
      </c>
      <c r="G86" s="23" t="s">
        <v>447</v>
      </c>
      <c r="H86" s="23" t="s">
        <v>448</v>
      </c>
      <c r="I86" s="60" t="s">
        <v>76</v>
      </c>
      <c r="J86" s="61" t="s">
        <v>77</v>
      </c>
      <c r="K86" s="61" t="s">
        <v>78</v>
      </c>
      <c r="L86" s="61" t="s">
        <v>79</v>
      </c>
      <c r="M86" s="23">
        <v>77</v>
      </c>
      <c r="N86" s="18" t="str">
        <f t="shared" si="43"/>
        <v>Mencapai kompetensi dengan baik dalam hal</v>
      </c>
      <c r="O86" s="23">
        <v>75</v>
      </c>
      <c r="P86" s="18" t="str">
        <f t="shared" si="44"/>
        <v>Mencapai kompetensi dengan baik dalam hal</v>
      </c>
      <c r="Q86" s="23">
        <v>75</v>
      </c>
      <c r="R86" s="18" t="str">
        <f t="shared" si="45"/>
        <v>Mencapai kompetensi dengan baik dalam hal</v>
      </c>
      <c r="S86" s="23">
        <v>82</v>
      </c>
      <c r="T86" s="18" t="str">
        <f t="shared" si="46"/>
        <v>Mencapai kompetensi dengan baik dalam hal</v>
      </c>
      <c r="U86" s="23">
        <v>75</v>
      </c>
      <c r="V86" s="18" t="str">
        <f t="shared" si="47"/>
        <v>Mencapai kompetensi dengan baik dalam hal</v>
      </c>
      <c r="W86" s="23">
        <v>75</v>
      </c>
      <c r="X86" s="18" t="str">
        <f t="shared" si="48"/>
        <v>Mencapai kompetensi dengan baik dalam hal</v>
      </c>
      <c r="Y86" s="23">
        <v>82</v>
      </c>
      <c r="Z86" s="18" t="str">
        <f t="shared" si="49"/>
        <v>Mencapai kompetensi dengan baik dalam hal</v>
      </c>
      <c r="AA86" s="23">
        <v>77</v>
      </c>
      <c r="AB86" s="18" t="str">
        <f t="shared" si="50"/>
        <v>Mencapai kompetensi dengan baik dalam hal</v>
      </c>
      <c r="AC86" s="23">
        <v>83</v>
      </c>
      <c r="AD86" s="18" t="str">
        <f t="shared" si="51"/>
        <v>Mencapai kompetensi dengan baik dalam hal</v>
      </c>
      <c r="AE86" s="23">
        <v>76</v>
      </c>
      <c r="AF86" s="18" t="str">
        <f t="shared" si="52"/>
        <v>Mencapai kompetensi dengan baik dalam hal</v>
      </c>
      <c r="AG86" s="23">
        <v>77</v>
      </c>
      <c r="AH86" s="18" t="str">
        <f t="shared" si="37"/>
        <v>Mencapai kompetensi dengan baik dalam hal</v>
      </c>
      <c r="AI86" s="23">
        <v>88</v>
      </c>
      <c r="AJ86" s="18" t="str">
        <f t="shared" si="38"/>
        <v>Mencapai kompetensi dengan baik dalam hal</v>
      </c>
      <c r="AK86" s="23">
        <v>88</v>
      </c>
      <c r="AL86" s="18" t="str">
        <f t="shared" si="53"/>
        <v>Mencapai kompetensi dengan baik dalam hal</v>
      </c>
      <c r="AM86" s="23">
        <v>76</v>
      </c>
      <c r="AN86" s="18" t="str">
        <f t="shared" si="54"/>
        <v>Mencapai kompetensi dengan baik dalam hal</v>
      </c>
      <c r="AO86" s="23">
        <v>76</v>
      </c>
      <c r="AP86" s="18" t="str">
        <f t="shared" si="39"/>
        <v>Mencapai kompetensi dengan baik dalam hal</v>
      </c>
      <c r="AQ86" s="23">
        <v>82</v>
      </c>
      <c r="AR86" s="18" t="str">
        <f t="shared" si="55"/>
        <v>Mencapai kompetensi dengan baik dalam hal</v>
      </c>
      <c r="AS86" s="62">
        <f t="shared" si="56"/>
        <v>81.166666666666671</v>
      </c>
      <c r="AT86" s="18">
        <v>83</v>
      </c>
      <c r="AU86" s="18" t="str">
        <f t="shared" si="40"/>
        <v>Mencapai kompetensi dengan baik dalam hal</v>
      </c>
      <c r="AV86" s="23">
        <v>78</v>
      </c>
      <c r="AW86" s="18" t="str">
        <f t="shared" si="57"/>
        <v>Mencapai kompetensi dengan baik dalam hal</v>
      </c>
      <c r="AX86" s="23">
        <v>7</v>
      </c>
      <c r="AY86" s="23" t="s">
        <v>81</v>
      </c>
      <c r="AZ86" s="23" t="s">
        <v>81</v>
      </c>
      <c r="BA86" s="23">
        <v>1</v>
      </c>
      <c r="BB86" s="23" t="s">
        <v>82</v>
      </c>
      <c r="BC86" s="18" t="s">
        <v>83</v>
      </c>
      <c r="BD86" s="23" t="s">
        <v>110</v>
      </c>
      <c r="BE86" s="18" t="str">
        <f t="shared" si="41"/>
        <v>Kurang</v>
      </c>
      <c r="BF86" s="23">
        <v>2</v>
      </c>
      <c r="BG86" s="18" t="s">
        <v>179</v>
      </c>
      <c r="BH86" s="18" t="s">
        <v>83</v>
      </c>
      <c r="BI86" s="23" t="s">
        <v>104</v>
      </c>
      <c r="BJ86" s="18" t="str">
        <f t="shared" si="42"/>
        <v>Cukup</v>
      </c>
      <c r="BK86" s="23"/>
      <c r="BL86" s="23"/>
      <c r="BM86" s="23"/>
      <c r="BN86" s="23"/>
      <c r="BO86" s="18"/>
      <c r="BP86" s="54"/>
      <c r="BQ86" s="54"/>
      <c r="BR86" s="54"/>
    </row>
    <row r="87" spans="1:70" ht="24.95" customHeight="1" x14ac:dyDescent="0.25">
      <c r="A87" s="23">
        <v>86</v>
      </c>
      <c r="B87" s="23">
        <v>2525811</v>
      </c>
      <c r="C87" s="23" t="s">
        <v>473</v>
      </c>
      <c r="D87" s="18" t="s">
        <v>474</v>
      </c>
      <c r="E87" s="23" t="s">
        <v>446</v>
      </c>
      <c r="F87" s="23" t="s">
        <v>291</v>
      </c>
      <c r="G87" s="23" t="s">
        <v>447</v>
      </c>
      <c r="H87" s="23" t="s">
        <v>448</v>
      </c>
      <c r="I87" s="60" t="s">
        <v>76</v>
      </c>
      <c r="J87" s="61" t="s">
        <v>77</v>
      </c>
      <c r="K87" s="61" t="s">
        <v>78</v>
      </c>
      <c r="L87" s="61" t="s">
        <v>79</v>
      </c>
      <c r="M87" s="23">
        <v>77</v>
      </c>
      <c r="N87" s="18" t="str">
        <f t="shared" si="43"/>
        <v>Mencapai kompetensi dengan baik dalam hal</v>
      </c>
      <c r="O87" s="23">
        <v>75</v>
      </c>
      <c r="P87" s="18" t="str">
        <f t="shared" si="44"/>
        <v>Mencapai kompetensi dengan baik dalam hal</v>
      </c>
      <c r="Q87" s="23">
        <v>75</v>
      </c>
      <c r="R87" s="18" t="str">
        <f t="shared" si="45"/>
        <v>Mencapai kompetensi dengan baik dalam hal</v>
      </c>
      <c r="S87" s="23">
        <v>81</v>
      </c>
      <c r="T87" s="18" t="str">
        <f t="shared" si="46"/>
        <v>Mencapai kompetensi dengan baik dalam hal</v>
      </c>
      <c r="U87" s="23">
        <v>75</v>
      </c>
      <c r="V87" s="18" t="str">
        <f t="shared" si="47"/>
        <v>Mencapai kompetensi dengan baik dalam hal</v>
      </c>
      <c r="W87" s="23">
        <v>75</v>
      </c>
      <c r="X87" s="18" t="str">
        <f t="shared" si="48"/>
        <v>Mencapai kompetensi dengan baik dalam hal</v>
      </c>
      <c r="Y87" s="23">
        <v>81</v>
      </c>
      <c r="Z87" s="18" t="str">
        <f t="shared" si="49"/>
        <v>Mencapai kompetensi dengan baik dalam hal</v>
      </c>
      <c r="AA87" s="23">
        <v>76</v>
      </c>
      <c r="AB87" s="18" t="str">
        <f t="shared" si="50"/>
        <v>Mencapai kompetensi dengan baik dalam hal</v>
      </c>
      <c r="AC87" s="23">
        <v>76</v>
      </c>
      <c r="AD87" s="18" t="str">
        <f t="shared" si="51"/>
        <v>Mencapai kompetensi dengan baik dalam hal</v>
      </c>
      <c r="AE87" s="23">
        <v>81</v>
      </c>
      <c r="AF87" s="18" t="str">
        <f t="shared" si="52"/>
        <v>Mencapai kompetensi dengan baik dalam hal</v>
      </c>
      <c r="AG87" s="23">
        <v>88</v>
      </c>
      <c r="AH87" s="18" t="str">
        <f t="shared" si="37"/>
        <v>Mencapai kompetensi dengan baik dalam hal</v>
      </c>
      <c r="AI87" s="23">
        <v>86</v>
      </c>
      <c r="AJ87" s="18" t="str">
        <f t="shared" si="38"/>
        <v>Mencapai kompetensi dengan baik dalam hal</v>
      </c>
      <c r="AK87" s="23">
        <v>87</v>
      </c>
      <c r="AL87" s="18" t="str">
        <f t="shared" si="53"/>
        <v>Mencapai kompetensi dengan baik dalam hal</v>
      </c>
      <c r="AM87" s="23">
        <v>88</v>
      </c>
      <c r="AN87" s="18" t="str">
        <f t="shared" si="54"/>
        <v>Mencapai kompetensi dengan baik dalam hal</v>
      </c>
      <c r="AO87" s="23">
        <v>85</v>
      </c>
      <c r="AP87" s="18" t="str">
        <f t="shared" si="39"/>
        <v>Mencapai kompetensi dengan baik dalam hal</v>
      </c>
      <c r="AQ87" s="23">
        <v>83</v>
      </c>
      <c r="AR87" s="18" t="str">
        <f t="shared" si="55"/>
        <v>Mencapai kompetensi dengan baik dalam hal</v>
      </c>
      <c r="AS87" s="62">
        <f t="shared" si="56"/>
        <v>86.166666666666671</v>
      </c>
      <c r="AT87" s="18">
        <v>76</v>
      </c>
      <c r="AU87" s="18" t="str">
        <f t="shared" si="40"/>
        <v>Mencapai kompetensi dengan baik dalam hal</v>
      </c>
      <c r="AV87" s="23">
        <v>80</v>
      </c>
      <c r="AW87" s="18" t="str">
        <f t="shared" si="57"/>
        <v>Mencapai kompetensi dengan baik dalam hal</v>
      </c>
      <c r="AX87" s="23">
        <v>1</v>
      </c>
      <c r="AY87" s="23" t="s">
        <v>81</v>
      </c>
      <c r="AZ87" s="23" t="s">
        <v>81</v>
      </c>
      <c r="BA87" s="23">
        <v>1</v>
      </c>
      <c r="BB87" s="23" t="s">
        <v>82</v>
      </c>
      <c r="BC87" s="18" t="s">
        <v>83</v>
      </c>
      <c r="BD87" s="23" t="s">
        <v>84</v>
      </c>
      <c r="BE87" s="18" t="str">
        <f t="shared" si="41"/>
        <v>Baik</v>
      </c>
      <c r="BF87" s="23">
        <v>2</v>
      </c>
      <c r="BG87" s="18" t="s">
        <v>170</v>
      </c>
      <c r="BH87" s="18" t="s">
        <v>83</v>
      </c>
      <c r="BI87" s="23" t="s">
        <v>84</v>
      </c>
      <c r="BJ87" s="18" t="str">
        <f t="shared" si="42"/>
        <v>Baik</v>
      </c>
      <c r="BK87" s="23"/>
      <c r="BL87" s="23"/>
      <c r="BM87" s="23"/>
      <c r="BN87" s="23"/>
      <c r="BO87" s="18"/>
      <c r="BP87" s="54"/>
      <c r="BQ87" s="54"/>
      <c r="BR87" s="54"/>
    </row>
    <row r="88" spans="1:70" ht="24.95" customHeight="1" x14ac:dyDescent="0.25">
      <c r="A88" s="23">
        <v>87</v>
      </c>
      <c r="B88" s="23">
        <v>2525812</v>
      </c>
      <c r="C88" s="23" t="s">
        <v>475</v>
      </c>
      <c r="D88" s="18" t="s">
        <v>476</v>
      </c>
      <c r="E88" s="23" t="s">
        <v>446</v>
      </c>
      <c r="F88" s="23" t="s">
        <v>291</v>
      </c>
      <c r="G88" s="23" t="s">
        <v>447</v>
      </c>
      <c r="H88" s="23" t="s">
        <v>448</v>
      </c>
      <c r="I88" s="60" t="s">
        <v>76</v>
      </c>
      <c r="J88" s="61" t="s">
        <v>77</v>
      </c>
      <c r="K88" s="61" t="s">
        <v>78</v>
      </c>
      <c r="L88" s="61" t="s">
        <v>79</v>
      </c>
      <c r="M88" s="23">
        <v>80</v>
      </c>
      <c r="N88" s="18" t="str">
        <f t="shared" si="43"/>
        <v>Mencapai kompetensi dengan baik dalam hal</v>
      </c>
      <c r="O88" s="23">
        <v>75</v>
      </c>
      <c r="P88" s="18" t="str">
        <f t="shared" si="44"/>
        <v>Mencapai kompetensi dengan baik dalam hal</v>
      </c>
      <c r="Q88" s="23">
        <v>75</v>
      </c>
      <c r="R88" s="18" t="str">
        <f t="shared" si="45"/>
        <v>Mencapai kompetensi dengan baik dalam hal</v>
      </c>
      <c r="S88" s="23">
        <v>83</v>
      </c>
      <c r="T88" s="18" t="str">
        <f t="shared" si="46"/>
        <v>Mencapai kompetensi dengan baik dalam hal</v>
      </c>
      <c r="U88" s="23">
        <v>75</v>
      </c>
      <c r="V88" s="18" t="str">
        <f t="shared" si="47"/>
        <v>Mencapai kompetensi dengan baik dalam hal</v>
      </c>
      <c r="W88" s="23">
        <v>75</v>
      </c>
      <c r="X88" s="18" t="str">
        <f t="shared" si="48"/>
        <v>Mencapai kompetensi dengan baik dalam hal</v>
      </c>
      <c r="Y88" s="23">
        <v>75</v>
      </c>
      <c r="Z88" s="18" t="str">
        <f t="shared" si="49"/>
        <v>Mencapai kompetensi dengan baik dalam hal</v>
      </c>
      <c r="AA88" s="23">
        <v>76</v>
      </c>
      <c r="AB88" s="18" t="str">
        <f t="shared" si="50"/>
        <v>Mencapai kompetensi dengan baik dalam hal</v>
      </c>
      <c r="AC88" s="23">
        <v>81</v>
      </c>
      <c r="AD88" s="18" t="str">
        <f t="shared" si="51"/>
        <v>Mencapai kompetensi dengan baik dalam hal</v>
      </c>
      <c r="AE88" s="23">
        <v>78</v>
      </c>
      <c r="AF88" s="18" t="str">
        <f t="shared" si="52"/>
        <v>Mencapai kompetensi dengan baik dalam hal</v>
      </c>
      <c r="AG88" s="23">
        <v>85</v>
      </c>
      <c r="AH88" s="18" t="str">
        <f t="shared" si="37"/>
        <v>Mencapai kompetensi dengan baik dalam hal</v>
      </c>
      <c r="AI88" s="23">
        <v>75</v>
      </c>
      <c r="AJ88" s="18" t="str">
        <f t="shared" si="38"/>
        <v>Mencapai kompetensi dengan baik dalam hal</v>
      </c>
      <c r="AK88" s="23">
        <v>77</v>
      </c>
      <c r="AL88" s="18" t="str">
        <f t="shared" si="53"/>
        <v>Mencapai kompetensi dengan baik dalam hal</v>
      </c>
      <c r="AM88" s="23">
        <v>79</v>
      </c>
      <c r="AN88" s="18" t="str">
        <f t="shared" si="54"/>
        <v>Mencapai kompetensi dengan baik dalam hal</v>
      </c>
      <c r="AO88" s="23">
        <v>83</v>
      </c>
      <c r="AP88" s="18" t="str">
        <f t="shared" si="39"/>
        <v>Mencapai kompetensi dengan baik dalam hal</v>
      </c>
      <c r="AQ88" s="23">
        <v>79</v>
      </c>
      <c r="AR88" s="18" t="str">
        <f t="shared" si="55"/>
        <v>Mencapai kompetensi dengan baik dalam hal</v>
      </c>
      <c r="AS88" s="62">
        <f t="shared" si="56"/>
        <v>79.666666666666671</v>
      </c>
      <c r="AT88" s="18">
        <v>81</v>
      </c>
      <c r="AU88" s="18" t="str">
        <f t="shared" si="40"/>
        <v>Mencapai kompetensi dengan baik dalam hal</v>
      </c>
      <c r="AV88" s="23">
        <v>77</v>
      </c>
      <c r="AW88" s="18" t="str">
        <f t="shared" si="57"/>
        <v>Mencapai kompetensi dengan baik dalam hal</v>
      </c>
      <c r="AX88" s="23" t="s">
        <v>81</v>
      </c>
      <c r="AY88" s="23" t="s">
        <v>81</v>
      </c>
      <c r="AZ88" s="23" t="s">
        <v>81</v>
      </c>
      <c r="BA88" s="23">
        <v>1</v>
      </c>
      <c r="BB88" s="23" t="s">
        <v>82</v>
      </c>
      <c r="BC88" s="18" t="s">
        <v>83</v>
      </c>
      <c r="BD88" s="23" t="s">
        <v>104</v>
      </c>
      <c r="BE88" s="18" t="str">
        <f t="shared" si="41"/>
        <v>Cukup</v>
      </c>
      <c r="BF88" s="23">
        <v>2</v>
      </c>
      <c r="BG88" s="18" t="s">
        <v>108</v>
      </c>
      <c r="BH88" s="18" t="s">
        <v>83</v>
      </c>
      <c r="BI88" s="23" t="s">
        <v>86</v>
      </c>
      <c r="BJ88" s="18" t="str">
        <f t="shared" si="42"/>
        <v>Sangat baik</v>
      </c>
      <c r="BK88" s="23"/>
      <c r="BL88" s="23"/>
      <c r="BM88" s="23"/>
      <c r="BN88" s="23"/>
      <c r="BO88" s="18"/>
      <c r="BP88" s="54"/>
      <c r="BQ88" s="54"/>
      <c r="BR88" s="54"/>
    </row>
    <row r="89" spans="1:70" ht="24.95" customHeight="1" x14ac:dyDescent="0.25">
      <c r="A89" s="23">
        <v>88</v>
      </c>
      <c r="B89" s="23">
        <v>2525813</v>
      </c>
      <c r="C89" s="23" t="s">
        <v>477</v>
      </c>
      <c r="D89" s="18" t="s">
        <v>478</v>
      </c>
      <c r="E89" s="23" t="s">
        <v>446</v>
      </c>
      <c r="F89" s="23" t="s">
        <v>291</v>
      </c>
      <c r="G89" s="23" t="s">
        <v>447</v>
      </c>
      <c r="H89" s="23" t="s">
        <v>448</v>
      </c>
      <c r="I89" s="60" t="s">
        <v>76</v>
      </c>
      <c r="J89" s="61" t="s">
        <v>77</v>
      </c>
      <c r="K89" s="61" t="s">
        <v>78</v>
      </c>
      <c r="L89" s="61" t="s">
        <v>79</v>
      </c>
      <c r="M89" s="23">
        <v>83</v>
      </c>
      <c r="N89" s="18" t="str">
        <f t="shared" si="43"/>
        <v>Mencapai kompetensi dengan baik dalam hal</v>
      </c>
      <c r="O89" s="23">
        <v>77</v>
      </c>
      <c r="P89" s="18" t="str">
        <f t="shared" si="44"/>
        <v>Mencapai kompetensi dengan baik dalam hal</v>
      </c>
      <c r="Q89" s="23">
        <v>77</v>
      </c>
      <c r="R89" s="18" t="str">
        <f t="shared" si="45"/>
        <v>Mencapai kompetensi dengan baik dalam hal</v>
      </c>
      <c r="S89" s="23">
        <v>80</v>
      </c>
      <c r="T89" s="18" t="str">
        <f t="shared" si="46"/>
        <v>Mencapai kompetensi dengan baik dalam hal</v>
      </c>
      <c r="U89" s="23">
        <v>85</v>
      </c>
      <c r="V89" s="18" t="str">
        <f t="shared" si="47"/>
        <v>Mencapai kompetensi dengan baik dalam hal</v>
      </c>
      <c r="W89" s="23">
        <v>81</v>
      </c>
      <c r="X89" s="18" t="str">
        <f t="shared" si="48"/>
        <v>Mencapai kompetensi dengan baik dalam hal</v>
      </c>
      <c r="Y89" s="23">
        <v>80</v>
      </c>
      <c r="Z89" s="18" t="str">
        <f t="shared" si="49"/>
        <v>Mencapai kompetensi dengan baik dalam hal</v>
      </c>
      <c r="AA89" s="23">
        <v>78</v>
      </c>
      <c r="AB89" s="18" t="str">
        <f t="shared" si="50"/>
        <v>Mencapai kompetensi dengan baik dalam hal</v>
      </c>
      <c r="AC89" s="23">
        <v>84</v>
      </c>
      <c r="AD89" s="18" t="str">
        <f t="shared" si="51"/>
        <v>Mencapai kompetensi dengan baik dalam hal</v>
      </c>
      <c r="AE89" s="23">
        <v>83</v>
      </c>
      <c r="AF89" s="18" t="str">
        <f t="shared" si="52"/>
        <v>Mencapai kompetensi dengan baik dalam hal</v>
      </c>
      <c r="AG89" s="23">
        <v>83</v>
      </c>
      <c r="AH89" s="18" t="str">
        <f t="shared" si="37"/>
        <v>Mencapai kompetensi dengan baik dalam hal</v>
      </c>
      <c r="AI89" s="23">
        <v>80</v>
      </c>
      <c r="AJ89" s="18" t="str">
        <f t="shared" si="38"/>
        <v>Mencapai kompetensi dengan baik dalam hal</v>
      </c>
      <c r="AK89" s="23">
        <v>86</v>
      </c>
      <c r="AL89" s="18" t="str">
        <f t="shared" si="53"/>
        <v>Mencapai kompetensi dengan baik dalam hal</v>
      </c>
      <c r="AM89" s="23">
        <v>80</v>
      </c>
      <c r="AN89" s="18" t="str">
        <f t="shared" si="54"/>
        <v>Mencapai kompetensi dengan baik dalam hal</v>
      </c>
      <c r="AO89" s="23">
        <v>82</v>
      </c>
      <c r="AP89" s="18" t="str">
        <f t="shared" si="39"/>
        <v>Mencapai kompetensi dengan baik dalam hal</v>
      </c>
      <c r="AQ89" s="23">
        <v>84</v>
      </c>
      <c r="AR89" s="18" t="str">
        <f t="shared" si="55"/>
        <v>Mencapai kompetensi dengan baik dalam hal</v>
      </c>
      <c r="AS89" s="62">
        <f t="shared" si="56"/>
        <v>82.5</v>
      </c>
      <c r="AT89" s="18">
        <v>84</v>
      </c>
      <c r="AU89" s="18" t="str">
        <f t="shared" si="40"/>
        <v>Mencapai kompetensi dengan baik dalam hal</v>
      </c>
      <c r="AV89" s="23">
        <v>79</v>
      </c>
      <c r="AW89" s="18" t="str">
        <f t="shared" si="57"/>
        <v>Mencapai kompetensi dengan baik dalam hal</v>
      </c>
      <c r="AX89" s="23">
        <v>1</v>
      </c>
      <c r="AY89" s="23" t="s">
        <v>81</v>
      </c>
      <c r="AZ89" s="23" t="s">
        <v>81</v>
      </c>
      <c r="BA89" s="23">
        <v>1</v>
      </c>
      <c r="BB89" s="23" t="s">
        <v>82</v>
      </c>
      <c r="BC89" s="18" t="s">
        <v>83</v>
      </c>
      <c r="BD89" s="23" t="s">
        <v>86</v>
      </c>
      <c r="BE89" s="18" t="str">
        <f t="shared" si="41"/>
        <v>Sangat baik</v>
      </c>
      <c r="BF89" s="23">
        <v>2</v>
      </c>
      <c r="BG89" s="18" t="s">
        <v>85</v>
      </c>
      <c r="BH89" s="18" t="s">
        <v>83</v>
      </c>
      <c r="BI89" s="23" t="s">
        <v>84</v>
      </c>
      <c r="BJ89" s="18" t="str">
        <f t="shared" si="42"/>
        <v>Baik</v>
      </c>
      <c r="BK89" s="23">
        <v>3</v>
      </c>
      <c r="BL89" s="23" t="s">
        <v>87</v>
      </c>
      <c r="BM89" s="23" t="s">
        <v>83</v>
      </c>
      <c r="BN89" s="23" t="s">
        <v>84</v>
      </c>
      <c r="BO89" s="18" t="str">
        <f>VLOOKUP(BN89,grades4,2,TRUE)</f>
        <v>Baik</v>
      </c>
      <c r="BP89" s="54"/>
      <c r="BQ89" s="54"/>
      <c r="BR89" s="54"/>
    </row>
    <row r="90" spans="1:70" ht="24.95" customHeight="1" x14ac:dyDescent="0.25">
      <c r="A90" s="23">
        <v>89</v>
      </c>
      <c r="B90" s="23">
        <v>2525814</v>
      </c>
      <c r="C90" s="23" t="s">
        <v>479</v>
      </c>
      <c r="D90" s="18" t="s">
        <v>480</v>
      </c>
      <c r="E90" s="23" t="s">
        <v>446</v>
      </c>
      <c r="F90" s="23" t="s">
        <v>291</v>
      </c>
      <c r="G90" s="23" t="s">
        <v>447</v>
      </c>
      <c r="H90" s="23" t="s">
        <v>448</v>
      </c>
      <c r="I90" s="60" t="s">
        <v>76</v>
      </c>
      <c r="J90" s="61" t="s">
        <v>77</v>
      </c>
      <c r="K90" s="61" t="s">
        <v>78</v>
      </c>
      <c r="L90" s="61" t="s">
        <v>79</v>
      </c>
      <c r="M90" s="23">
        <v>82</v>
      </c>
      <c r="N90" s="18" t="str">
        <f t="shared" si="43"/>
        <v>Mencapai kompetensi dengan baik dalam hal</v>
      </c>
      <c r="O90" s="23">
        <v>77</v>
      </c>
      <c r="P90" s="18" t="str">
        <f t="shared" si="44"/>
        <v>Mencapai kompetensi dengan baik dalam hal</v>
      </c>
      <c r="Q90" s="23">
        <v>77</v>
      </c>
      <c r="R90" s="18" t="str">
        <f t="shared" si="45"/>
        <v>Mencapai kompetensi dengan baik dalam hal</v>
      </c>
      <c r="S90" s="23">
        <v>80</v>
      </c>
      <c r="T90" s="18" t="str">
        <f t="shared" si="46"/>
        <v>Mencapai kompetensi dengan baik dalam hal</v>
      </c>
      <c r="U90" s="23">
        <v>83</v>
      </c>
      <c r="V90" s="18" t="str">
        <f t="shared" si="47"/>
        <v>Mencapai kompetensi dengan baik dalam hal</v>
      </c>
      <c r="W90" s="23">
        <v>79</v>
      </c>
      <c r="X90" s="18" t="str">
        <f t="shared" si="48"/>
        <v>Mencapai kompetensi dengan baik dalam hal</v>
      </c>
      <c r="Y90" s="23">
        <v>79</v>
      </c>
      <c r="Z90" s="18" t="str">
        <f t="shared" si="49"/>
        <v>Mencapai kompetensi dengan baik dalam hal</v>
      </c>
      <c r="AA90" s="23">
        <v>77</v>
      </c>
      <c r="AB90" s="18" t="str">
        <f t="shared" si="50"/>
        <v>Mencapai kompetensi dengan baik dalam hal</v>
      </c>
      <c r="AC90" s="23">
        <v>88</v>
      </c>
      <c r="AD90" s="18" t="str">
        <f t="shared" si="51"/>
        <v>Mencapai kompetensi dengan baik dalam hal</v>
      </c>
      <c r="AE90" s="23">
        <v>82</v>
      </c>
      <c r="AF90" s="18" t="str">
        <f t="shared" si="52"/>
        <v>Mencapai kompetensi dengan baik dalam hal</v>
      </c>
      <c r="AG90" s="23">
        <v>90</v>
      </c>
      <c r="AH90" s="18" t="str">
        <f t="shared" si="37"/>
        <v>Mencapai kompetensi dengan sangat baik dalam hal</v>
      </c>
      <c r="AI90" s="23">
        <v>96</v>
      </c>
      <c r="AJ90" s="18" t="str">
        <f t="shared" si="38"/>
        <v>Mencapai kompetensi dengan sangat baik dalam hal</v>
      </c>
      <c r="AK90" s="23">
        <v>87</v>
      </c>
      <c r="AL90" s="18" t="str">
        <f t="shared" si="53"/>
        <v>Mencapai kompetensi dengan baik dalam hal</v>
      </c>
      <c r="AM90" s="23">
        <v>88</v>
      </c>
      <c r="AN90" s="18" t="str">
        <f t="shared" si="54"/>
        <v>Mencapai kompetensi dengan baik dalam hal</v>
      </c>
      <c r="AO90" s="23">
        <v>88</v>
      </c>
      <c r="AP90" s="18" t="str">
        <f t="shared" si="39"/>
        <v>Mencapai kompetensi dengan baik dalam hal</v>
      </c>
      <c r="AQ90" s="23">
        <v>82</v>
      </c>
      <c r="AR90" s="18" t="str">
        <f t="shared" si="55"/>
        <v>Mencapai kompetensi dengan baik dalam hal</v>
      </c>
      <c r="AS90" s="62">
        <f t="shared" si="56"/>
        <v>88.5</v>
      </c>
      <c r="AT90" s="18">
        <v>88</v>
      </c>
      <c r="AU90" s="18" t="str">
        <f t="shared" si="40"/>
        <v>Mencapai kompetensi dengan baik dalam hal</v>
      </c>
      <c r="AV90" s="23">
        <v>80</v>
      </c>
      <c r="AW90" s="18" t="str">
        <f t="shared" si="57"/>
        <v>Mencapai kompetensi dengan baik dalam hal</v>
      </c>
      <c r="AX90" s="23">
        <v>1</v>
      </c>
      <c r="AY90" s="23" t="s">
        <v>81</v>
      </c>
      <c r="AZ90" s="23" t="s">
        <v>81</v>
      </c>
      <c r="BA90" s="23">
        <v>1</v>
      </c>
      <c r="BB90" s="23" t="s">
        <v>82</v>
      </c>
      <c r="BC90" s="18" t="s">
        <v>83</v>
      </c>
      <c r="BD90" s="23" t="s">
        <v>86</v>
      </c>
      <c r="BE90" s="18" t="str">
        <f t="shared" si="41"/>
        <v>Sangat baik</v>
      </c>
      <c r="BF90" s="23">
        <v>2</v>
      </c>
      <c r="BG90" s="18" t="s">
        <v>170</v>
      </c>
      <c r="BH90" s="18" t="s">
        <v>83</v>
      </c>
      <c r="BI90" s="23" t="s">
        <v>84</v>
      </c>
      <c r="BJ90" s="18" t="str">
        <f t="shared" si="42"/>
        <v>Baik</v>
      </c>
      <c r="BK90" s="23"/>
      <c r="BL90" s="23"/>
      <c r="BM90" s="23"/>
      <c r="BN90" s="23"/>
      <c r="BO90" s="18"/>
      <c r="BP90" s="54"/>
      <c r="BQ90" s="54"/>
      <c r="BR90" s="54"/>
    </row>
    <row r="91" spans="1:70" ht="24.95" customHeight="1" x14ac:dyDescent="0.25">
      <c r="A91" s="23">
        <v>90</v>
      </c>
      <c r="B91" s="23">
        <v>2525815</v>
      </c>
      <c r="C91" s="23" t="s">
        <v>481</v>
      </c>
      <c r="D91" s="18" t="s">
        <v>482</v>
      </c>
      <c r="E91" s="23" t="s">
        <v>446</v>
      </c>
      <c r="F91" s="23" t="s">
        <v>291</v>
      </c>
      <c r="G91" s="23" t="s">
        <v>447</v>
      </c>
      <c r="H91" s="23" t="s">
        <v>448</v>
      </c>
      <c r="I91" s="60" t="s">
        <v>76</v>
      </c>
      <c r="J91" s="61" t="s">
        <v>77</v>
      </c>
      <c r="K91" s="61" t="s">
        <v>78</v>
      </c>
      <c r="L91" s="61" t="s">
        <v>79</v>
      </c>
      <c r="M91" s="23">
        <v>83</v>
      </c>
      <c r="N91" s="18" t="str">
        <f t="shared" si="43"/>
        <v>Mencapai kompetensi dengan baik dalam hal</v>
      </c>
      <c r="O91" s="23">
        <v>76</v>
      </c>
      <c r="P91" s="18" t="str">
        <f t="shared" si="44"/>
        <v>Mencapai kompetensi dengan baik dalam hal</v>
      </c>
      <c r="Q91" s="23">
        <v>80</v>
      </c>
      <c r="R91" s="18" t="str">
        <f t="shared" si="45"/>
        <v>Mencapai kompetensi dengan baik dalam hal</v>
      </c>
      <c r="S91" s="23">
        <v>79</v>
      </c>
      <c r="T91" s="18" t="str">
        <f t="shared" si="46"/>
        <v>Mencapai kompetensi dengan baik dalam hal</v>
      </c>
      <c r="U91" s="23">
        <v>84</v>
      </c>
      <c r="V91" s="18" t="str">
        <f t="shared" si="47"/>
        <v>Mencapai kompetensi dengan baik dalam hal</v>
      </c>
      <c r="W91" s="23">
        <v>78</v>
      </c>
      <c r="X91" s="18" t="str">
        <f t="shared" si="48"/>
        <v>Mencapai kompetensi dengan baik dalam hal</v>
      </c>
      <c r="Y91" s="23">
        <v>77</v>
      </c>
      <c r="Z91" s="18" t="str">
        <f t="shared" si="49"/>
        <v>Mencapai kompetensi dengan baik dalam hal</v>
      </c>
      <c r="AA91" s="23">
        <v>78</v>
      </c>
      <c r="AB91" s="18" t="str">
        <f t="shared" si="50"/>
        <v>Mencapai kompetensi dengan baik dalam hal</v>
      </c>
      <c r="AC91" s="23">
        <v>83</v>
      </c>
      <c r="AD91" s="18" t="str">
        <f t="shared" si="51"/>
        <v>Mencapai kompetensi dengan baik dalam hal</v>
      </c>
      <c r="AE91" s="23">
        <v>84</v>
      </c>
      <c r="AF91" s="18" t="str">
        <f t="shared" si="52"/>
        <v>Mencapai kompetensi dengan baik dalam hal</v>
      </c>
      <c r="AG91" s="23">
        <v>89</v>
      </c>
      <c r="AH91" s="18" t="str">
        <f t="shared" si="37"/>
        <v>Mencapai kompetensi dengan baik dalam hal</v>
      </c>
      <c r="AI91" s="23">
        <v>87</v>
      </c>
      <c r="AJ91" s="18" t="str">
        <f t="shared" si="38"/>
        <v>Mencapai kompetensi dengan baik dalam hal</v>
      </c>
      <c r="AK91" s="23">
        <v>89</v>
      </c>
      <c r="AL91" s="18" t="str">
        <f t="shared" si="53"/>
        <v>Mencapai kompetensi dengan baik dalam hal</v>
      </c>
      <c r="AM91" s="23">
        <v>88</v>
      </c>
      <c r="AN91" s="18" t="str">
        <f t="shared" si="54"/>
        <v>Mencapai kompetensi dengan baik dalam hal</v>
      </c>
      <c r="AO91" s="23">
        <v>88</v>
      </c>
      <c r="AP91" s="18" t="str">
        <f t="shared" si="39"/>
        <v>Mencapai kompetensi dengan baik dalam hal</v>
      </c>
      <c r="AQ91" s="23">
        <v>84</v>
      </c>
      <c r="AR91" s="18" t="str">
        <f t="shared" si="55"/>
        <v>Mencapai kompetensi dengan baik dalam hal</v>
      </c>
      <c r="AS91" s="62">
        <f t="shared" si="56"/>
        <v>87.5</v>
      </c>
      <c r="AT91" s="18">
        <v>83</v>
      </c>
      <c r="AU91" s="18" t="str">
        <f t="shared" si="40"/>
        <v>Mencapai kompetensi dengan baik dalam hal</v>
      </c>
      <c r="AV91" s="23">
        <v>82</v>
      </c>
      <c r="AW91" s="18" t="str">
        <f t="shared" si="57"/>
        <v>Mencapai kompetensi dengan baik dalam hal</v>
      </c>
      <c r="AX91" s="23">
        <v>1</v>
      </c>
      <c r="AY91" s="23" t="s">
        <v>81</v>
      </c>
      <c r="AZ91" s="23" t="s">
        <v>81</v>
      </c>
      <c r="BA91" s="23">
        <v>1</v>
      </c>
      <c r="BB91" s="23" t="s">
        <v>82</v>
      </c>
      <c r="BC91" s="18" t="s">
        <v>83</v>
      </c>
      <c r="BD91" s="23" t="s">
        <v>84</v>
      </c>
      <c r="BE91" s="18" t="str">
        <f t="shared" si="41"/>
        <v>Baik</v>
      </c>
      <c r="BF91" s="23">
        <v>2</v>
      </c>
      <c r="BG91" s="18" t="s">
        <v>179</v>
      </c>
      <c r="BH91" s="18" t="s">
        <v>83</v>
      </c>
      <c r="BI91" s="23" t="s">
        <v>84</v>
      </c>
      <c r="BJ91" s="18" t="str">
        <f t="shared" si="42"/>
        <v>Baik</v>
      </c>
      <c r="BK91" s="23"/>
      <c r="BL91" s="23"/>
      <c r="BM91" s="23"/>
      <c r="BN91" s="23"/>
      <c r="BO91" s="18"/>
      <c r="BP91" s="54"/>
      <c r="BQ91" s="54"/>
      <c r="BR91" s="54"/>
    </row>
    <row r="92" spans="1:70" ht="24.95" customHeight="1" x14ac:dyDescent="0.25">
      <c r="A92" s="23">
        <v>91</v>
      </c>
      <c r="B92" s="23">
        <v>2525816</v>
      </c>
      <c r="C92" s="23" t="s">
        <v>483</v>
      </c>
      <c r="D92" s="18" t="s">
        <v>484</v>
      </c>
      <c r="E92" s="23" t="s">
        <v>446</v>
      </c>
      <c r="F92" s="23" t="s">
        <v>291</v>
      </c>
      <c r="G92" s="23" t="s">
        <v>447</v>
      </c>
      <c r="H92" s="23" t="s">
        <v>448</v>
      </c>
      <c r="I92" s="60" t="s">
        <v>76</v>
      </c>
      <c r="J92" s="61" t="s">
        <v>77</v>
      </c>
      <c r="K92" s="61" t="s">
        <v>78</v>
      </c>
      <c r="L92" s="61" t="s">
        <v>79</v>
      </c>
      <c r="M92" s="23">
        <v>79</v>
      </c>
      <c r="N92" s="18" t="str">
        <f t="shared" si="43"/>
        <v>Mencapai kompetensi dengan baik dalam hal</v>
      </c>
      <c r="O92" s="23">
        <v>75</v>
      </c>
      <c r="P92" s="18" t="str">
        <f t="shared" si="44"/>
        <v>Mencapai kompetensi dengan baik dalam hal</v>
      </c>
      <c r="Q92" s="23">
        <v>75</v>
      </c>
      <c r="R92" s="18" t="str">
        <f t="shared" si="45"/>
        <v>Mencapai kompetensi dengan baik dalam hal</v>
      </c>
      <c r="S92" s="23">
        <v>80</v>
      </c>
      <c r="T92" s="18" t="str">
        <f t="shared" si="46"/>
        <v>Mencapai kompetensi dengan baik dalam hal</v>
      </c>
      <c r="U92" s="23">
        <v>75</v>
      </c>
      <c r="V92" s="18" t="str">
        <f t="shared" si="47"/>
        <v>Mencapai kompetensi dengan baik dalam hal</v>
      </c>
      <c r="W92" s="23">
        <v>75</v>
      </c>
      <c r="X92" s="18" t="str">
        <f t="shared" si="48"/>
        <v>Mencapai kompetensi dengan baik dalam hal</v>
      </c>
      <c r="Y92" s="23">
        <v>75</v>
      </c>
      <c r="Z92" s="18" t="str">
        <f t="shared" si="49"/>
        <v>Mencapai kompetensi dengan baik dalam hal</v>
      </c>
      <c r="AA92" s="23">
        <v>79</v>
      </c>
      <c r="AB92" s="18" t="str">
        <f t="shared" si="50"/>
        <v>Mencapai kompetensi dengan baik dalam hal</v>
      </c>
      <c r="AC92" s="23">
        <v>88</v>
      </c>
      <c r="AD92" s="18" t="str">
        <f t="shared" si="51"/>
        <v>Mencapai kompetensi dengan baik dalam hal</v>
      </c>
      <c r="AE92" s="23">
        <v>82</v>
      </c>
      <c r="AF92" s="18" t="str">
        <f t="shared" si="52"/>
        <v>Mencapai kompetensi dengan baik dalam hal</v>
      </c>
      <c r="AG92" s="23">
        <v>79</v>
      </c>
      <c r="AH92" s="18" t="str">
        <f t="shared" si="37"/>
        <v>Mencapai kompetensi dengan baik dalam hal</v>
      </c>
      <c r="AI92" s="23">
        <v>88</v>
      </c>
      <c r="AJ92" s="18" t="str">
        <f t="shared" si="38"/>
        <v>Mencapai kompetensi dengan baik dalam hal</v>
      </c>
      <c r="AK92" s="23">
        <v>82</v>
      </c>
      <c r="AL92" s="18" t="str">
        <f t="shared" si="53"/>
        <v>Mencapai kompetensi dengan baik dalam hal</v>
      </c>
      <c r="AM92" s="23">
        <v>75</v>
      </c>
      <c r="AN92" s="18" t="str">
        <f t="shared" si="54"/>
        <v>Mencapai kompetensi dengan baik dalam hal</v>
      </c>
      <c r="AO92" s="23">
        <v>76</v>
      </c>
      <c r="AP92" s="18" t="str">
        <f t="shared" si="39"/>
        <v>Mencapai kompetensi dengan baik dalam hal</v>
      </c>
      <c r="AQ92" s="23">
        <v>82</v>
      </c>
      <c r="AR92" s="18" t="str">
        <f t="shared" si="55"/>
        <v>Mencapai kompetensi dengan baik dalam hal</v>
      </c>
      <c r="AS92" s="62">
        <f t="shared" si="56"/>
        <v>80.333333333333329</v>
      </c>
      <c r="AT92" s="18">
        <v>88</v>
      </c>
      <c r="AU92" s="18" t="str">
        <f t="shared" si="40"/>
        <v>Mencapai kompetensi dengan baik dalam hal</v>
      </c>
      <c r="AV92" s="23">
        <v>79</v>
      </c>
      <c r="AW92" s="18" t="str">
        <f t="shared" si="57"/>
        <v>Mencapai kompetensi dengan baik dalam hal</v>
      </c>
      <c r="AX92" s="23">
        <v>4</v>
      </c>
      <c r="AY92" s="23" t="s">
        <v>81</v>
      </c>
      <c r="AZ92" s="23" t="s">
        <v>81</v>
      </c>
      <c r="BA92" s="23">
        <v>1</v>
      </c>
      <c r="BB92" s="23" t="s">
        <v>82</v>
      </c>
      <c r="BC92" s="18" t="s">
        <v>83</v>
      </c>
      <c r="BD92" s="23" t="s">
        <v>84</v>
      </c>
      <c r="BE92" s="18" t="str">
        <f t="shared" si="41"/>
        <v>Baik</v>
      </c>
      <c r="BF92" s="23">
        <v>2</v>
      </c>
      <c r="BG92" s="18" t="s">
        <v>298</v>
      </c>
      <c r="BH92" s="18" t="s">
        <v>83</v>
      </c>
      <c r="BI92" s="23" t="s">
        <v>110</v>
      </c>
      <c r="BJ92" s="18" t="str">
        <f t="shared" si="42"/>
        <v>Kurang</v>
      </c>
      <c r="BK92" s="23"/>
      <c r="BL92" s="23"/>
      <c r="BM92" s="23"/>
      <c r="BN92" s="23"/>
      <c r="BO92" s="18"/>
      <c r="BP92" s="54"/>
      <c r="BQ92" s="54"/>
      <c r="BR92" s="54"/>
    </row>
    <row r="93" spans="1:70" ht="24.95" customHeight="1" x14ac:dyDescent="0.25">
      <c r="A93" s="23">
        <v>92</v>
      </c>
      <c r="B93" s="23">
        <v>2525817</v>
      </c>
      <c r="C93" s="23" t="s">
        <v>485</v>
      </c>
      <c r="D93" s="18" t="s">
        <v>486</v>
      </c>
      <c r="E93" s="23" t="s">
        <v>446</v>
      </c>
      <c r="F93" s="23" t="s">
        <v>291</v>
      </c>
      <c r="G93" s="23" t="s">
        <v>447</v>
      </c>
      <c r="H93" s="23" t="s">
        <v>448</v>
      </c>
      <c r="I93" s="60" t="s">
        <v>76</v>
      </c>
      <c r="J93" s="61" t="s">
        <v>77</v>
      </c>
      <c r="K93" s="61" t="s">
        <v>78</v>
      </c>
      <c r="L93" s="61" t="s">
        <v>79</v>
      </c>
      <c r="M93" s="23">
        <v>82</v>
      </c>
      <c r="N93" s="18" t="str">
        <f t="shared" si="43"/>
        <v>Mencapai kompetensi dengan baik dalam hal</v>
      </c>
      <c r="O93" s="23">
        <v>80</v>
      </c>
      <c r="P93" s="18" t="str">
        <f t="shared" si="44"/>
        <v>Mencapai kompetensi dengan baik dalam hal</v>
      </c>
      <c r="Q93" s="23">
        <v>76</v>
      </c>
      <c r="R93" s="18" t="str">
        <f t="shared" si="45"/>
        <v>Mencapai kompetensi dengan baik dalam hal</v>
      </c>
      <c r="S93" s="23">
        <v>83</v>
      </c>
      <c r="T93" s="18" t="str">
        <f t="shared" si="46"/>
        <v>Mencapai kompetensi dengan baik dalam hal</v>
      </c>
      <c r="U93" s="23">
        <v>77</v>
      </c>
      <c r="V93" s="18" t="str">
        <f t="shared" si="47"/>
        <v>Mencapai kompetensi dengan baik dalam hal</v>
      </c>
      <c r="W93" s="23">
        <v>78</v>
      </c>
      <c r="X93" s="18" t="str">
        <f t="shared" si="48"/>
        <v>Mencapai kompetensi dengan baik dalam hal</v>
      </c>
      <c r="Y93" s="23">
        <v>83</v>
      </c>
      <c r="Z93" s="18" t="str">
        <f t="shared" si="49"/>
        <v>Mencapai kompetensi dengan baik dalam hal</v>
      </c>
      <c r="AA93" s="23">
        <v>78</v>
      </c>
      <c r="AB93" s="18" t="str">
        <f t="shared" si="50"/>
        <v>Mencapai kompetensi dengan baik dalam hal</v>
      </c>
      <c r="AC93" s="23">
        <v>87</v>
      </c>
      <c r="AD93" s="18" t="str">
        <f t="shared" si="51"/>
        <v>Mencapai kompetensi dengan baik dalam hal</v>
      </c>
      <c r="AE93" s="23">
        <v>90</v>
      </c>
      <c r="AF93" s="18" t="str">
        <f t="shared" si="52"/>
        <v>Mencapai kompetensi dengan sangat baik dalam hal</v>
      </c>
      <c r="AG93" s="23">
        <v>90</v>
      </c>
      <c r="AH93" s="18" t="str">
        <f t="shared" si="37"/>
        <v>Mencapai kompetensi dengan sangat baik dalam hal</v>
      </c>
      <c r="AI93" s="23">
        <v>96</v>
      </c>
      <c r="AJ93" s="18" t="str">
        <f t="shared" si="38"/>
        <v>Mencapai kompetensi dengan sangat baik dalam hal</v>
      </c>
      <c r="AK93" s="23">
        <v>87</v>
      </c>
      <c r="AL93" s="18" t="str">
        <f t="shared" si="53"/>
        <v>Mencapai kompetensi dengan baik dalam hal</v>
      </c>
      <c r="AM93" s="23">
        <v>89</v>
      </c>
      <c r="AN93" s="18" t="str">
        <f t="shared" si="54"/>
        <v>Mencapai kompetensi dengan baik dalam hal</v>
      </c>
      <c r="AO93" s="23">
        <v>83</v>
      </c>
      <c r="AP93" s="18" t="str">
        <f t="shared" si="39"/>
        <v>Mencapai kompetensi dengan baik dalam hal</v>
      </c>
      <c r="AQ93" s="23">
        <v>83</v>
      </c>
      <c r="AR93" s="18" t="str">
        <f t="shared" si="55"/>
        <v>Mencapai kompetensi dengan baik dalam hal</v>
      </c>
      <c r="AS93" s="62">
        <f t="shared" si="56"/>
        <v>88</v>
      </c>
      <c r="AT93" s="18">
        <v>87</v>
      </c>
      <c r="AU93" s="18" t="str">
        <f t="shared" si="40"/>
        <v>Mencapai kompetensi dengan baik dalam hal</v>
      </c>
      <c r="AV93" s="23">
        <v>80</v>
      </c>
      <c r="AW93" s="18" t="str">
        <f t="shared" si="57"/>
        <v>Mencapai kompetensi dengan baik dalam hal</v>
      </c>
      <c r="AX93" s="23">
        <v>5</v>
      </c>
      <c r="AY93" s="23" t="s">
        <v>81</v>
      </c>
      <c r="AZ93" s="23" t="s">
        <v>81</v>
      </c>
      <c r="BA93" s="23">
        <v>1</v>
      </c>
      <c r="BB93" s="23" t="s">
        <v>82</v>
      </c>
      <c r="BC93" s="18" t="s">
        <v>83</v>
      </c>
      <c r="BD93" s="23" t="s">
        <v>84</v>
      </c>
      <c r="BE93" s="18" t="str">
        <f t="shared" si="41"/>
        <v>Baik</v>
      </c>
      <c r="BF93" s="23">
        <v>2</v>
      </c>
      <c r="BG93" s="18" t="s">
        <v>162</v>
      </c>
      <c r="BH93" s="18" t="s">
        <v>83</v>
      </c>
      <c r="BI93" s="23" t="s">
        <v>86</v>
      </c>
      <c r="BJ93" s="18" t="str">
        <f t="shared" si="42"/>
        <v>Sangat baik</v>
      </c>
      <c r="BK93" s="23"/>
      <c r="BL93" s="23"/>
      <c r="BM93" s="23"/>
      <c r="BN93" s="23"/>
      <c r="BO93" s="18"/>
      <c r="BP93" s="54"/>
      <c r="BQ93" s="54"/>
      <c r="BR93" s="54"/>
    </row>
    <row r="94" spans="1:70" ht="24.95" customHeight="1" x14ac:dyDescent="0.25">
      <c r="A94" s="23">
        <v>93</v>
      </c>
      <c r="B94" s="23">
        <v>2525818</v>
      </c>
      <c r="C94" s="23" t="s">
        <v>487</v>
      </c>
      <c r="D94" s="18" t="s">
        <v>488</v>
      </c>
      <c r="E94" s="23" t="s">
        <v>446</v>
      </c>
      <c r="F94" s="23" t="s">
        <v>291</v>
      </c>
      <c r="G94" s="23" t="s">
        <v>447</v>
      </c>
      <c r="H94" s="23" t="s">
        <v>448</v>
      </c>
      <c r="I94" s="60" t="s">
        <v>76</v>
      </c>
      <c r="J94" s="61" t="s">
        <v>77</v>
      </c>
      <c r="K94" s="61" t="s">
        <v>78</v>
      </c>
      <c r="L94" s="61" t="s">
        <v>79</v>
      </c>
      <c r="M94" s="23">
        <v>76</v>
      </c>
      <c r="N94" s="18" t="str">
        <f t="shared" si="43"/>
        <v>Mencapai kompetensi dengan baik dalam hal</v>
      </c>
      <c r="O94" s="23">
        <v>75</v>
      </c>
      <c r="P94" s="18" t="str">
        <f t="shared" si="44"/>
        <v>Mencapai kompetensi dengan baik dalam hal</v>
      </c>
      <c r="Q94" s="23">
        <v>75</v>
      </c>
      <c r="R94" s="18" t="str">
        <f t="shared" si="45"/>
        <v>Mencapai kompetensi dengan baik dalam hal</v>
      </c>
      <c r="S94" s="23">
        <v>83</v>
      </c>
      <c r="T94" s="18" t="str">
        <f t="shared" si="46"/>
        <v>Mencapai kompetensi dengan baik dalam hal</v>
      </c>
      <c r="U94" s="23">
        <v>78</v>
      </c>
      <c r="V94" s="18" t="str">
        <f t="shared" si="47"/>
        <v>Mencapai kompetensi dengan baik dalam hal</v>
      </c>
      <c r="W94" s="23">
        <v>75</v>
      </c>
      <c r="X94" s="18" t="str">
        <f t="shared" si="48"/>
        <v>Mencapai kompetensi dengan baik dalam hal</v>
      </c>
      <c r="Y94" s="23">
        <v>75</v>
      </c>
      <c r="Z94" s="18" t="str">
        <f t="shared" si="49"/>
        <v>Mencapai kompetensi dengan baik dalam hal</v>
      </c>
      <c r="AA94" s="23">
        <v>79</v>
      </c>
      <c r="AB94" s="18" t="str">
        <f t="shared" si="50"/>
        <v>Mencapai kompetensi dengan baik dalam hal</v>
      </c>
      <c r="AC94" s="23">
        <v>77</v>
      </c>
      <c r="AD94" s="18" t="str">
        <f t="shared" si="51"/>
        <v>Mencapai kompetensi dengan baik dalam hal</v>
      </c>
      <c r="AE94" s="23">
        <v>78</v>
      </c>
      <c r="AF94" s="18" t="str">
        <f t="shared" si="52"/>
        <v>Mencapai kompetensi dengan baik dalam hal</v>
      </c>
      <c r="AG94" s="23">
        <v>87</v>
      </c>
      <c r="AH94" s="18" t="str">
        <f t="shared" si="37"/>
        <v>Mencapai kompetensi dengan baik dalam hal</v>
      </c>
      <c r="AI94" s="23">
        <v>88</v>
      </c>
      <c r="AJ94" s="18" t="str">
        <f t="shared" si="38"/>
        <v>Mencapai kompetensi dengan baik dalam hal</v>
      </c>
      <c r="AK94" s="23">
        <v>88</v>
      </c>
      <c r="AL94" s="18" t="str">
        <f t="shared" si="53"/>
        <v>Mencapai kompetensi dengan baik dalam hal</v>
      </c>
      <c r="AM94" s="23">
        <v>79</v>
      </c>
      <c r="AN94" s="18" t="str">
        <f t="shared" si="54"/>
        <v>Mencapai kompetensi dengan baik dalam hal</v>
      </c>
      <c r="AO94" s="23">
        <v>81</v>
      </c>
      <c r="AP94" s="18" t="str">
        <f t="shared" si="39"/>
        <v>Mencapai kompetensi dengan baik dalam hal</v>
      </c>
      <c r="AQ94" s="23">
        <v>84</v>
      </c>
      <c r="AR94" s="18" t="str">
        <f t="shared" si="55"/>
        <v>Mencapai kompetensi dengan baik dalam hal</v>
      </c>
      <c r="AS94" s="62">
        <f t="shared" si="56"/>
        <v>84.5</v>
      </c>
      <c r="AT94" s="18">
        <v>77</v>
      </c>
      <c r="AU94" s="18" t="str">
        <f t="shared" si="40"/>
        <v>Mencapai kompetensi dengan baik dalam hal</v>
      </c>
      <c r="AV94" s="23">
        <v>79</v>
      </c>
      <c r="AW94" s="18" t="str">
        <f t="shared" si="57"/>
        <v>Mencapai kompetensi dengan baik dalam hal</v>
      </c>
      <c r="AX94" s="23">
        <v>1</v>
      </c>
      <c r="AY94" s="23" t="s">
        <v>81</v>
      </c>
      <c r="AZ94" s="23" t="s">
        <v>81</v>
      </c>
      <c r="BA94" s="23">
        <v>1</v>
      </c>
      <c r="BB94" s="23" t="s">
        <v>82</v>
      </c>
      <c r="BC94" s="18" t="s">
        <v>83</v>
      </c>
      <c r="BD94" s="23" t="s">
        <v>84</v>
      </c>
      <c r="BE94" s="18" t="str">
        <f t="shared" si="41"/>
        <v>Baik</v>
      </c>
      <c r="BF94" s="23">
        <v>2</v>
      </c>
      <c r="BG94" s="18" t="s">
        <v>170</v>
      </c>
      <c r="BH94" s="18" t="s">
        <v>83</v>
      </c>
      <c r="BI94" s="23" t="s">
        <v>84</v>
      </c>
      <c r="BJ94" s="18" t="str">
        <f t="shared" si="42"/>
        <v>Baik</v>
      </c>
      <c r="BK94" s="23"/>
      <c r="BL94" s="23"/>
      <c r="BM94" s="23"/>
      <c r="BN94" s="23"/>
      <c r="BO94" s="18"/>
      <c r="BP94" s="54"/>
      <c r="BQ94" s="54"/>
      <c r="BR94" s="54"/>
    </row>
    <row r="95" spans="1:70" ht="24.95" customHeight="1" x14ac:dyDescent="0.25">
      <c r="A95" s="23">
        <v>94</v>
      </c>
      <c r="B95" s="23">
        <v>2525819</v>
      </c>
      <c r="C95" s="23" t="s">
        <v>489</v>
      </c>
      <c r="D95" s="18" t="s">
        <v>490</v>
      </c>
      <c r="E95" s="23" t="s">
        <v>446</v>
      </c>
      <c r="F95" s="23" t="s">
        <v>291</v>
      </c>
      <c r="G95" s="23" t="s">
        <v>447</v>
      </c>
      <c r="H95" s="23" t="s">
        <v>448</v>
      </c>
      <c r="I95" s="60" t="s">
        <v>76</v>
      </c>
      <c r="J95" s="61" t="s">
        <v>77</v>
      </c>
      <c r="K95" s="61" t="s">
        <v>78</v>
      </c>
      <c r="L95" s="61" t="s">
        <v>79</v>
      </c>
      <c r="M95" s="23">
        <v>79</v>
      </c>
      <c r="N95" s="18" t="str">
        <f t="shared" si="43"/>
        <v>Mencapai kompetensi dengan baik dalam hal</v>
      </c>
      <c r="O95" s="23">
        <v>80</v>
      </c>
      <c r="P95" s="18" t="str">
        <f t="shared" si="44"/>
        <v>Mencapai kompetensi dengan baik dalam hal</v>
      </c>
      <c r="Q95" s="23">
        <v>77</v>
      </c>
      <c r="R95" s="18" t="str">
        <f t="shared" si="45"/>
        <v>Mencapai kompetensi dengan baik dalam hal</v>
      </c>
      <c r="S95" s="23">
        <v>81</v>
      </c>
      <c r="T95" s="18" t="str">
        <f t="shared" si="46"/>
        <v>Mencapai kompetensi dengan baik dalam hal</v>
      </c>
      <c r="U95" s="23">
        <v>83</v>
      </c>
      <c r="V95" s="18" t="str">
        <f t="shared" si="47"/>
        <v>Mencapai kompetensi dengan baik dalam hal</v>
      </c>
      <c r="W95" s="23">
        <v>77</v>
      </c>
      <c r="X95" s="18" t="str">
        <f t="shared" si="48"/>
        <v>Mencapai kompetensi dengan baik dalam hal</v>
      </c>
      <c r="Y95" s="23">
        <v>78</v>
      </c>
      <c r="Z95" s="18" t="str">
        <f t="shared" si="49"/>
        <v>Mencapai kompetensi dengan baik dalam hal</v>
      </c>
      <c r="AA95" s="23">
        <v>79</v>
      </c>
      <c r="AB95" s="18" t="str">
        <f t="shared" si="50"/>
        <v>Mencapai kompetensi dengan baik dalam hal</v>
      </c>
      <c r="AC95" s="23">
        <v>83</v>
      </c>
      <c r="AD95" s="18" t="str">
        <f t="shared" si="51"/>
        <v>Mencapai kompetensi dengan baik dalam hal</v>
      </c>
      <c r="AE95" s="23">
        <v>84</v>
      </c>
      <c r="AF95" s="18" t="str">
        <f t="shared" si="52"/>
        <v>Mencapai kompetensi dengan baik dalam hal</v>
      </c>
      <c r="AG95" s="23">
        <v>89</v>
      </c>
      <c r="AH95" s="18" t="str">
        <f t="shared" si="37"/>
        <v>Mencapai kompetensi dengan baik dalam hal</v>
      </c>
      <c r="AI95" s="23">
        <v>92</v>
      </c>
      <c r="AJ95" s="18" t="str">
        <f t="shared" si="38"/>
        <v>Mencapai kompetensi dengan sangat baik dalam hal</v>
      </c>
      <c r="AK95" s="23">
        <v>84</v>
      </c>
      <c r="AL95" s="18" t="str">
        <f t="shared" si="53"/>
        <v>Mencapai kompetensi dengan baik dalam hal</v>
      </c>
      <c r="AM95" s="23">
        <v>85</v>
      </c>
      <c r="AN95" s="18" t="str">
        <f t="shared" si="54"/>
        <v>Mencapai kompetensi dengan baik dalam hal</v>
      </c>
      <c r="AO95" s="23">
        <v>86</v>
      </c>
      <c r="AP95" s="18" t="str">
        <f t="shared" si="39"/>
        <v>Mencapai kompetensi dengan baik dalam hal</v>
      </c>
      <c r="AQ95" s="23">
        <v>83</v>
      </c>
      <c r="AR95" s="18" t="str">
        <f t="shared" si="55"/>
        <v>Mencapai kompetensi dengan baik dalam hal</v>
      </c>
      <c r="AS95" s="62">
        <f t="shared" si="56"/>
        <v>86.5</v>
      </c>
      <c r="AT95" s="18">
        <v>83</v>
      </c>
      <c r="AU95" s="18" t="str">
        <f t="shared" si="40"/>
        <v>Mencapai kompetensi dengan baik dalam hal</v>
      </c>
      <c r="AV95" s="23">
        <v>78</v>
      </c>
      <c r="AW95" s="18" t="str">
        <f t="shared" si="57"/>
        <v>Mencapai kompetensi dengan baik dalam hal</v>
      </c>
      <c r="AX95" s="23" t="s">
        <v>81</v>
      </c>
      <c r="AY95" s="23" t="s">
        <v>81</v>
      </c>
      <c r="AZ95" s="23" t="s">
        <v>81</v>
      </c>
      <c r="BA95" s="23">
        <v>1</v>
      </c>
      <c r="BB95" s="23" t="s">
        <v>82</v>
      </c>
      <c r="BC95" s="18" t="s">
        <v>83</v>
      </c>
      <c r="BD95" s="23" t="s">
        <v>84</v>
      </c>
      <c r="BE95" s="18" t="str">
        <f t="shared" si="41"/>
        <v>Baik</v>
      </c>
      <c r="BF95" s="23">
        <v>2</v>
      </c>
      <c r="BG95" s="18" t="s">
        <v>99</v>
      </c>
      <c r="BH95" s="18" t="s">
        <v>83</v>
      </c>
      <c r="BI95" s="23" t="s">
        <v>86</v>
      </c>
      <c r="BJ95" s="18" t="str">
        <f t="shared" si="42"/>
        <v>Sangat baik</v>
      </c>
      <c r="BK95" s="23"/>
      <c r="BL95" s="23"/>
      <c r="BM95" s="23"/>
      <c r="BN95" s="23"/>
      <c r="BO95" s="18"/>
      <c r="BP95" s="54"/>
      <c r="BQ95" s="54"/>
      <c r="BR95" s="54"/>
    </row>
    <row r="96" spans="1:70" ht="24.95" customHeight="1" x14ac:dyDescent="0.25">
      <c r="A96" s="23">
        <v>95</v>
      </c>
      <c r="B96" s="23">
        <v>2525820</v>
      </c>
      <c r="C96" s="23" t="s">
        <v>491</v>
      </c>
      <c r="D96" s="18" t="s">
        <v>492</v>
      </c>
      <c r="E96" s="23" t="s">
        <v>446</v>
      </c>
      <c r="F96" s="23" t="s">
        <v>291</v>
      </c>
      <c r="G96" s="23" t="s">
        <v>447</v>
      </c>
      <c r="H96" s="23" t="s">
        <v>448</v>
      </c>
      <c r="I96" s="60" t="s">
        <v>76</v>
      </c>
      <c r="J96" s="61" t="s">
        <v>77</v>
      </c>
      <c r="K96" s="61" t="s">
        <v>78</v>
      </c>
      <c r="L96" s="61" t="s">
        <v>79</v>
      </c>
      <c r="M96" s="23">
        <v>80</v>
      </c>
      <c r="N96" s="18" t="str">
        <f t="shared" si="43"/>
        <v>Mencapai kompetensi dengan baik dalam hal</v>
      </c>
      <c r="O96" s="23">
        <v>75</v>
      </c>
      <c r="P96" s="18" t="str">
        <f t="shared" si="44"/>
        <v>Mencapai kompetensi dengan baik dalam hal</v>
      </c>
      <c r="Q96" s="23">
        <v>75</v>
      </c>
      <c r="R96" s="18" t="str">
        <f t="shared" si="45"/>
        <v>Mencapai kompetensi dengan baik dalam hal</v>
      </c>
      <c r="S96" s="23">
        <v>81</v>
      </c>
      <c r="T96" s="18" t="str">
        <f t="shared" si="46"/>
        <v>Mencapai kompetensi dengan baik dalam hal</v>
      </c>
      <c r="U96" s="23">
        <v>77</v>
      </c>
      <c r="V96" s="18" t="str">
        <f t="shared" si="47"/>
        <v>Mencapai kompetensi dengan baik dalam hal</v>
      </c>
      <c r="W96" s="23">
        <v>75</v>
      </c>
      <c r="X96" s="18" t="str">
        <f t="shared" si="48"/>
        <v>Mencapai kompetensi dengan baik dalam hal</v>
      </c>
      <c r="Y96" s="23">
        <v>75</v>
      </c>
      <c r="Z96" s="18" t="str">
        <f t="shared" si="49"/>
        <v>Mencapai kompetensi dengan baik dalam hal</v>
      </c>
      <c r="AA96" s="23">
        <v>79</v>
      </c>
      <c r="AB96" s="18" t="str">
        <f t="shared" si="50"/>
        <v>Mencapai kompetensi dengan baik dalam hal</v>
      </c>
      <c r="AC96" s="23">
        <v>87</v>
      </c>
      <c r="AD96" s="18" t="str">
        <f t="shared" si="51"/>
        <v>Mencapai kompetensi dengan baik dalam hal</v>
      </c>
      <c r="AE96" s="23">
        <v>82</v>
      </c>
      <c r="AF96" s="18" t="str">
        <f t="shared" si="52"/>
        <v>Mencapai kompetensi dengan baik dalam hal</v>
      </c>
      <c r="AG96" s="23">
        <v>77</v>
      </c>
      <c r="AH96" s="18" t="str">
        <f t="shared" si="37"/>
        <v>Mencapai kompetensi dengan baik dalam hal</v>
      </c>
      <c r="AI96" s="23">
        <v>86</v>
      </c>
      <c r="AJ96" s="18" t="str">
        <f t="shared" si="38"/>
        <v>Mencapai kompetensi dengan baik dalam hal</v>
      </c>
      <c r="AK96" s="23">
        <v>89</v>
      </c>
      <c r="AL96" s="18" t="str">
        <f t="shared" si="53"/>
        <v>Mencapai kompetensi dengan baik dalam hal</v>
      </c>
      <c r="AM96" s="23">
        <v>79</v>
      </c>
      <c r="AN96" s="18" t="str">
        <f t="shared" si="54"/>
        <v>Mencapai kompetensi dengan baik dalam hal</v>
      </c>
      <c r="AO96" s="23">
        <v>81</v>
      </c>
      <c r="AP96" s="18" t="str">
        <f t="shared" si="39"/>
        <v>Mencapai kompetensi dengan baik dalam hal</v>
      </c>
      <c r="AQ96" s="23">
        <v>84</v>
      </c>
      <c r="AR96" s="18" t="str">
        <f t="shared" si="55"/>
        <v>Mencapai kompetensi dengan baik dalam hal</v>
      </c>
      <c r="AS96" s="62">
        <f t="shared" si="56"/>
        <v>82.666666666666671</v>
      </c>
      <c r="AT96" s="18">
        <v>87</v>
      </c>
      <c r="AU96" s="18" t="str">
        <f t="shared" si="40"/>
        <v>Mencapai kompetensi dengan baik dalam hal</v>
      </c>
      <c r="AV96" s="23">
        <v>78</v>
      </c>
      <c r="AW96" s="18" t="str">
        <f t="shared" si="57"/>
        <v>Mencapai kompetensi dengan baik dalam hal</v>
      </c>
      <c r="AX96" s="23">
        <v>2</v>
      </c>
      <c r="AY96" s="23" t="s">
        <v>81</v>
      </c>
      <c r="AZ96" s="23" t="s">
        <v>81</v>
      </c>
      <c r="BA96" s="23">
        <v>1</v>
      </c>
      <c r="BB96" s="23" t="s">
        <v>82</v>
      </c>
      <c r="BC96" s="18" t="s">
        <v>83</v>
      </c>
      <c r="BD96" s="23" t="s">
        <v>84</v>
      </c>
      <c r="BE96" s="18" t="str">
        <f t="shared" si="41"/>
        <v>Baik</v>
      </c>
      <c r="BF96" s="23">
        <v>2</v>
      </c>
      <c r="BG96" s="18" t="s">
        <v>179</v>
      </c>
      <c r="BH96" s="18" t="s">
        <v>83</v>
      </c>
      <c r="BI96" s="23" t="s">
        <v>86</v>
      </c>
      <c r="BJ96" s="18" t="str">
        <f t="shared" si="42"/>
        <v>Sangat baik</v>
      </c>
      <c r="BK96" s="23"/>
      <c r="BL96" s="23"/>
      <c r="BM96" s="23"/>
      <c r="BN96" s="23"/>
      <c r="BO96" s="18"/>
      <c r="BP96" s="54"/>
      <c r="BQ96" s="54"/>
      <c r="BR96" s="54"/>
    </row>
    <row r="97" spans="1:70" ht="24.95" customHeight="1" x14ac:dyDescent="0.25">
      <c r="A97" s="23">
        <v>96</v>
      </c>
      <c r="B97" s="23">
        <v>2525822</v>
      </c>
      <c r="C97" s="23" t="s">
        <v>493</v>
      </c>
      <c r="D97" s="18" t="s">
        <v>494</v>
      </c>
      <c r="E97" s="23" t="s">
        <v>446</v>
      </c>
      <c r="F97" s="23" t="s">
        <v>291</v>
      </c>
      <c r="G97" s="23" t="s">
        <v>447</v>
      </c>
      <c r="H97" s="23" t="s">
        <v>448</v>
      </c>
      <c r="I97" s="60" t="s">
        <v>76</v>
      </c>
      <c r="J97" s="61" t="s">
        <v>77</v>
      </c>
      <c r="K97" s="61" t="s">
        <v>78</v>
      </c>
      <c r="L97" s="61" t="s">
        <v>79</v>
      </c>
      <c r="M97" s="23">
        <v>83</v>
      </c>
      <c r="N97" s="18" t="str">
        <f t="shared" si="43"/>
        <v>Mencapai kompetensi dengan baik dalam hal</v>
      </c>
      <c r="O97" s="23">
        <v>78</v>
      </c>
      <c r="P97" s="18" t="str">
        <f t="shared" si="44"/>
        <v>Mencapai kompetensi dengan baik dalam hal</v>
      </c>
      <c r="Q97" s="23">
        <v>75</v>
      </c>
      <c r="R97" s="18" t="str">
        <f t="shared" si="45"/>
        <v>Mencapai kompetensi dengan baik dalam hal</v>
      </c>
      <c r="S97" s="23">
        <v>81</v>
      </c>
      <c r="T97" s="18" t="str">
        <f t="shared" si="46"/>
        <v>Mencapai kompetensi dengan baik dalam hal</v>
      </c>
      <c r="U97" s="23">
        <v>83</v>
      </c>
      <c r="V97" s="18" t="str">
        <f t="shared" si="47"/>
        <v>Mencapai kompetensi dengan baik dalam hal</v>
      </c>
      <c r="W97" s="23">
        <v>77</v>
      </c>
      <c r="X97" s="18" t="str">
        <f t="shared" si="48"/>
        <v>Mencapai kompetensi dengan baik dalam hal</v>
      </c>
      <c r="Y97" s="23">
        <v>80</v>
      </c>
      <c r="Z97" s="18" t="str">
        <f t="shared" si="49"/>
        <v>Mencapai kompetensi dengan baik dalam hal</v>
      </c>
      <c r="AA97" s="23">
        <v>82</v>
      </c>
      <c r="AB97" s="18" t="str">
        <f t="shared" si="50"/>
        <v>Mencapai kompetensi dengan baik dalam hal</v>
      </c>
      <c r="AC97" s="23">
        <v>83</v>
      </c>
      <c r="AD97" s="18" t="str">
        <f t="shared" si="51"/>
        <v>Mencapai kompetensi dengan baik dalam hal</v>
      </c>
      <c r="AE97" s="23">
        <v>86</v>
      </c>
      <c r="AF97" s="18" t="str">
        <f t="shared" si="52"/>
        <v>Mencapai kompetensi dengan baik dalam hal</v>
      </c>
      <c r="AG97" s="23">
        <v>80</v>
      </c>
      <c r="AH97" s="18" t="str">
        <f t="shared" si="37"/>
        <v>Mencapai kompetensi dengan baik dalam hal</v>
      </c>
      <c r="AI97" s="23">
        <v>92</v>
      </c>
      <c r="AJ97" s="18" t="str">
        <f t="shared" si="38"/>
        <v>Mencapai kompetensi dengan sangat baik dalam hal</v>
      </c>
      <c r="AK97" s="23">
        <v>85</v>
      </c>
      <c r="AL97" s="18" t="str">
        <f t="shared" si="53"/>
        <v>Mencapai kompetensi dengan baik dalam hal</v>
      </c>
      <c r="AM97" s="23">
        <v>88</v>
      </c>
      <c r="AN97" s="18" t="str">
        <f t="shared" si="54"/>
        <v>Mencapai kompetensi dengan baik dalam hal</v>
      </c>
      <c r="AO97" s="23">
        <v>81</v>
      </c>
      <c r="AP97" s="18" t="str">
        <f t="shared" si="39"/>
        <v>Mencapai kompetensi dengan baik dalam hal</v>
      </c>
      <c r="AQ97" s="23">
        <v>83</v>
      </c>
      <c r="AR97" s="18" t="str">
        <f t="shared" si="55"/>
        <v>Mencapai kompetensi dengan baik dalam hal</v>
      </c>
      <c r="AS97" s="62">
        <f t="shared" si="56"/>
        <v>84.833333333333329</v>
      </c>
      <c r="AT97" s="18">
        <v>83</v>
      </c>
      <c r="AU97" s="18" t="str">
        <f t="shared" si="40"/>
        <v>Mencapai kompetensi dengan baik dalam hal</v>
      </c>
      <c r="AV97" s="23">
        <v>79</v>
      </c>
      <c r="AW97" s="18" t="str">
        <f t="shared" si="57"/>
        <v>Mencapai kompetensi dengan baik dalam hal</v>
      </c>
      <c r="AX97" s="23" t="s">
        <v>81</v>
      </c>
      <c r="AY97" s="23" t="s">
        <v>81</v>
      </c>
      <c r="AZ97" s="23" t="s">
        <v>81</v>
      </c>
      <c r="BA97" s="23">
        <v>1</v>
      </c>
      <c r="BB97" s="23" t="s">
        <v>82</v>
      </c>
      <c r="BC97" s="18" t="s">
        <v>83</v>
      </c>
      <c r="BD97" s="23" t="s">
        <v>86</v>
      </c>
      <c r="BE97" s="18" t="str">
        <f t="shared" si="41"/>
        <v>Sangat baik</v>
      </c>
      <c r="BF97" s="23">
        <v>2</v>
      </c>
      <c r="BG97" s="18" t="s">
        <v>162</v>
      </c>
      <c r="BH97" s="18" t="s">
        <v>83</v>
      </c>
      <c r="BI97" s="23" t="s">
        <v>86</v>
      </c>
      <c r="BJ97" s="18" t="str">
        <f t="shared" si="42"/>
        <v>Sangat baik</v>
      </c>
      <c r="BK97" s="23"/>
      <c r="BL97" s="23"/>
      <c r="BM97" s="23"/>
      <c r="BN97" s="23"/>
      <c r="BO97" s="18"/>
      <c r="BP97" s="54"/>
      <c r="BQ97" s="54"/>
      <c r="BR97" s="54"/>
    </row>
    <row r="98" spans="1:70" ht="24.95" customHeight="1" x14ac:dyDescent="0.25">
      <c r="A98" s="23">
        <v>97</v>
      </c>
      <c r="B98" s="23">
        <v>2525823</v>
      </c>
      <c r="C98" s="23" t="s">
        <v>495</v>
      </c>
      <c r="D98" s="18" t="s">
        <v>496</v>
      </c>
      <c r="E98" s="23" t="s">
        <v>446</v>
      </c>
      <c r="F98" s="23" t="s">
        <v>291</v>
      </c>
      <c r="G98" s="23" t="s">
        <v>447</v>
      </c>
      <c r="H98" s="23" t="s">
        <v>448</v>
      </c>
      <c r="I98" s="60" t="s">
        <v>76</v>
      </c>
      <c r="J98" s="61" t="s">
        <v>77</v>
      </c>
      <c r="K98" s="61" t="s">
        <v>78</v>
      </c>
      <c r="L98" s="61" t="s">
        <v>79</v>
      </c>
      <c r="M98" s="23">
        <v>81</v>
      </c>
      <c r="N98" s="18" t="str">
        <f t="shared" si="43"/>
        <v>Mencapai kompetensi dengan baik dalam hal</v>
      </c>
      <c r="O98" s="23">
        <v>77</v>
      </c>
      <c r="P98" s="18" t="str">
        <f t="shared" si="44"/>
        <v>Mencapai kompetensi dengan baik dalam hal</v>
      </c>
      <c r="Q98" s="23">
        <v>75</v>
      </c>
      <c r="R98" s="18" t="str">
        <f t="shared" si="45"/>
        <v>Mencapai kompetensi dengan baik dalam hal</v>
      </c>
      <c r="S98" s="23">
        <v>82</v>
      </c>
      <c r="T98" s="18" t="str">
        <f t="shared" si="46"/>
        <v>Mencapai kompetensi dengan baik dalam hal</v>
      </c>
      <c r="U98" s="23">
        <v>85</v>
      </c>
      <c r="V98" s="18" t="str">
        <f t="shared" si="47"/>
        <v>Mencapai kompetensi dengan baik dalam hal</v>
      </c>
      <c r="W98" s="23">
        <v>76</v>
      </c>
      <c r="X98" s="18" t="str">
        <f t="shared" si="48"/>
        <v>Mencapai kompetensi dengan baik dalam hal</v>
      </c>
      <c r="Y98" s="23">
        <v>79</v>
      </c>
      <c r="Z98" s="18" t="str">
        <f t="shared" si="49"/>
        <v>Mencapai kompetensi dengan baik dalam hal</v>
      </c>
      <c r="AA98" s="23">
        <v>77</v>
      </c>
      <c r="AB98" s="18" t="str">
        <f t="shared" si="50"/>
        <v>Mencapai kompetensi dengan baik dalam hal</v>
      </c>
      <c r="AC98" s="23">
        <v>84</v>
      </c>
      <c r="AD98" s="18" t="str">
        <f t="shared" si="51"/>
        <v>Mencapai kompetensi dengan baik dalam hal</v>
      </c>
      <c r="AE98" s="23">
        <v>84</v>
      </c>
      <c r="AF98" s="18" t="str">
        <f t="shared" si="52"/>
        <v>Mencapai kompetensi dengan baik dalam hal</v>
      </c>
      <c r="AG98" s="23">
        <v>79</v>
      </c>
      <c r="AH98" s="18" t="str">
        <f t="shared" si="37"/>
        <v>Mencapai kompetensi dengan baik dalam hal</v>
      </c>
      <c r="AI98" s="23">
        <v>87</v>
      </c>
      <c r="AJ98" s="18" t="str">
        <f t="shared" si="38"/>
        <v>Mencapai kompetensi dengan baik dalam hal</v>
      </c>
      <c r="AK98" s="23">
        <v>88</v>
      </c>
      <c r="AL98" s="18" t="str">
        <f t="shared" si="53"/>
        <v>Mencapai kompetensi dengan baik dalam hal</v>
      </c>
      <c r="AM98" s="23">
        <v>81</v>
      </c>
      <c r="AN98" s="18" t="str">
        <f t="shared" si="54"/>
        <v>Mencapai kompetensi dengan baik dalam hal</v>
      </c>
      <c r="AO98" s="23">
        <v>80</v>
      </c>
      <c r="AP98" s="18" t="str">
        <f t="shared" si="39"/>
        <v>Mencapai kompetensi dengan baik dalam hal</v>
      </c>
      <c r="AQ98" s="23">
        <v>83</v>
      </c>
      <c r="AR98" s="18" t="str">
        <f t="shared" si="55"/>
        <v>Mencapai kompetensi dengan baik dalam hal</v>
      </c>
      <c r="AS98" s="62">
        <f t="shared" si="56"/>
        <v>83</v>
      </c>
      <c r="AT98" s="18">
        <v>84</v>
      </c>
      <c r="AU98" s="18" t="str">
        <f t="shared" si="40"/>
        <v>Mencapai kompetensi dengan baik dalam hal</v>
      </c>
      <c r="AV98" s="23">
        <v>80</v>
      </c>
      <c r="AW98" s="18" t="str">
        <f t="shared" si="57"/>
        <v>Mencapai kompetensi dengan baik dalam hal</v>
      </c>
      <c r="AX98" s="23">
        <v>1</v>
      </c>
      <c r="AY98" s="23" t="s">
        <v>81</v>
      </c>
      <c r="AZ98" s="23" t="s">
        <v>81</v>
      </c>
      <c r="BA98" s="23">
        <v>1</v>
      </c>
      <c r="BB98" s="23" t="s">
        <v>82</v>
      </c>
      <c r="BC98" s="18" t="s">
        <v>83</v>
      </c>
      <c r="BD98" s="23" t="s">
        <v>84</v>
      </c>
      <c r="BE98" s="18" t="str">
        <f t="shared" ref="BE98:BE108" si="58">VLOOKUP(BD98,grades4,2,TRUE)</f>
        <v>Baik</v>
      </c>
      <c r="BF98" s="23">
        <v>2</v>
      </c>
      <c r="BG98" s="18" t="s">
        <v>298</v>
      </c>
      <c r="BH98" s="18" t="s">
        <v>83</v>
      </c>
      <c r="BI98" s="23" t="s">
        <v>84</v>
      </c>
      <c r="BJ98" s="18" t="str">
        <f t="shared" ref="BJ98:BJ108" si="59">VLOOKUP(BI98,grades4,2,TRUE)</f>
        <v>Baik</v>
      </c>
      <c r="BK98" s="23"/>
      <c r="BL98" s="23"/>
      <c r="BM98" s="23"/>
      <c r="BN98" s="23"/>
      <c r="BO98" s="18"/>
      <c r="BP98" s="54"/>
      <c r="BQ98" s="54"/>
      <c r="BR98" s="54"/>
    </row>
    <row r="99" spans="1:70" ht="24.95" customHeight="1" x14ac:dyDescent="0.25">
      <c r="A99" s="23">
        <v>98</v>
      </c>
      <c r="B99" s="23">
        <v>2525824</v>
      </c>
      <c r="C99" s="23" t="s">
        <v>497</v>
      </c>
      <c r="D99" s="18" t="s">
        <v>498</v>
      </c>
      <c r="E99" s="23" t="s">
        <v>446</v>
      </c>
      <c r="F99" s="23" t="s">
        <v>291</v>
      </c>
      <c r="G99" s="23" t="s">
        <v>447</v>
      </c>
      <c r="H99" s="23" t="s">
        <v>448</v>
      </c>
      <c r="I99" s="60" t="s">
        <v>76</v>
      </c>
      <c r="J99" s="61" t="s">
        <v>77</v>
      </c>
      <c r="K99" s="61" t="s">
        <v>78</v>
      </c>
      <c r="L99" s="61" t="s">
        <v>79</v>
      </c>
      <c r="M99" s="23">
        <v>76</v>
      </c>
      <c r="N99" s="18" t="str">
        <f t="shared" si="43"/>
        <v>Mencapai kompetensi dengan baik dalam hal</v>
      </c>
      <c r="O99" s="23">
        <v>75</v>
      </c>
      <c r="P99" s="18" t="str">
        <f t="shared" si="44"/>
        <v>Mencapai kompetensi dengan baik dalam hal</v>
      </c>
      <c r="Q99" s="23">
        <v>75</v>
      </c>
      <c r="R99" s="18" t="str">
        <f t="shared" si="45"/>
        <v>Mencapai kompetensi dengan baik dalam hal</v>
      </c>
      <c r="S99" s="23">
        <v>80</v>
      </c>
      <c r="T99" s="18" t="str">
        <f t="shared" si="46"/>
        <v>Mencapai kompetensi dengan baik dalam hal</v>
      </c>
      <c r="U99" s="23">
        <v>77</v>
      </c>
      <c r="V99" s="18" t="str">
        <f t="shared" si="47"/>
        <v>Mencapai kompetensi dengan baik dalam hal</v>
      </c>
      <c r="W99" s="23">
        <v>75</v>
      </c>
      <c r="X99" s="18" t="str">
        <f t="shared" si="48"/>
        <v>Mencapai kompetensi dengan baik dalam hal</v>
      </c>
      <c r="Y99" s="23">
        <v>76</v>
      </c>
      <c r="Z99" s="18" t="str">
        <f t="shared" si="49"/>
        <v>Mencapai kompetensi dengan baik dalam hal</v>
      </c>
      <c r="AA99" s="23">
        <v>78</v>
      </c>
      <c r="AB99" s="18" t="str">
        <f t="shared" si="50"/>
        <v>Mencapai kompetensi dengan baik dalam hal</v>
      </c>
      <c r="AC99" s="23">
        <v>84</v>
      </c>
      <c r="AD99" s="18" t="str">
        <f t="shared" si="51"/>
        <v>Mencapai kompetensi dengan baik dalam hal</v>
      </c>
      <c r="AE99" s="23">
        <v>82</v>
      </c>
      <c r="AF99" s="18" t="str">
        <f t="shared" si="52"/>
        <v>Mencapai kompetensi dengan baik dalam hal</v>
      </c>
      <c r="AG99" s="23">
        <v>88</v>
      </c>
      <c r="AH99" s="18" t="str">
        <f t="shared" si="37"/>
        <v>Mencapai kompetensi dengan baik dalam hal</v>
      </c>
      <c r="AI99" s="23">
        <v>94</v>
      </c>
      <c r="AJ99" s="18" t="str">
        <f t="shared" si="38"/>
        <v>Mencapai kompetensi dengan sangat baik dalam hal</v>
      </c>
      <c r="AK99" s="23">
        <v>90</v>
      </c>
      <c r="AL99" s="18" t="str">
        <f t="shared" si="53"/>
        <v>Mencapai kompetensi dengan sangat baik dalam hal</v>
      </c>
      <c r="AM99" s="23">
        <v>86</v>
      </c>
      <c r="AN99" s="18" t="str">
        <f t="shared" si="54"/>
        <v>Mencapai kompetensi dengan baik dalam hal</v>
      </c>
      <c r="AO99" s="23">
        <v>83</v>
      </c>
      <c r="AP99" s="18" t="str">
        <f t="shared" si="39"/>
        <v>Mencapai kompetensi dengan baik dalam hal</v>
      </c>
      <c r="AQ99" s="23">
        <v>82</v>
      </c>
      <c r="AR99" s="18" t="str">
        <f t="shared" si="55"/>
        <v>Mencapai kompetensi dengan baik dalam hal</v>
      </c>
      <c r="AS99" s="62">
        <f t="shared" si="56"/>
        <v>87.166666666666671</v>
      </c>
      <c r="AT99" s="18">
        <v>84</v>
      </c>
      <c r="AU99" s="18" t="str">
        <f t="shared" si="40"/>
        <v>Mencapai kompetensi dengan baik dalam hal</v>
      </c>
      <c r="AV99" s="23">
        <v>80</v>
      </c>
      <c r="AW99" s="18" t="str">
        <f t="shared" si="57"/>
        <v>Mencapai kompetensi dengan baik dalam hal</v>
      </c>
      <c r="AX99" s="23">
        <v>7</v>
      </c>
      <c r="AY99" s="23">
        <v>5</v>
      </c>
      <c r="AZ99" s="23" t="s">
        <v>81</v>
      </c>
      <c r="BA99" s="23">
        <v>1</v>
      </c>
      <c r="BB99" s="23" t="s">
        <v>82</v>
      </c>
      <c r="BC99" s="18" t="s">
        <v>83</v>
      </c>
      <c r="BD99" s="23" t="s">
        <v>84</v>
      </c>
      <c r="BE99" s="18" t="str">
        <f t="shared" si="58"/>
        <v>Baik</v>
      </c>
      <c r="BF99" s="23">
        <v>2</v>
      </c>
      <c r="BG99" s="18" t="s">
        <v>108</v>
      </c>
      <c r="BH99" s="18" t="s">
        <v>83</v>
      </c>
      <c r="BI99" s="23" t="s">
        <v>86</v>
      </c>
      <c r="BJ99" s="18" t="str">
        <f t="shared" si="59"/>
        <v>Sangat baik</v>
      </c>
      <c r="BK99" s="23"/>
      <c r="BL99" s="23"/>
      <c r="BM99" s="23"/>
      <c r="BN99" s="23"/>
      <c r="BO99" s="18"/>
      <c r="BP99" s="54"/>
      <c r="BQ99" s="54"/>
      <c r="BR99" s="54"/>
    </row>
    <row r="100" spans="1:70" ht="24.95" customHeight="1" x14ac:dyDescent="0.25">
      <c r="A100" s="23">
        <v>99</v>
      </c>
      <c r="B100" s="23">
        <v>2525825</v>
      </c>
      <c r="C100" s="23" t="s">
        <v>499</v>
      </c>
      <c r="D100" s="18" t="s">
        <v>500</v>
      </c>
      <c r="E100" s="23" t="s">
        <v>446</v>
      </c>
      <c r="F100" s="23" t="s">
        <v>291</v>
      </c>
      <c r="G100" s="23" t="s">
        <v>447</v>
      </c>
      <c r="H100" s="23" t="s">
        <v>448</v>
      </c>
      <c r="I100" s="60" t="s">
        <v>76</v>
      </c>
      <c r="J100" s="61" t="s">
        <v>77</v>
      </c>
      <c r="K100" s="61" t="s">
        <v>78</v>
      </c>
      <c r="L100" s="61" t="s">
        <v>79</v>
      </c>
      <c r="M100" s="23">
        <v>81</v>
      </c>
      <c r="N100" s="18" t="str">
        <f t="shared" si="43"/>
        <v>Mencapai kompetensi dengan baik dalam hal</v>
      </c>
      <c r="O100" s="23">
        <v>77</v>
      </c>
      <c r="P100" s="18" t="str">
        <f t="shared" si="44"/>
        <v>Mencapai kompetensi dengan baik dalam hal</v>
      </c>
      <c r="Q100" s="23">
        <v>78</v>
      </c>
      <c r="R100" s="18" t="str">
        <f t="shared" si="45"/>
        <v>Mencapai kompetensi dengan baik dalam hal</v>
      </c>
      <c r="S100" s="23">
        <v>81</v>
      </c>
      <c r="T100" s="18" t="str">
        <f t="shared" si="46"/>
        <v>Mencapai kompetensi dengan baik dalam hal</v>
      </c>
      <c r="U100" s="23">
        <v>77</v>
      </c>
      <c r="V100" s="18" t="str">
        <f t="shared" si="47"/>
        <v>Mencapai kompetensi dengan baik dalam hal</v>
      </c>
      <c r="W100" s="23">
        <v>80</v>
      </c>
      <c r="X100" s="18" t="str">
        <f t="shared" si="48"/>
        <v>Mencapai kompetensi dengan baik dalam hal</v>
      </c>
      <c r="Y100" s="23">
        <v>82</v>
      </c>
      <c r="Z100" s="18" t="str">
        <f t="shared" si="49"/>
        <v>Mencapai kompetensi dengan baik dalam hal</v>
      </c>
      <c r="AA100" s="23">
        <v>78</v>
      </c>
      <c r="AB100" s="18" t="str">
        <f t="shared" si="50"/>
        <v>Mencapai kompetensi dengan baik dalam hal</v>
      </c>
      <c r="AC100" s="23">
        <v>88</v>
      </c>
      <c r="AD100" s="18" t="str">
        <f t="shared" si="51"/>
        <v>Mencapai kompetensi dengan baik dalam hal</v>
      </c>
      <c r="AE100" s="23">
        <v>85</v>
      </c>
      <c r="AF100" s="18" t="str">
        <f t="shared" si="52"/>
        <v>Mencapai kompetensi dengan baik dalam hal</v>
      </c>
      <c r="AG100" s="23">
        <v>90</v>
      </c>
      <c r="AH100" s="18" t="str">
        <f t="shared" si="37"/>
        <v>Mencapai kompetensi dengan sangat baik dalam hal</v>
      </c>
      <c r="AI100" s="23">
        <v>91</v>
      </c>
      <c r="AJ100" s="18" t="str">
        <f t="shared" si="38"/>
        <v>Mencapai kompetensi dengan sangat baik dalam hal</v>
      </c>
      <c r="AK100" s="23">
        <v>91</v>
      </c>
      <c r="AL100" s="18" t="str">
        <f t="shared" si="53"/>
        <v>Mencapai kompetensi dengan sangat baik dalam hal</v>
      </c>
      <c r="AM100" s="23">
        <v>87</v>
      </c>
      <c r="AN100" s="18" t="str">
        <f t="shared" si="54"/>
        <v>Mencapai kompetensi dengan baik dalam hal</v>
      </c>
      <c r="AO100" s="23">
        <v>86</v>
      </c>
      <c r="AP100" s="18" t="str">
        <f t="shared" si="39"/>
        <v>Mencapai kompetensi dengan baik dalam hal</v>
      </c>
      <c r="AQ100" s="23">
        <v>83</v>
      </c>
      <c r="AR100" s="18" t="str">
        <f t="shared" si="55"/>
        <v>Mencapai kompetensi dengan baik dalam hal</v>
      </c>
      <c r="AS100" s="62">
        <f t="shared" si="56"/>
        <v>88</v>
      </c>
      <c r="AT100" s="18">
        <v>88</v>
      </c>
      <c r="AU100" s="18" t="str">
        <f t="shared" si="40"/>
        <v>Mencapai kompetensi dengan baik dalam hal</v>
      </c>
      <c r="AV100" s="23">
        <v>79</v>
      </c>
      <c r="AW100" s="18" t="str">
        <f t="shared" si="57"/>
        <v>Mencapai kompetensi dengan baik dalam hal</v>
      </c>
      <c r="AX100" s="23">
        <v>2</v>
      </c>
      <c r="AY100" s="23" t="s">
        <v>81</v>
      </c>
      <c r="AZ100" s="23" t="s">
        <v>81</v>
      </c>
      <c r="BA100" s="23">
        <v>1</v>
      </c>
      <c r="BB100" s="23" t="s">
        <v>82</v>
      </c>
      <c r="BC100" s="18" t="s">
        <v>83</v>
      </c>
      <c r="BD100" s="23" t="s">
        <v>86</v>
      </c>
      <c r="BE100" s="18" t="str">
        <f t="shared" si="58"/>
        <v>Sangat baik</v>
      </c>
      <c r="BF100" s="23">
        <v>2</v>
      </c>
      <c r="BG100" s="18" t="s">
        <v>125</v>
      </c>
      <c r="BH100" s="18" t="s">
        <v>83</v>
      </c>
      <c r="BI100" s="23" t="s">
        <v>104</v>
      </c>
      <c r="BJ100" s="18" t="str">
        <f t="shared" si="59"/>
        <v>Cukup</v>
      </c>
      <c r="BK100" s="23"/>
      <c r="BL100" s="23"/>
      <c r="BM100" s="23"/>
      <c r="BN100" s="23"/>
      <c r="BO100" s="18"/>
      <c r="BP100" s="54"/>
      <c r="BQ100" s="54"/>
      <c r="BR100" s="54"/>
    </row>
    <row r="101" spans="1:70" ht="24.95" customHeight="1" x14ac:dyDescent="0.25">
      <c r="A101" s="23">
        <v>100</v>
      </c>
      <c r="B101" s="23">
        <v>2525826</v>
      </c>
      <c r="C101" s="23" t="s">
        <v>501</v>
      </c>
      <c r="D101" s="18" t="s">
        <v>502</v>
      </c>
      <c r="E101" s="23" t="s">
        <v>446</v>
      </c>
      <c r="F101" s="23" t="s">
        <v>291</v>
      </c>
      <c r="G101" s="23" t="s">
        <v>447</v>
      </c>
      <c r="H101" s="23" t="s">
        <v>448</v>
      </c>
      <c r="I101" s="60" t="s">
        <v>76</v>
      </c>
      <c r="J101" s="61" t="s">
        <v>77</v>
      </c>
      <c r="K101" s="61" t="s">
        <v>78</v>
      </c>
      <c r="L101" s="61" t="s">
        <v>79</v>
      </c>
      <c r="M101" s="23">
        <v>80</v>
      </c>
      <c r="N101" s="18" t="str">
        <f t="shared" si="43"/>
        <v>Mencapai kompetensi dengan baik dalam hal</v>
      </c>
      <c r="O101" s="23">
        <v>76</v>
      </c>
      <c r="P101" s="18" t="str">
        <f t="shared" si="44"/>
        <v>Mencapai kompetensi dengan baik dalam hal</v>
      </c>
      <c r="Q101" s="23">
        <v>79</v>
      </c>
      <c r="R101" s="18" t="str">
        <f t="shared" si="45"/>
        <v>Mencapai kompetensi dengan baik dalam hal</v>
      </c>
      <c r="S101" s="23">
        <v>81</v>
      </c>
      <c r="T101" s="18" t="str">
        <f t="shared" si="46"/>
        <v>Mencapai kompetensi dengan baik dalam hal</v>
      </c>
      <c r="U101" s="23">
        <v>86</v>
      </c>
      <c r="V101" s="18" t="str">
        <f t="shared" si="47"/>
        <v>Mencapai kompetensi dengan baik dalam hal</v>
      </c>
      <c r="W101" s="23">
        <v>77</v>
      </c>
      <c r="X101" s="18" t="str">
        <f t="shared" si="48"/>
        <v>Mencapai kompetensi dengan baik dalam hal</v>
      </c>
      <c r="Y101" s="23">
        <v>84</v>
      </c>
      <c r="Z101" s="18" t="str">
        <f t="shared" si="49"/>
        <v>Mencapai kompetensi dengan baik dalam hal</v>
      </c>
      <c r="AA101" s="23">
        <v>80</v>
      </c>
      <c r="AB101" s="18" t="str">
        <f t="shared" si="50"/>
        <v>Mencapai kompetensi dengan baik dalam hal</v>
      </c>
      <c r="AC101" s="23">
        <v>82</v>
      </c>
      <c r="AD101" s="18" t="str">
        <f t="shared" si="51"/>
        <v>Mencapai kompetensi dengan baik dalam hal</v>
      </c>
      <c r="AE101" s="23">
        <v>88</v>
      </c>
      <c r="AF101" s="18" t="str">
        <f t="shared" si="52"/>
        <v>Mencapai kompetensi dengan baik dalam hal</v>
      </c>
      <c r="AG101" s="23">
        <v>87</v>
      </c>
      <c r="AH101" s="18" t="str">
        <f t="shared" si="37"/>
        <v>Mencapai kompetensi dengan baik dalam hal</v>
      </c>
      <c r="AI101" s="23">
        <v>94</v>
      </c>
      <c r="AJ101" s="18" t="str">
        <f t="shared" si="38"/>
        <v>Mencapai kompetensi dengan sangat baik dalam hal</v>
      </c>
      <c r="AK101" s="23">
        <v>92</v>
      </c>
      <c r="AL101" s="18" t="str">
        <f t="shared" si="53"/>
        <v>Mencapai kompetensi dengan sangat baik dalam hal</v>
      </c>
      <c r="AM101" s="23">
        <v>90</v>
      </c>
      <c r="AN101" s="18" t="str">
        <f t="shared" si="54"/>
        <v>Mencapai kompetensi dengan sangat baik dalam hal</v>
      </c>
      <c r="AO101" s="23">
        <v>85</v>
      </c>
      <c r="AP101" s="18" t="str">
        <f t="shared" si="39"/>
        <v>Mencapai kompetensi dengan baik dalam hal</v>
      </c>
      <c r="AQ101" s="23">
        <v>82</v>
      </c>
      <c r="AR101" s="18" t="str">
        <f t="shared" si="55"/>
        <v>Mencapai kompetensi dengan baik dalam hal</v>
      </c>
      <c r="AS101" s="62">
        <f t="shared" si="56"/>
        <v>88.333333333333329</v>
      </c>
      <c r="AT101" s="18">
        <v>82</v>
      </c>
      <c r="AU101" s="18" t="str">
        <f t="shared" si="40"/>
        <v>Mencapai kompetensi dengan baik dalam hal</v>
      </c>
      <c r="AV101" s="23">
        <v>80</v>
      </c>
      <c r="AW101" s="18" t="str">
        <f t="shared" si="57"/>
        <v>Mencapai kompetensi dengan baik dalam hal</v>
      </c>
      <c r="AX101" s="23" t="s">
        <v>81</v>
      </c>
      <c r="AY101" s="23" t="s">
        <v>81</v>
      </c>
      <c r="AZ101" s="23" t="s">
        <v>81</v>
      </c>
      <c r="BA101" s="23">
        <v>1</v>
      </c>
      <c r="BB101" s="23" t="s">
        <v>82</v>
      </c>
      <c r="BC101" s="18" t="s">
        <v>83</v>
      </c>
      <c r="BD101" s="23" t="s">
        <v>86</v>
      </c>
      <c r="BE101" s="18" t="str">
        <f t="shared" si="58"/>
        <v>Sangat baik</v>
      </c>
      <c r="BF101" s="23">
        <v>2</v>
      </c>
      <c r="BG101" s="18" t="s">
        <v>134</v>
      </c>
      <c r="BH101" s="18" t="s">
        <v>83</v>
      </c>
      <c r="BI101" s="23" t="s">
        <v>84</v>
      </c>
      <c r="BJ101" s="18" t="str">
        <f t="shared" si="59"/>
        <v>Baik</v>
      </c>
      <c r="BK101" s="23"/>
      <c r="BL101" s="23"/>
      <c r="BM101" s="23"/>
      <c r="BN101" s="23"/>
      <c r="BO101" s="18"/>
      <c r="BP101" s="54"/>
      <c r="BQ101" s="54"/>
      <c r="BR101" s="54"/>
    </row>
    <row r="102" spans="1:70" ht="24.95" customHeight="1" x14ac:dyDescent="0.25">
      <c r="A102" s="23">
        <v>101</v>
      </c>
      <c r="B102" s="23">
        <v>2525827</v>
      </c>
      <c r="C102" s="23" t="s">
        <v>503</v>
      </c>
      <c r="D102" s="18" t="s">
        <v>504</v>
      </c>
      <c r="E102" s="23" t="s">
        <v>446</v>
      </c>
      <c r="F102" s="23" t="s">
        <v>291</v>
      </c>
      <c r="G102" s="23" t="s">
        <v>447</v>
      </c>
      <c r="H102" s="23" t="s">
        <v>448</v>
      </c>
      <c r="I102" s="60" t="s">
        <v>76</v>
      </c>
      <c r="J102" s="61" t="s">
        <v>77</v>
      </c>
      <c r="K102" s="61" t="s">
        <v>78</v>
      </c>
      <c r="L102" s="61" t="s">
        <v>79</v>
      </c>
      <c r="M102" s="23">
        <v>76</v>
      </c>
      <c r="N102" s="18" t="str">
        <f t="shared" si="43"/>
        <v>Mencapai kompetensi dengan baik dalam hal</v>
      </c>
      <c r="O102" s="23">
        <v>75</v>
      </c>
      <c r="P102" s="18" t="str">
        <f t="shared" si="44"/>
        <v>Mencapai kompetensi dengan baik dalam hal</v>
      </c>
      <c r="Q102" s="23">
        <v>75</v>
      </c>
      <c r="R102" s="18" t="str">
        <f t="shared" si="45"/>
        <v>Mencapai kompetensi dengan baik dalam hal</v>
      </c>
      <c r="S102" s="23">
        <v>80</v>
      </c>
      <c r="T102" s="18" t="str">
        <f t="shared" si="46"/>
        <v>Mencapai kompetensi dengan baik dalam hal</v>
      </c>
      <c r="U102" s="23">
        <v>75</v>
      </c>
      <c r="V102" s="18" t="str">
        <f t="shared" si="47"/>
        <v>Mencapai kompetensi dengan baik dalam hal</v>
      </c>
      <c r="W102" s="23">
        <v>75</v>
      </c>
      <c r="X102" s="18" t="str">
        <f t="shared" si="48"/>
        <v>Mencapai kompetensi dengan baik dalam hal</v>
      </c>
      <c r="Y102" s="23">
        <v>75</v>
      </c>
      <c r="Z102" s="18" t="str">
        <f t="shared" si="49"/>
        <v>Mencapai kompetensi dengan baik dalam hal</v>
      </c>
      <c r="AA102" s="23">
        <v>78</v>
      </c>
      <c r="AB102" s="18" t="str">
        <f t="shared" si="50"/>
        <v>Mencapai kompetensi dengan baik dalam hal</v>
      </c>
      <c r="AC102" s="23">
        <v>80</v>
      </c>
      <c r="AD102" s="18" t="str">
        <f t="shared" si="51"/>
        <v>Mencapai kompetensi dengan baik dalam hal</v>
      </c>
      <c r="AE102" s="23">
        <v>75</v>
      </c>
      <c r="AF102" s="18" t="str">
        <f t="shared" si="52"/>
        <v>Mencapai kompetensi dengan baik dalam hal</v>
      </c>
      <c r="AG102" s="23">
        <v>76</v>
      </c>
      <c r="AH102" s="18" t="str">
        <f t="shared" si="37"/>
        <v>Mencapai kompetensi dengan baik dalam hal</v>
      </c>
      <c r="AI102" s="23">
        <v>77</v>
      </c>
      <c r="AJ102" s="18" t="str">
        <f t="shared" si="38"/>
        <v>Mencapai kompetensi dengan baik dalam hal</v>
      </c>
      <c r="AK102" s="23">
        <v>83</v>
      </c>
      <c r="AL102" s="18" t="str">
        <f t="shared" si="53"/>
        <v>Mencapai kompetensi dengan baik dalam hal</v>
      </c>
      <c r="AM102" s="23">
        <v>77</v>
      </c>
      <c r="AN102" s="18" t="str">
        <f t="shared" si="54"/>
        <v>Mencapai kompetensi dengan baik dalam hal</v>
      </c>
      <c r="AO102" s="23">
        <v>75</v>
      </c>
      <c r="AP102" s="18" t="str">
        <f t="shared" si="39"/>
        <v>Mencapai kompetensi dengan baik dalam hal</v>
      </c>
      <c r="AQ102" s="23">
        <v>70</v>
      </c>
      <c r="AR102" s="18" t="str">
        <f t="shared" si="55"/>
        <v>Perlu peningkatan dalam hal</v>
      </c>
      <c r="AS102" s="62">
        <f t="shared" si="56"/>
        <v>76.333333333333329</v>
      </c>
      <c r="AT102" s="18">
        <v>80</v>
      </c>
      <c r="AU102" s="18" t="str">
        <f t="shared" si="40"/>
        <v>Mencapai kompetensi dengan baik dalam hal</v>
      </c>
      <c r="AV102" s="23">
        <v>79</v>
      </c>
      <c r="AW102" s="18" t="str">
        <f t="shared" si="57"/>
        <v>Mencapai kompetensi dengan baik dalam hal</v>
      </c>
      <c r="AX102" s="23">
        <v>1</v>
      </c>
      <c r="AY102" s="23" t="s">
        <v>81</v>
      </c>
      <c r="AZ102" s="23" t="s">
        <v>81</v>
      </c>
      <c r="BA102" s="23">
        <v>1</v>
      </c>
      <c r="BB102" s="23" t="s">
        <v>82</v>
      </c>
      <c r="BC102" s="18" t="s">
        <v>83</v>
      </c>
      <c r="BD102" s="23" t="s">
        <v>86</v>
      </c>
      <c r="BE102" s="18" t="str">
        <f t="shared" si="58"/>
        <v>Sangat baik</v>
      </c>
      <c r="BF102" s="23">
        <v>2</v>
      </c>
      <c r="BG102" s="18" t="s">
        <v>108</v>
      </c>
      <c r="BH102" s="18" t="s">
        <v>83</v>
      </c>
      <c r="BI102" s="23" t="s">
        <v>84</v>
      </c>
      <c r="BJ102" s="18" t="str">
        <f t="shared" si="59"/>
        <v>Baik</v>
      </c>
      <c r="BK102" s="23"/>
      <c r="BL102" s="23"/>
      <c r="BM102" s="23"/>
      <c r="BN102" s="23"/>
      <c r="BO102" s="18"/>
      <c r="BP102" s="54"/>
      <c r="BQ102" s="54"/>
      <c r="BR102" s="54"/>
    </row>
    <row r="103" spans="1:70" ht="24.95" customHeight="1" x14ac:dyDescent="0.25">
      <c r="A103" s="23">
        <v>102</v>
      </c>
      <c r="B103" s="23">
        <v>2525828</v>
      </c>
      <c r="C103" s="23" t="s">
        <v>505</v>
      </c>
      <c r="D103" s="18" t="s">
        <v>506</v>
      </c>
      <c r="E103" s="23" t="s">
        <v>446</v>
      </c>
      <c r="F103" s="23" t="s">
        <v>291</v>
      </c>
      <c r="G103" s="23" t="s">
        <v>447</v>
      </c>
      <c r="H103" s="23" t="s">
        <v>448</v>
      </c>
      <c r="I103" s="60" t="s">
        <v>76</v>
      </c>
      <c r="J103" s="61" t="s">
        <v>77</v>
      </c>
      <c r="K103" s="61" t="s">
        <v>78</v>
      </c>
      <c r="L103" s="61" t="s">
        <v>79</v>
      </c>
      <c r="M103" s="23">
        <v>81</v>
      </c>
      <c r="N103" s="18" t="str">
        <f t="shared" si="43"/>
        <v>Mencapai kompetensi dengan baik dalam hal</v>
      </c>
      <c r="O103" s="23">
        <v>75</v>
      </c>
      <c r="P103" s="18" t="str">
        <f t="shared" si="44"/>
        <v>Mencapai kompetensi dengan baik dalam hal</v>
      </c>
      <c r="Q103" s="23">
        <v>75</v>
      </c>
      <c r="R103" s="18" t="str">
        <f t="shared" si="45"/>
        <v>Mencapai kompetensi dengan baik dalam hal</v>
      </c>
      <c r="S103" s="23">
        <v>82</v>
      </c>
      <c r="T103" s="18" t="str">
        <f t="shared" si="46"/>
        <v>Mencapai kompetensi dengan baik dalam hal</v>
      </c>
      <c r="U103" s="23">
        <v>77</v>
      </c>
      <c r="V103" s="18" t="str">
        <f t="shared" si="47"/>
        <v>Mencapai kompetensi dengan baik dalam hal</v>
      </c>
      <c r="W103" s="23">
        <v>75</v>
      </c>
      <c r="X103" s="18" t="str">
        <f t="shared" si="48"/>
        <v>Mencapai kompetensi dengan baik dalam hal</v>
      </c>
      <c r="Y103" s="23">
        <v>80</v>
      </c>
      <c r="Z103" s="18" t="str">
        <f t="shared" si="49"/>
        <v>Mencapai kompetensi dengan baik dalam hal</v>
      </c>
      <c r="AA103" s="23">
        <v>79</v>
      </c>
      <c r="AB103" s="18" t="str">
        <f t="shared" si="50"/>
        <v>Mencapai kompetensi dengan baik dalam hal</v>
      </c>
      <c r="AC103" s="23">
        <v>87</v>
      </c>
      <c r="AD103" s="18" t="str">
        <f t="shared" si="51"/>
        <v>Mencapai kompetensi dengan baik dalam hal</v>
      </c>
      <c r="AE103" s="23">
        <v>83</v>
      </c>
      <c r="AF103" s="18" t="str">
        <f t="shared" si="52"/>
        <v>Mencapai kompetensi dengan baik dalam hal</v>
      </c>
      <c r="AG103" s="23">
        <v>79</v>
      </c>
      <c r="AH103" s="18" t="str">
        <f t="shared" si="37"/>
        <v>Mencapai kompetensi dengan baik dalam hal</v>
      </c>
      <c r="AI103" s="23">
        <v>86</v>
      </c>
      <c r="AJ103" s="18" t="str">
        <f t="shared" si="38"/>
        <v>Mencapai kompetensi dengan baik dalam hal</v>
      </c>
      <c r="AK103" s="23">
        <v>82</v>
      </c>
      <c r="AL103" s="18" t="str">
        <f t="shared" si="53"/>
        <v>Mencapai kompetensi dengan baik dalam hal</v>
      </c>
      <c r="AM103" s="23">
        <v>83</v>
      </c>
      <c r="AN103" s="18" t="str">
        <f t="shared" si="54"/>
        <v>Mencapai kompetensi dengan baik dalam hal</v>
      </c>
      <c r="AO103" s="23">
        <v>81</v>
      </c>
      <c r="AP103" s="18" t="str">
        <f t="shared" si="39"/>
        <v>Mencapai kompetensi dengan baik dalam hal</v>
      </c>
      <c r="AQ103" s="23">
        <v>82</v>
      </c>
      <c r="AR103" s="18" t="str">
        <f t="shared" si="55"/>
        <v>Mencapai kompetensi dengan baik dalam hal</v>
      </c>
      <c r="AS103" s="62">
        <f t="shared" si="56"/>
        <v>82.166666666666671</v>
      </c>
      <c r="AT103" s="18">
        <v>87</v>
      </c>
      <c r="AU103" s="18" t="str">
        <f t="shared" si="40"/>
        <v>Mencapai kompetensi dengan baik dalam hal</v>
      </c>
      <c r="AV103" s="23">
        <v>77</v>
      </c>
      <c r="AW103" s="18" t="str">
        <f t="shared" si="57"/>
        <v>Mencapai kompetensi dengan baik dalam hal</v>
      </c>
      <c r="AX103" s="23">
        <v>2</v>
      </c>
      <c r="AY103" s="23" t="s">
        <v>81</v>
      </c>
      <c r="AZ103" s="23" t="s">
        <v>81</v>
      </c>
      <c r="BA103" s="23">
        <v>1</v>
      </c>
      <c r="BB103" s="23" t="s">
        <v>82</v>
      </c>
      <c r="BC103" s="18" t="s">
        <v>83</v>
      </c>
      <c r="BD103" s="23" t="s">
        <v>84</v>
      </c>
      <c r="BE103" s="18" t="str">
        <f t="shared" si="58"/>
        <v>Baik</v>
      </c>
      <c r="BF103" s="23">
        <v>2</v>
      </c>
      <c r="BG103" s="18" t="s">
        <v>99</v>
      </c>
      <c r="BH103" s="18" t="s">
        <v>83</v>
      </c>
      <c r="BI103" s="23" t="s">
        <v>84</v>
      </c>
      <c r="BJ103" s="18" t="str">
        <f t="shared" si="59"/>
        <v>Baik</v>
      </c>
      <c r="BK103" s="23"/>
      <c r="BL103" s="23"/>
      <c r="BM103" s="23"/>
      <c r="BN103" s="23"/>
      <c r="BO103" s="18"/>
      <c r="BP103" s="54"/>
      <c r="BQ103" s="54"/>
      <c r="BR103" s="54"/>
    </row>
    <row r="104" spans="1:70" ht="24.95" customHeight="1" x14ac:dyDescent="0.25">
      <c r="A104" s="23">
        <v>103</v>
      </c>
      <c r="B104" s="23">
        <v>2525829</v>
      </c>
      <c r="C104" s="23" t="s">
        <v>507</v>
      </c>
      <c r="D104" s="18" t="s">
        <v>508</v>
      </c>
      <c r="E104" s="23" t="s">
        <v>446</v>
      </c>
      <c r="F104" s="23" t="s">
        <v>291</v>
      </c>
      <c r="G104" s="23" t="s">
        <v>447</v>
      </c>
      <c r="H104" s="23" t="s">
        <v>448</v>
      </c>
      <c r="I104" s="60" t="s">
        <v>76</v>
      </c>
      <c r="J104" s="61" t="s">
        <v>77</v>
      </c>
      <c r="K104" s="61" t="s">
        <v>78</v>
      </c>
      <c r="L104" s="61" t="s">
        <v>79</v>
      </c>
      <c r="M104" s="23">
        <v>81</v>
      </c>
      <c r="N104" s="18" t="str">
        <f t="shared" si="43"/>
        <v>Mencapai kompetensi dengan baik dalam hal</v>
      </c>
      <c r="O104" s="23">
        <v>76</v>
      </c>
      <c r="P104" s="18" t="str">
        <f t="shared" si="44"/>
        <v>Mencapai kompetensi dengan baik dalam hal</v>
      </c>
      <c r="Q104" s="23">
        <v>75</v>
      </c>
      <c r="R104" s="18" t="str">
        <f t="shared" si="45"/>
        <v>Mencapai kompetensi dengan baik dalam hal</v>
      </c>
      <c r="S104" s="23">
        <v>81</v>
      </c>
      <c r="T104" s="18" t="str">
        <f t="shared" si="46"/>
        <v>Mencapai kompetensi dengan baik dalam hal</v>
      </c>
      <c r="U104" s="23">
        <v>77</v>
      </c>
      <c r="V104" s="18" t="str">
        <f t="shared" si="47"/>
        <v>Mencapai kompetensi dengan baik dalam hal</v>
      </c>
      <c r="W104" s="23">
        <v>79</v>
      </c>
      <c r="X104" s="18" t="str">
        <f t="shared" si="48"/>
        <v>Mencapai kompetensi dengan baik dalam hal</v>
      </c>
      <c r="Y104" s="23">
        <v>81</v>
      </c>
      <c r="Z104" s="18" t="str">
        <f t="shared" si="49"/>
        <v>Mencapai kompetensi dengan baik dalam hal</v>
      </c>
      <c r="AA104" s="23">
        <v>78</v>
      </c>
      <c r="AB104" s="18" t="str">
        <f t="shared" si="50"/>
        <v>Mencapai kompetensi dengan baik dalam hal</v>
      </c>
      <c r="AC104" s="23">
        <v>86</v>
      </c>
      <c r="AD104" s="18" t="str">
        <f t="shared" si="51"/>
        <v>Mencapai kompetensi dengan baik dalam hal</v>
      </c>
      <c r="AE104" s="23">
        <v>82</v>
      </c>
      <c r="AF104" s="18" t="str">
        <f t="shared" si="52"/>
        <v>Mencapai kompetensi dengan baik dalam hal</v>
      </c>
      <c r="AG104" s="23">
        <v>84</v>
      </c>
      <c r="AH104" s="18" t="str">
        <f t="shared" si="37"/>
        <v>Mencapai kompetensi dengan baik dalam hal</v>
      </c>
      <c r="AI104" s="23">
        <v>77</v>
      </c>
      <c r="AJ104" s="18" t="str">
        <f t="shared" si="38"/>
        <v>Mencapai kompetensi dengan baik dalam hal</v>
      </c>
      <c r="AK104" s="23">
        <v>85</v>
      </c>
      <c r="AL104" s="18" t="str">
        <f t="shared" si="53"/>
        <v>Mencapai kompetensi dengan baik dalam hal</v>
      </c>
      <c r="AM104" s="23">
        <v>84</v>
      </c>
      <c r="AN104" s="18" t="str">
        <f t="shared" si="54"/>
        <v>Mencapai kompetensi dengan baik dalam hal</v>
      </c>
      <c r="AO104" s="23">
        <v>83</v>
      </c>
      <c r="AP104" s="18" t="str">
        <f t="shared" si="39"/>
        <v>Mencapai kompetensi dengan baik dalam hal</v>
      </c>
      <c r="AQ104" s="23">
        <v>83</v>
      </c>
      <c r="AR104" s="18" t="str">
        <f t="shared" si="55"/>
        <v>Mencapai kompetensi dengan baik dalam hal</v>
      </c>
      <c r="AS104" s="62">
        <f t="shared" si="56"/>
        <v>82.666666666666671</v>
      </c>
      <c r="AT104" s="18">
        <v>86</v>
      </c>
      <c r="AU104" s="18" t="str">
        <f t="shared" si="40"/>
        <v>Mencapai kompetensi dengan baik dalam hal</v>
      </c>
      <c r="AV104" s="23">
        <v>78</v>
      </c>
      <c r="AW104" s="18" t="str">
        <f t="shared" si="57"/>
        <v>Mencapai kompetensi dengan baik dalam hal</v>
      </c>
      <c r="AX104" s="23">
        <v>3</v>
      </c>
      <c r="AY104" s="23" t="s">
        <v>81</v>
      </c>
      <c r="AZ104" s="23" t="s">
        <v>81</v>
      </c>
      <c r="BA104" s="23">
        <v>1</v>
      </c>
      <c r="BB104" s="23" t="s">
        <v>82</v>
      </c>
      <c r="BC104" s="18" t="s">
        <v>83</v>
      </c>
      <c r="BD104" s="23" t="s">
        <v>86</v>
      </c>
      <c r="BE104" s="18" t="str">
        <f t="shared" si="58"/>
        <v>Sangat baik</v>
      </c>
      <c r="BF104" s="23">
        <v>2</v>
      </c>
      <c r="BG104" s="18" t="s">
        <v>125</v>
      </c>
      <c r="BH104" s="18" t="s">
        <v>83</v>
      </c>
      <c r="BI104" s="23" t="s">
        <v>104</v>
      </c>
      <c r="BJ104" s="18" t="str">
        <f t="shared" si="59"/>
        <v>Cukup</v>
      </c>
      <c r="BK104" s="23"/>
      <c r="BL104" s="23"/>
      <c r="BM104" s="23"/>
      <c r="BN104" s="23"/>
      <c r="BO104" s="18"/>
      <c r="BP104" s="54"/>
      <c r="BQ104" s="54"/>
      <c r="BR104" s="54"/>
    </row>
    <row r="105" spans="1:70" ht="24.95" customHeight="1" x14ac:dyDescent="0.25">
      <c r="A105" s="23">
        <v>104</v>
      </c>
      <c r="B105" s="23">
        <v>2525830</v>
      </c>
      <c r="C105" s="23" t="s">
        <v>509</v>
      </c>
      <c r="D105" s="18" t="s">
        <v>510</v>
      </c>
      <c r="E105" s="23" t="s">
        <v>446</v>
      </c>
      <c r="F105" s="23" t="s">
        <v>291</v>
      </c>
      <c r="G105" s="23" t="s">
        <v>447</v>
      </c>
      <c r="H105" s="23" t="s">
        <v>448</v>
      </c>
      <c r="I105" s="60" t="s">
        <v>76</v>
      </c>
      <c r="J105" s="61" t="s">
        <v>77</v>
      </c>
      <c r="K105" s="61" t="s">
        <v>78</v>
      </c>
      <c r="L105" s="61" t="s">
        <v>79</v>
      </c>
      <c r="M105" s="23">
        <v>76</v>
      </c>
      <c r="N105" s="18" t="str">
        <f t="shared" si="43"/>
        <v>Mencapai kompetensi dengan baik dalam hal</v>
      </c>
      <c r="O105" s="23">
        <v>75</v>
      </c>
      <c r="P105" s="18" t="str">
        <f t="shared" si="44"/>
        <v>Mencapai kompetensi dengan baik dalam hal</v>
      </c>
      <c r="Q105" s="23">
        <v>75</v>
      </c>
      <c r="R105" s="18" t="str">
        <f t="shared" si="45"/>
        <v>Mencapai kompetensi dengan baik dalam hal</v>
      </c>
      <c r="S105" s="23">
        <v>82</v>
      </c>
      <c r="T105" s="18" t="str">
        <f t="shared" si="46"/>
        <v>Mencapai kompetensi dengan baik dalam hal</v>
      </c>
      <c r="U105" s="23">
        <v>75</v>
      </c>
      <c r="V105" s="18" t="str">
        <f t="shared" si="47"/>
        <v>Mencapai kompetensi dengan baik dalam hal</v>
      </c>
      <c r="W105" s="23">
        <v>75</v>
      </c>
      <c r="X105" s="18" t="str">
        <f t="shared" si="48"/>
        <v>Mencapai kompetensi dengan baik dalam hal</v>
      </c>
      <c r="Y105" s="23">
        <v>75</v>
      </c>
      <c r="Z105" s="18" t="str">
        <f t="shared" si="49"/>
        <v>Mencapai kompetensi dengan baik dalam hal</v>
      </c>
      <c r="AA105" s="23">
        <v>78</v>
      </c>
      <c r="AB105" s="18" t="str">
        <f t="shared" si="50"/>
        <v>Mencapai kompetensi dengan baik dalam hal</v>
      </c>
      <c r="AC105" s="23">
        <v>78</v>
      </c>
      <c r="AD105" s="18" t="str">
        <f t="shared" si="51"/>
        <v>Mencapai kompetensi dengan baik dalam hal</v>
      </c>
      <c r="AE105" s="23">
        <v>77</v>
      </c>
      <c r="AF105" s="18" t="str">
        <f t="shared" si="52"/>
        <v>Mencapai kompetensi dengan baik dalam hal</v>
      </c>
      <c r="AG105" s="23">
        <v>89</v>
      </c>
      <c r="AH105" s="18" t="str">
        <f t="shared" si="37"/>
        <v>Mencapai kompetensi dengan baik dalam hal</v>
      </c>
      <c r="AI105" s="23">
        <v>91</v>
      </c>
      <c r="AJ105" s="18" t="str">
        <f t="shared" si="38"/>
        <v>Mencapai kompetensi dengan sangat baik dalam hal</v>
      </c>
      <c r="AK105" s="23">
        <v>90</v>
      </c>
      <c r="AL105" s="18" t="str">
        <f t="shared" si="53"/>
        <v>Mencapai kompetensi dengan sangat baik dalam hal</v>
      </c>
      <c r="AM105" s="23">
        <v>80</v>
      </c>
      <c r="AN105" s="18" t="str">
        <f t="shared" si="54"/>
        <v>Mencapai kompetensi dengan baik dalam hal</v>
      </c>
      <c r="AO105" s="23">
        <v>81</v>
      </c>
      <c r="AP105" s="18" t="str">
        <f t="shared" si="39"/>
        <v>Mencapai kompetensi dengan baik dalam hal</v>
      </c>
      <c r="AQ105" s="23">
        <v>83</v>
      </c>
      <c r="AR105" s="18" t="str">
        <f t="shared" si="55"/>
        <v>Mencapai kompetensi dengan baik dalam hal</v>
      </c>
      <c r="AS105" s="62">
        <f t="shared" si="56"/>
        <v>85.666666666666671</v>
      </c>
      <c r="AT105" s="18">
        <v>78</v>
      </c>
      <c r="AU105" s="18" t="str">
        <f t="shared" si="40"/>
        <v>Mencapai kompetensi dengan baik dalam hal</v>
      </c>
      <c r="AV105" s="23">
        <v>78</v>
      </c>
      <c r="AW105" s="18" t="str">
        <f t="shared" si="57"/>
        <v>Mencapai kompetensi dengan baik dalam hal</v>
      </c>
      <c r="AX105" s="23">
        <v>1</v>
      </c>
      <c r="AY105" s="23" t="s">
        <v>81</v>
      </c>
      <c r="AZ105" s="23" t="s">
        <v>81</v>
      </c>
      <c r="BA105" s="23">
        <v>1</v>
      </c>
      <c r="BB105" s="23" t="s">
        <v>82</v>
      </c>
      <c r="BC105" s="18" t="s">
        <v>83</v>
      </c>
      <c r="BD105" s="23" t="s">
        <v>104</v>
      </c>
      <c r="BE105" s="18" t="str">
        <f t="shared" si="58"/>
        <v>Cukup</v>
      </c>
      <c r="BF105" s="23">
        <v>2</v>
      </c>
      <c r="BG105" s="18" t="s">
        <v>99</v>
      </c>
      <c r="BH105" s="18" t="s">
        <v>83</v>
      </c>
      <c r="BI105" s="23" t="s">
        <v>84</v>
      </c>
      <c r="BJ105" s="18" t="str">
        <f t="shared" si="59"/>
        <v>Baik</v>
      </c>
      <c r="BK105" s="23"/>
      <c r="BL105" s="23"/>
      <c r="BM105" s="23"/>
      <c r="BN105" s="23"/>
      <c r="BO105" s="18"/>
      <c r="BP105" s="54"/>
      <c r="BQ105" s="54"/>
      <c r="BR105" s="54"/>
    </row>
    <row r="106" spans="1:70" ht="24.95" customHeight="1" x14ac:dyDescent="0.25">
      <c r="A106" s="23">
        <v>105</v>
      </c>
      <c r="B106" s="23">
        <v>2525831</v>
      </c>
      <c r="C106" s="23" t="s">
        <v>511</v>
      </c>
      <c r="D106" s="18" t="s">
        <v>512</v>
      </c>
      <c r="E106" s="23" t="s">
        <v>446</v>
      </c>
      <c r="F106" s="23" t="s">
        <v>291</v>
      </c>
      <c r="G106" s="23" t="s">
        <v>447</v>
      </c>
      <c r="H106" s="23" t="s">
        <v>448</v>
      </c>
      <c r="I106" s="60" t="s">
        <v>76</v>
      </c>
      <c r="J106" s="61" t="s">
        <v>77</v>
      </c>
      <c r="K106" s="61" t="s">
        <v>78</v>
      </c>
      <c r="L106" s="61" t="s">
        <v>79</v>
      </c>
      <c r="M106" s="23">
        <v>83</v>
      </c>
      <c r="N106" s="18" t="str">
        <f t="shared" si="43"/>
        <v>Mencapai kompetensi dengan baik dalam hal</v>
      </c>
      <c r="O106" s="23">
        <v>80</v>
      </c>
      <c r="P106" s="18" t="str">
        <f t="shared" si="44"/>
        <v>Mencapai kompetensi dengan baik dalam hal</v>
      </c>
      <c r="Q106" s="23">
        <v>80</v>
      </c>
      <c r="R106" s="18" t="str">
        <f t="shared" si="45"/>
        <v>Mencapai kompetensi dengan baik dalam hal</v>
      </c>
      <c r="S106" s="23">
        <v>81</v>
      </c>
      <c r="T106" s="18" t="str">
        <f t="shared" si="46"/>
        <v>Mencapai kompetensi dengan baik dalam hal</v>
      </c>
      <c r="U106" s="23">
        <v>79</v>
      </c>
      <c r="V106" s="18" t="str">
        <f t="shared" si="47"/>
        <v>Mencapai kompetensi dengan baik dalam hal</v>
      </c>
      <c r="W106" s="23">
        <v>77</v>
      </c>
      <c r="X106" s="18" t="str">
        <f t="shared" si="48"/>
        <v>Mencapai kompetensi dengan baik dalam hal</v>
      </c>
      <c r="Y106" s="23">
        <v>75</v>
      </c>
      <c r="Z106" s="18" t="str">
        <f t="shared" si="49"/>
        <v>Mencapai kompetensi dengan baik dalam hal</v>
      </c>
      <c r="AA106" s="23">
        <v>78</v>
      </c>
      <c r="AB106" s="18" t="str">
        <f t="shared" si="50"/>
        <v>Mencapai kompetensi dengan baik dalam hal</v>
      </c>
      <c r="AC106" s="23">
        <v>83</v>
      </c>
      <c r="AD106" s="18" t="str">
        <f t="shared" si="51"/>
        <v>Mencapai kompetensi dengan baik dalam hal</v>
      </c>
      <c r="AE106" s="23">
        <v>83</v>
      </c>
      <c r="AF106" s="18" t="str">
        <f t="shared" si="52"/>
        <v>Mencapai kompetensi dengan baik dalam hal</v>
      </c>
      <c r="AG106" s="23">
        <v>88</v>
      </c>
      <c r="AH106" s="18" t="str">
        <f t="shared" si="37"/>
        <v>Mencapai kompetensi dengan baik dalam hal</v>
      </c>
      <c r="AI106" s="23">
        <v>92</v>
      </c>
      <c r="AJ106" s="18" t="str">
        <f t="shared" si="38"/>
        <v>Mencapai kompetensi dengan sangat baik dalam hal</v>
      </c>
      <c r="AK106" s="23">
        <v>91</v>
      </c>
      <c r="AL106" s="18" t="str">
        <f t="shared" si="53"/>
        <v>Mencapai kompetensi dengan sangat baik dalam hal</v>
      </c>
      <c r="AM106" s="23">
        <v>90</v>
      </c>
      <c r="AN106" s="18" t="str">
        <f t="shared" si="54"/>
        <v>Mencapai kompetensi dengan sangat baik dalam hal</v>
      </c>
      <c r="AO106" s="23">
        <v>87</v>
      </c>
      <c r="AP106" s="18" t="str">
        <f t="shared" si="39"/>
        <v>Mencapai kompetensi dengan baik dalam hal</v>
      </c>
      <c r="AQ106" s="23">
        <v>83</v>
      </c>
      <c r="AR106" s="18" t="str">
        <f t="shared" si="55"/>
        <v>Mencapai kompetensi dengan baik dalam hal</v>
      </c>
      <c r="AS106" s="62">
        <f t="shared" si="56"/>
        <v>88.5</v>
      </c>
      <c r="AT106" s="18">
        <v>83</v>
      </c>
      <c r="AU106" s="18" t="str">
        <f t="shared" si="40"/>
        <v>Mencapai kompetensi dengan baik dalam hal</v>
      </c>
      <c r="AV106" s="23">
        <v>80</v>
      </c>
      <c r="AW106" s="18" t="str">
        <f t="shared" si="57"/>
        <v>Mencapai kompetensi dengan baik dalam hal</v>
      </c>
      <c r="AX106" s="23" t="s">
        <v>81</v>
      </c>
      <c r="AY106" s="23" t="s">
        <v>81</v>
      </c>
      <c r="AZ106" s="23" t="s">
        <v>81</v>
      </c>
      <c r="BA106" s="23">
        <v>1</v>
      </c>
      <c r="BB106" s="23" t="s">
        <v>82</v>
      </c>
      <c r="BC106" s="18" t="s">
        <v>83</v>
      </c>
      <c r="BD106" s="23" t="s">
        <v>86</v>
      </c>
      <c r="BE106" s="18" t="str">
        <f t="shared" si="58"/>
        <v>Sangat baik</v>
      </c>
      <c r="BF106" s="23">
        <v>2</v>
      </c>
      <c r="BG106" s="18" t="s">
        <v>85</v>
      </c>
      <c r="BH106" s="18" t="s">
        <v>83</v>
      </c>
      <c r="BI106" s="23" t="s">
        <v>86</v>
      </c>
      <c r="BJ106" s="18" t="str">
        <f t="shared" si="59"/>
        <v>Sangat baik</v>
      </c>
      <c r="BK106" s="23">
        <v>3</v>
      </c>
      <c r="BL106" s="23" t="s">
        <v>87</v>
      </c>
      <c r="BM106" s="23" t="s">
        <v>83</v>
      </c>
      <c r="BN106" s="23" t="s">
        <v>84</v>
      </c>
      <c r="BO106" s="18" t="str">
        <f>VLOOKUP(BN106,grades4,2,TRUE)</f>
        <v>Baik</v>
      </c>
      <c r="BP106" s="54"/>
      <c r="BQ106" s="54"/>
      <c r="BR106" s="54"/>
    </row>
    <row r="107" spans="1:70" ht="24.95" customHeight="1" x14ac:dyDescent="0.25">
      <c r="A107" s="23">
        <v>106</v>
      </c>
      <c r="B107" s="23">
        <v>2525832</v>
      </c>
      <c r="C107" s="23" t="s">
        <v>513</v>
      </c>
      <c r="D107" s="18" t="s">
        <v>514</v>
      </c>
      <c r="E107" s="23" t="s">
        <v>446</v>
      </c>
      <c r="F107" s="23" t="s">
        <v>291</v>
      </c>
      <c r="G107" s="23" t="s">
        <v>447</v>
      </c>
      <c r="H107" s="23" t="s">
        <v>448</v>
      </c>
      <c r="I107" s="60" t="s">
        <v>76</v>
      </c>
      <c r="J107" s="61" t="s">
        <v>77</v>
      </c>
      <c r="K107" s="61" t="s">
        <v>78</v>
      </c>
      <c r="L107" s="61" t="s">
        <v>79</v>
      </c>
      <c r="M107" s="23">
        <v>83</v>
      </c>
      <c r="N107" s="18" t="str">
        <f t="shared" si="43"/>
        <v>Mencapai kompetensi dengan baik dalam hal</v>
      </c>
      <c r="O107" s="23">
        <v>80</v>
      </c>
      <c r="P107" s="18" t="str">
        <f t="shared" si="44"/>
        <v>Mencapai kompetensi dengan baik dalam hal</v>
      </c>
      <c r="Q107" s="23">
        <v>79</v>
      </c>
      <c r="R107" s="18" t="str">
        <f t="shared" si="45"/>
        <v>Mencapai kompetensi dengan baik dalam hal</v>
      </c>
      <c r="S107" s="23">
        <v>83</v>
      </c>
      <c r="T107" s="18" t="str">
        <f t="shared" si="46"/>
        <v>Mencapai kompetensi dengan baik dalam hal</v>
      </c>
      <c r="U107" s="23">
        <v>89</v>
      </c>
      <c r="V107" s="18" t="str">
        <f t="shared" si="47"/>
        <v>Mencapai kompetensi dengan baik dalam hal</v>
      </c>
      <c r="W107" s="23">
        <v>82</v>
      </c>
      <c r="X107" s="18" t="str">
        <f t="shared" si="48"/>
        <v>Mencapai kompetensi dengan baik dalam hal</v>
      </c>
      <c r="Y107" s="23">
        <v>84</v>
      </c>
      <c r="Z107" s="18" t="str">
        <f t="shared" si="49"/>
        <v>Mencapai kompetensi dengan baik dalam hal</v>
      </c>
      <c r="AA107" s="23">
        <v>81</v>
      </c>
      <c r="AB107" s="18" t="str">
        <f t="shared" si="50"/>
        <v>Mencapai kompetensi dengan baik dalam hal</v>
      </c>
      <c r="AC107" s="23">
        <v>88</v>
      </c>
      <c r="AD107" s="18" t="str">
        <f t="shared" si="51"/>
        <v>Mencapai kompetensi dengan baik dalam hal</v>
      </c>
      <c r="AE107" s="23">
        <v>88</v>
      </c>
      <c r="AF107" s="18" t="str">
        <f t="shared" si="52"/>
        <v>Mencapai kompetensi dengan baik dalam hal</v>
      </c>
      <c r="AG107" s="23">
        <v>89</v>
      </c>
      <c r="AH107" s="18" t="str">
        <f t="shared" si="37"/>
        <v>Mencapai kompetensi dengan baik dalam hal</v>
      </c>
      <c r="AI107" s="23">
        <v>96</v>
      </c>
      <c r="AJ107" s="18" t="str">
        <f t="shared" si="38"/>
        <v>Mencapai kompetensi dengan sangat baik dalam hal</v>
      </c>
      <c r="AK107" s="23">
        <v>89</v>
      </c>
      <c r="AL107" s="18" t="str">
        <f t="shared" si="53"/>
        <v>Mencapai kompetensi dengan baik dalam hal</v>
      </c>
      <c r="AM107" s="23">
        <v>89</v>
      </c>
      <c r="AN107" s="18" t="str">
        <f t="shared" si="54"/>
        <v>Mencapai kompetensi dengan baik dalam hal</v>
      </c>
      <c r="AO107" s="23">
        <v>86</v>
      </c>
      <c r="AP107" s="18" t="str">
        <f t="shared" si="39"/>
        <v>Mencapai kompetensi dengan baik dalam hal</v>
      </c>
      <c r="AQ107" s="23">
        <v>85</v>
      </c>
      <c r="AR107" s="18" t="str">
        <f t="shared" si="55"/>
        <v>Mencapai kompetensi dengan baik dalam hal</v>
      </c>
      <c r="AS107" s="62">
        <f t="shared" si="56"/>
        <v>89</v>
      </c>
      <c r="AT107" s="18">
        <v>88</v>
      </c>
      <c r="AU107" s="18" t="str">
        <f t="shared" si="40"/>
        <v>Mencapai kompetensi dengan baik dalam hal</v>
      </c>
      <c r="AV107" s="23">
        <v>80</v>
      </c>
      <c r="AW107" s="18" t="str">
        <f t="shared" si="57"/>
        <v>Mencapai kompetensi dengan baik dalam hal</v>
      </c>
      <c r="AX107" s="23">
        <v>2</v>
      </c>
      <c r="AY107" s="23" t="s">
        <v>81</v>
      </c>
      <c r="AZ107" s="23" t="s">
        <v>81</v>
      </c>
      <c r="BA107" s="23">
        <v>1</v>
      </c>
      <c r="BB107" s="23" t="s">
        <v>82</v>
      </c>
      <c r="BC107" s="18" t="s">
        <v>83</v>
      </c>
      <c r="BD107" s="23" t="s">
        <v>86</v>
      </c>
      <c r="BE107" s="18" t="str">
        <f t="shared" si="58"/>
        <v>Sangat baik</v>
      </c>
      <c r="BF107" s="23">
        <v>2</v>
      </c>
      <c r="BG107" s="18" t="s">
        <v>265</v>
      </c>
      <c r="BH107" s="18" t="s">
        <v>83</v>
      </c>
      <c r="BI107" s="23" t="s">
        <v>104</v>
      </c>
      <c r="BJ107" s="18" t="str">
        <f t="shared" si="59"/>
        <v>Cukup</v>
      </c>
      <c r="BK107" s="23"/>
      <c r="BL107" s="23"/>
      <c r="BM107" s="23"/>
      <c r="BN107" s="23"/>
      <c r="BO107" s="18"/>
      <c r="BP107" s="54"/>
      <c r="BQ107" s="54"/>
      <c r="BR107" s="54"/>
    </row>
    <row r="108" spans="1:70" ht="24.95" customHeight="1" x14ac:dyDescent="0.25">
      <c r="A108" s="23">
        <v>107</v>
      </c>
      <c r="B108" s="23">
        <v>2525833</v>
      </c>
      <c r="C108" s="23" t="s">
        <v>515</v>
      </c>
      <c r="D108" s="18" t="s">
        <v>516</v>
      </c>
      <c r="E108" s="23" t="s">
        <v>446</v>
      </c>
      <c r="F108" s="23" t="s">
        <v>291</v>
      </c>
      <c r="G108" s="23" t="s">
        <v>447</v>
      </c>
      <c r="H108" s="23" t="s">
        <v>448</v>
      </c>
      <c r="I108" s="60" t="s">
        <v>76</v>
      </c>
      <c r="J108" s="61" t="s">
        <v>77</v>
      </c>
      <c r="K108" s="61" t="s">
        <v>78</v>
      </c>
      <c r="L108" s="61" t="s">
        <v>79</v>
      </c>
      <c r="M108" s="23">
        <v>83</v>
      </c>
      <c r="N108" s="18" t="str">
        <f t="shared" si="43"/>
        <v>Mencapai kompetensi dengan baik dalam hal</v>
      </c>
      <c r="O108" s="23">
        <v>77</v>
      </c>
      <c r="P108" s="18" t="str">
        <f t="shared" si="44"/>
        <v>Mencapai kompetensi dengan baik dalam hal</v>
      </c>
      <c r="Q108" s="23">
        <v>80</v>
      </c>
      <c r="R108" s="18" t="str">
        <f t="shared" si="45"/>
        <v>Mencapai kompetensi dengan baik dalam hal</v>
      </c>
      <c r="S108" s="23">
        <v>83</v>
      </c>
      <c r="T108" s="18" t="str">
        <f t="shared" si="46"/>
        <v>Mencapai kompetensi dengan baik dalam hal</v>
      </c>
      <c r="U108" s="23">
        <v>75</v>
      </c>
      <c r="V108" s="18" t="str">
        <f t="shared" si="47"/>
        <v>Mencapai kompetensi dengan baik dalam hal</v>
      </c>
      <c r="W108" s="23">
        <v>79</v>
      </c>
      <c r="X108" s="18" t="str">
        <f t="shared" si="48"/>
        <v>Mencapai kompetensi dengan baik dalam hal</v>
      </c>
      <c r="Y108" s="23">
        <v>77</v>
      </c>
      <c r="Z108" s="18" t="str">
        <f t="shared" si="49"/>
        <v>Mencapai kompetensi dengan baik dalam hal</v>
      </c>
      <c r="AA108" s="23">
        <v>79</v>
      </c>
      <c r="AB108" s="18" t="str">
        <f t="shared" si="50"/>
        <v>Mencapai kompetensi dengan baik dalam hal</v>
      </c>
      <c r="AC108" s="23">
        <v>88</v>
      </c>
      <c r="AD108" s="18" t="str">
        <f t="shared" si="51"/>
        <v>Mencapai kompetensi dengan baik dalam hal</v>
      </c>
      <c r="AE108" s="23">
        <v>90</v>
      </c>
      <c r="AF108" s="18" t="str">
        <f t="shared" si="52"/>
        <v>Mencapai kompetensi dengan sangat baik dalam hal</v>
      </c>
      <c r="AG108" s="23">
        <v>86</v>
      </c>
      <c r="AH108" s="18" t="str">
        <f t="shared" si="37"/>
        <v>Mencapai kompetensi dengan baik dalam hal</v>
      </c>
      <c r="AI108" s="23">
        <v>91</v>
      </c>
      <c r="AJ108" s="18" t="str">
        <f t="shared" si="38"/>
        <v>Mencapai kompetensi dengan sangat baik dalam hal</v>
      </c>
      <c r="AK108" s="23">
        <v>86</v>
      </c>
      <c r="AL108" s="18" t="str">
        <f t="shared" si="53"/>
        <v>Mencapai kompetensi dengan baik dalam hal</v>
      </c>
      <c r="AM108" s="23">
        <v>89</v>
      </c>
      <c r="AN108" s="18" t="str">
        <f t="shared" si="54"/>
        <v>Mencapai kompetensi dengan baik dalam hal</v>
      </c>
      <c r="AO108" s="23">
        <v>85</v>
      </c>
      <c r="AP108" s="18" t="str">
        <f t="shared" si="39"/>
        <v>Mencapai kompetensi dengan baik dalam hal</v>
      </c>
      <c r="AQ108" s="23">
        <v>85</v>
      </c>
      <c r="AR108" s="18" t="str">
        <f t="shared" si="55"/>
        <v>Mencapai kompetensi dengan baik dalam hal</v>
      </c>
      <c r="AS108" s="62">
        <f t="shared" si="56"/>
        <v>87</v>
      </c>
      <c r="AT108" s="18">
        <v>88</v>
      </c>
      <c r="AU108" s="18" t="str">
        <f t="shared" si="40"/>
        <v>Mencapai kompetensi dengan baik dalam hal</v>
      </c>
      <c r="AV108" s="23">
        <v>82</v>
      </c>
      <c r="AW108" s="18" t="str">
        <f t="shared" si="57"/>
        <v>Mencapai kompetensi dengan baik dalam hal</v>
      </c>
      <c r="AX108" s="23" t="s">
        <v>81</v>
      </c>
      <c r="AY108" s="23" t="s">
        <v>81</v>
      </c>
      <c r="AZ108" s="23" t="s">
        <v>81</v>
      </c>
      <c r="BA108" s="23">
        <v>1</v>
      </c>
      <c r="BB108" s="23" t="s">
        <v>82</v>
      </c>
      <c r="BC108" s="18" t="s">
        <v>83</v>
      </c>
      <c r="BD108" s="23" t="s">
        <v>86</v>
      </c>
      <c r="BE108" s="18" t="str">
        <f t="shared" si="58"/>
        <v>Sangat baik</v>
      </c>
      <c r="BF108" s="23">
        <v>2</v>
      </c>
      <c r="BG108" s="18" t="s">
        <v>108</v>
      </c>
      <c r="BH108" s="18" t="s">
        <v>83</v>
      </c>
      <c r="BI108" s="23" t="s">
        <v>86</v>
      </c>
      <c r="BJ108" s="18" t="str">
        <f t="shared" si="59"/>
        <v>Sangat baik</v>
      </c>
      <c r="BK108" s="23"/>
      <c r="BL108" s="23"/>
      <c r="BM108" s="23"/>
      <c r="BN108" s="23"/>
      <c r="BO108" s="18"/>
      <c r="BP108" s="54"/>
      <c r="BQ108" s="54"/>
      <c r="BR108" s="54"/>
    </row>
    <row r="109" spans="1:70" ht="10.5" customHeight="1" thickBot="1" x14ac:dyDescent="0.3">
      <c r="A109" s="38"/>
      <c r="B109" s="38"/>
      <c r="C109" s="38"/>
      <c r="D109" s="46"/>
      <c r="E109" s="38"/>
      <c r="F109" s="38"/>
      <c r="G109" s="38"/>
      <c r="H109" s="38"/>
      <c r="I109" s="63"/>
      <c r="J109" s="44"/>
      <c r="K109" s="44"/>
      <c r="L109" s="44"/>
      <c r="M109" s="38"/>
      <c r="N109" s="46"/>
      <c r="O109" s="38"/>
      <c r="P109" s="46"/>
      <c r="Q109" s="38"/>
      <c r="R109" s="46"/>
      <c r="S109" s="38"/>
      <c r="T109" s="46"/>
      <c r="U109" s="38"/>
      <c r="V109" s="46"/>
      <c r="W109" s="38"/>
      <c r="X109" s="46"/>
      <c r="Y109" s="38"/>
      <c r="Z109" s="46"/>
      <c r="AA109" s="38"/>
      <c r="AB109" s="46"/>
      <c r="AC109" s="38"/>
      <c r="AD109" s="46"/>
      <c r="AE109" s="38"/>
      <c r="AF109" s="46"/>
      <c r="AG109" s="38"/>
      <c r="AH109" s="46"/>
      <c r="AI109" s="38"/>
      <c r="AJ109" s="46"/>
      <c r="AK109" s="38"/>
      <c r="AL109" s="46"/>
      <c r="AM109" s="38"/>
      <c r="AN109" s="46"/>
      <c r="AO109" s="38"/>
      <c r="AP109" s="46"/>
      <c r="AQ109" s="38"/>
      <c r="AR109" s="46"/>
      <c r="AS109" s="46"/>
      <c r="AT109" s="46"/>
      <c r="AU109" s="46"/>
      <c r="AV109" s="38"/>
      <c r="AW109" s="46"/>
      <c r="AX109" s="38"/>
      <c r="AY109" s="38"/>
      <c r="AZ109" s="38"/>
      <c r="BA109" s="38"/>
      <c r="BB109" s="46"/>
      <c r="BC109" s="46"/>
      <c r="BD109" s="38"/>
      <c r="BE109" s="46"/>
      <c r="BF109" s="38"/>
      <c r="BG109" s="46"/>
      <c r="BH109" s="46"/>
      <c r="BI109" s="38"/>
      <c r="BJ109" s="46"/>
      <c r="BK109" s="38"/>
      <c r="BL109" s="38"/>
      <c r="BM109" s="38"/>
      <c r="BN109" s="64"/>
      <c r="BO109" s="64"/>
      <c r="BP109" s="54"/>
      <c r="BQ109" s="54"/>
      <c r="BR109" s="54"/>
    </row>
    <row r="110" spans="1:70" ht="15.75" thickTop="1" x14ac:dyDescent="0.25"/>
  </sheetData>
  <conditionalFormatting sqref="BJ109 BE109 N109 P109 R109 T109 V109 X109 Z109 AB109 AD109 AF109 AL109 AN109 AW2:AW109 AR109:AT109">
    <cfRule type="cellIs" dxfId="90" priority="17" operator="lessThan">
      <formula>70</formula>
    </cfRule>
  </conditionalFormatting>
  <conditionalFormatting sqref="N109 P109 R109 T109 V109 X109 Z109 AB109 AD109 AF109 AL109 AN109 AR109:AT109">
    <cfRule type="cellIs" dxfId="89" priority="16" operator="lessThan">
      <formula>$M$2</formula>
    </cfRule>
  </conditionalFormatting>
  <conditionalFormatting sqref="AU109">
    <cfRule type="cellIs" dxfId="88" priority="15" operator="lessThan">
      <formula>70</formula>
    </cfRule>
  </conditionalFormatting>
  <conditionalFormatting sqref="AU109">
    <cfRule type="cellIs" dxfId="87" priority="14" operator="lessThan">
      <formula>$M$2</formula>
    </cfRule>
  </conditionalFormatting>
  <conditionalFormatting sqref="AH109">
    <cfRule type="cellIs" dxfId="86" priority="13" operator="lessThan">
      <formula>70</formula>
    </cfRule>
  </conditionalFormatting>
  <conditionalFormatting sqref="AH109">
    <cfRule type="cellIs" dxfId="85" priority="12" operator="lessThan">
      <formula>$M$2</formula>
    </cfRule>
  </conditionalFormatting>
  <conditionalFormatting sqref="AJ109">
    <cfRule type="cellIs" dxfId="84" priority="11" operator="lessThan">
      <formula>70</formula>
    </cfRule>
  </conditionalFormatting>
  <conditionalFormatting sqref="AJ109">
    <cfRule type="cellIs" dxfId="83" priority="10" operator="lessThan">
      <formula>$M$2</formula>
    </cfRule>
  </conditionalFormatting>
  <conditionalFormatting sqref="AP109">
    <cfRule type="cellIs" dxfId="82" priority="9" operator="lessThan">
      <formula>70</formula>
    </cfRule>
  </conditionalFormatting>
  <conditionalFormatting sqref="AP109">
    <cfRule type="cellIs" dxfId="81" priority="8" operator="lessThan">
      <formula>$M$2</formula>
    </cfRule>
  </conditionalFormatting>
  <conditionalFormatting sqref="M2:AV108">
    <cfRule type="cellIs" dxfId="80" priority="7" operator="lessThan">
      <formula>75</formula>
    </cfRule>
  </conditionalFormatting>
  <conditionalFormatting sqref="BE2:BE108 BJ2:BJ108">
    <cfRule type="cellIs" dxfId="79" priority="6" operator="lessThan">
      <formula>70</formula>
    </cfRule>
  </conditionalFormatting>
  <conditionalFormatting sqref="BD2:BD108">
    <cfRule type="cellIs" dxfId="78" priority="3" operator="lessThan">
      <formula>70</formula>
    </cfRule>
  </conditionalFormatting>
  <conditionalFormatting sqref="BD2:BD108">
    <cfRule type="cellIs" dxfId="77" priority="2" operator="lessThan">
      <formula>75</formula>
    </cfRule>
  </conditionalFormatting>
  <conditionalFormatting sqref="BB2:BB108">
    <cfRule type="cellIs" dxfId="76" priority="5" operator="lessThan">
      <formula>70</formula>
    </cfRule>
  </conditionalFormatting>
  <conditionalFormatting sqref="BB2:BB108">
    <cfRule type="cellIs" dxfId="75" priority="4" operator="lessThan">
      <formula>75</formula>
    </cfRule>
  </conditionalFormatting>
  <conditionalFormatting sqref="BO2:BO108">
    <cfRule type="cellIs" dxfId="74" priority="1" operator="lessThan">
      <formula>70</formula>
    </cfRule>
  </conditionalFormatting>
  <printOptions horizontalCentered="1"/>
  <pageMargins left="0.19685039370078741" right="0.19685039370078741" top="0.39370078740157483" bottom="0.39370078740157483" header="0.31496062992125984" footer="0.31496062992125984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110"/>
  <sheetViews>
    <sheetView zoomScaleNormal="100" workbookViewId="0">
      <pane xSplit="10" ySplit="1" topLeftCell="AO2" activePane="bottomRight" state="frozen"/>
      <selection pane="topRight" activeCell="K1" sqref="K1"/>
      <selection pane="bottomLeft" activeCell="A2" sqref="A2"/>
      <selection pane="bottomRight" activeCell="AO2" sqref="AO2:AO109"/>
    </sheetView>
  </sheetViews>
  <sheetFormatPr defaultColWidth="9.140625" defaultRowHeight="12" x14ac:dyDescent="0.25"/>
  <cols>
    <col min="1" max="1" width="4.140625" style="81" customWidth="1"/>
    <col min="2" max="2" width="7" style="81" bestFit="1" customWidth="1"/>
    <col min="3" max="3" width="9.5703125" style="81" bestFit="1" customWidth="1"/>
    <col min="4" max="4" width="35" style="107" bestFit="1" customWidth="1"/>
    <col min="5" max="5" width="9.140625" style="81" customWidth="1"/>
    <col min="6" max="6" width="16.85546875" style="81" customWidth="1"/>
    <col min="7" max="7" width="21.42578125" style="77" bestFit="1" customWidth="1"/>
    <col min="8" max="8" width="19.7109375" style="77" customWidth="1"/>
    <col min="9" max="9" width="7.140625" style="81" customWidth="1"/>
    <col min="10" max="10" width="8.5703125" style="77" bestFit="1" customWidth="1"/>
    <col min="11" max="11" width="7.7109375" style="77" customWidth="1"/>
    <col min="12" max="12" width="8.5703125" style="77" hidden="1" customWidth="1"/>
    <col min="13" max="13" width="7.5703125" style="81" customWidth="1"/>
    <col min="14" max="14" width="5.140625" style="81" hidden="1" customWidth="1"/>
    <col min="15" max="15" width="5.5703125" style="81" customWidth="1"/>
    <col min="16" max="16" width="5.140625" style="81" hidden="1" customWidth="1"/>
    <col min="17" max="17" width="8.85546875" style="81" customWidth="1"/>
    <col min="18" max="18" width="5.140625" style="81" hidden="1" customWidth="1"/>
    <col min="19" max="19" width="12" style="81" customWidth="1"/>
    <col min="20" max="20" width="5.140625" style="81" hidden="1" customWidth="1"/>
    <col min="21" max="21" width="8.7109375" style="81" customWidth="1"/>
    <col min="22" max="22" width="5.140625" style="81" hidden="1" customWidth="1"/>
    <col min="23" max="23" width="5.140625" style="81" customWidth="1"/>
    <col min="24" max="24" width="5.140625" style="81" hidden="1" customWidth="1"/>
    <col min="25" max="25" width="5.140625" style="81" customWidth="1"/>
    <col min="26" max="26" width="5.140625" style="81" hidden="1" customWidth="1"/>
    <col min="27" max="27" width="8.85546875" style="81" customWidth="1"/>
    <col min="28" max="28" width="5.140625" style="81" hidden="1" customWidth="1"/>
    <col min="29" max="29" width="5.140625" style="81" customWidth="1"/>
    <col min="30" max="30" width="5.140625" style="81" hidden="1" customWidth="1"/>
    <col min="31" max="31" width="5.140625" style="81" customWidth="1"/>
    <col min="32" max="40" width="5.140625" style="81" hidden="1" customWidth="1"/>
    <col min="41" max="41" width="12.85546875" style="81" customWidth="1"/>
    <col min="42" max="42" width="11.85546875" style="81" customWidth="1"/>
    <col min="43" max="43" width="5.140625" style="81" hidden="1" customWidth="1"/>
    <col min="44" max="44" width="8.28515625" style="81" customWidth="1"/>
    <col min="45" max="45" width="4.5703125" style="81" hidden="1" customWidth="1"/>
    <col min="46" max="46" width="5.5703125" style="77" customWidth="1"/>
    <col min="47" max="47" width="6.140625" style="77" customWidth="1"/>
    <col min="48" max="48" width="5.85546875" style="77" customWidth="1"/>
    <col min="49" max="49" width="5.28515625" style="77" customWidth="1"/>
    <col min="50" max="50" width="11.85546875" style="77" customWidth="1"/>
    <col min="51" max="51" width="19.28515625" style="77" hidden="1" customWidth="1"/>
    <col min="52" max="52" width="5.85546875" style="81" customWidth="1"/>
    <col min="53" max="53" width="12.5703125" style="77" customWidth="1"/>
    <col min="54" max="54" width="6.85546875" style="77" customWidth="1"/>
    <col min="55" max="55" width="22.140625" style="77" customWidth="1"/>
    <col min="56" max="56" width="19.28515625" style="77" hidden="1" customWidth="1"/>
    <col min="57" max="57" width="6" style="81" customWidth="1"/>
    <col min="58" max="58" width="13.85546875" style="77" customWidth="1"/>
    <col min="59" max="59" width="4.42578125" style="77" customWidth="1"/>
    <col min="60" max="60" width="14.5703125" style="77" customWidth="1"/>
    <col min="61" max="61" width="9.140625" style="77" hidden="1" customWidth="1"/>
    <col min="62" max="62" width="4.5703125" style="77" customWidth="1"/>
    <col min="63" max="63" width="8.85546875" style="77" customWidth="1"/>
    <col min="64" max="65" width="9.140625" style="77" customWidth="1"/>
    <col min="66" max="66" width="36.5703125" style="77" customWidth="1"/>
    <col min="67" max="67" width="11.28515625" style="77" customWidth="1"/>
    <col min="68" max="68" width="6.42578125" style="77" bestFit="1" customWidth="1"/>
    <col min="69" max="69" width="17.7109375" style="77" customWidth="1"/>
    <col min="70" max="70" width="11.28515625" style="77" customWidth="1"/>
    <col min="71" max="71" width="2.7109375" style="77" customWidth="1"/>
    <col min="72" max="16384" width="9.140625" style="77"/>
  </cols>
  <sheetData>
    <row r="1" spans="1:73" s="67" customFormat="1" ht="30" customHeight="1" thickTop="1" thickBot="1" x14ac:dyDescent="0.3">
      <c r="A1" s="66" t="s">
        <v>0</v>
      </c>
      <c r="B1" s="66" t="s">
        <v>1</v>
      </c>
      <c r="C1" s="66" t="s">
        <v>2</v>
      </c>
      <c r="D1" s="66" t="s">
        <v>3</v>
      </c>
      <c r="E1" s="66" t="s">
        <v>4</v>
      </c>
      <c r="F1" s="66" t="s">
        <v>5</v>
      </c>
      <c r="G1" s="66" t="s">
        <v>6</v>
      </c>
      <c r="H1" s="66" t="s">
        <v>7</v>
      </c>
      <c r="I1" s="66" t="s">
        <v>8</v>
      </c>
      <c r="J1" s="66" t="s">
        <v>9</v>
      </c>
      <c r="K1" s="1" t="s">
        <v>10</v>
      </c>
      <c r="L1" s="1" t="s">
        <v>11</v>
      </c>
      <c r="M1" s="66" t="s">
        <v>12</v>
      </c>
      <c r="N1" s="66" t="s">
        <v>13</v>
      </c>
      <c r="O1" s="66" t="s">
        <v>14</v>
      </c>
      <c r="P1" s="66" t="s">
        <v>15</v>
      </c>
      <c r="Q1" s="66" t="s">
        <v>16</v>
      </c>
      <c r="R1" s="66" t="s">
        <v>17</v>
      </c>
      <c r="S1" s="66" t="s">
        <v>18</v>
      </c>
      <c r="T1" s="66" t="s">
        <v>19</v>
      </c>
      <c r="U1" s="66" t="s">
        <v>20</v>
      </c>
      <c r="V1" s="66" t="s">
        <v>21</v>
      </c>
      <c r="W1" s="66" t="s">
        <v>22</v>
      </c>
      <c r="X1" s="66" t="s">
        <v>23</v>
      </c>
      <c r="Y1" s="66" t="s">
        <v>24</v>
      </c>
      <c r="Z1" s="66" t="s">
        <v>25</v>
      </c>
      <c r="AA1" s="66" t="s">
        <v>26</v>
      </c>
      <c r="AB1" s="66" t="s">
        <v>27</v>
      </c>
      <c r="AC1" s="66" t="s">
        <v>28</v>
      </c>
      <c r="AD1" s="66" t="s">
        <v>29</v>
      </c>
      <c r="AE1" s="66" t="s">
        <v>30</v>
      </c>
      <c r="AF1" s="66" t="s">
        <v>31</v>
      </c>
      <c r="AG1" s="66" t="s">
        <v>517</v>
      </c>
      <c r="AH1" s="66" t="s">
        <v>518</v>
      </c>
      <c r="AI1" s="66" t="s">
        <v>519</v>
      </c>
      <c r="AJ1" s="66" t="s">
        <v>520</v>
      </c>
      <c r="AK1" s="66" t="s">
        <v>521</v>
      </c>
      <c r="AL1" s="66" t="s">
        <v>522</v>
      </c>
      <c r="AM1" s="66" t="s">
        <v>523</v>
      </c>
      <c r="AN1" s="66" t="s">
        <v>524</v>
      </c>
      <c r="AO1" s="66" t="s">
        <v>287</v>
      </c>
      <c r="AP1" s="66" t="s">
        <v>525</v>
      </c>
      <c r="AQ1" s="66" t="s">
        <v>192</v>
      </c>
      <c r="AR1" s="66" t="s">
        <v>45</v>
      </c>
      <c r="AS1" s="66" t="s">
        <v>46</v>
      </c>
      <c r="AT1" s="66" t="s">
        <v>50</v>
      </c>
      <c r="AU1" s="66" t="s">
        <v>51</v>
      </c>
      <c r="AV1" s="66" t="s">
        <v>52</v>
      </c>
      <c r="AW1" s="66" t="s">
        <v>53</v>
      </c>
      <c r="AX1" s="66" t="s">
        <v>54</v>
      </c>
      <c r="AY1" s="66" t="s">
        <v>55</v>
      </c>
      <c r="AZ1" s="66" t="s">
        <v>56</v>
      </c>
      <c r="BA1" s="66" t="s">
        <v>57</v>
      </c>
      <c r="BB1" s="66" t="s">
        <v>58</v>
      </c>
      <c r="BC1" s="66" t="s">
        <v>59</v>
      </c>
      <c r="BD1" s="66" t="s">
        <v>60</v>
      </c>
      <c r="BE1" s="66" t="s">
        <v>61</v>
      </c>
      <c r="BF1" s="66" t="s">
        <v>62</v>
      </c>
      <c r="BG1" s="66" t="s">
        <v>63</v>
      </c>
      <c r="BH1" s="66" t="s">
        <v>64</v>
      </c>
      <c r="BI1" s="66" t="s">
        <v>65</v>
      </c>
      <c r="BJ1" s="66" t="s">
        <v>66</v>
      </c>
      <c r="BK1" s="66" t="s">
        <v>67</v>
      </c>
      <c r="BM1" s="68" t="s">
        <v>68</v>
      </c>
      <c r="BN1" s="68"/>
      <c r="BO1" s="69"/>
      <c r="BP1" s="69" t="s">
        <v>69</v>
      </c>
      <c r="BQ1" s="69"/>
      <c r="BR1" s="69"/>
      <c r="BT1" s="70" t="s">
        <v>526</v>
      </c>
      <c r="BU1" s="70"/>
    </row>
    <row r="2" spans="1:73" ht="23.25" customHeight="1" thickTop="1" thickBot="1" x14ac:dyDescent="0.3">
      <c r="A2" s="71">
        <v>1</v>
      </c>
      <c r="B2" s="71">
        <v>2525870</v>
      </c>
      <c r="C2" s="71" t="s">
        <v>527</v>
      </c>
      <c r="D2" s="72" t="s">
        <v>528</v>
      </c>
      <c r="E2" s="71" t="s">
        <v>529</v>
      </c>
      <c r="F2" s="71" t="s">
        <v>530</v>
      </c>
      <c r="G2" s="71" t="s">
        <v>531</v>
      </c>
      <c r="H2" s="71" t="s">
        <v>532</v>
      </c>
      <c r="I2" s="73" t="s">
        <v>76</v>
      </c>
      <c r="J2" s="74" t="s">
        <v>77</v>
      </c>
      <c r="K2" s="11" t="s">
        <v>78</v>
      </c>
      <c r="L2" s="11" t="s">
        <v>79</v>
      </c>
      <c r="M2" s="71">
        <v>76</v>
      </c>
      <c r="N2" s="72" t="str">
        <f t="shared" ref="N2:P59" si="0">VLOOKUP(M2,grades1,2,TRUE)</f>
        <v>Mencapai kompetensi dengan baik dalam hal</v>
      </c>
      <c r="O2" s="71">
        <v>75</v>
      </c>
      <c r="P2" s="72" t="str">
        <f t="shared" si="0"/>
        <v>Mencapai kompetensi dengan baik dalam hal</v>
      </c>
      <c r="Q2" s="71">
        <v>75</v>
      </c>
      <c r="R2" s="72" t="str">
        <f t="shared" ref="R2:R59" si="1">VLOOKUP(Q2,grades1,2,TRUE)</f>
        <v>Mencapai kompetensi dengan baik dalam hal</v>
      </c>
      <c r="S2" s="71">
        <v>82</v>
      </c>
      <c r="T2" s="72" t="str">
        <f t="shared" ref="T2:T59" si="2">VLOOKUP(S2,grades1,2,TRUE)</f>
        <v>Mencapai kompetensi dengan baik dalam hal</v>
      </c>
      <c r="U2" s="71">
        <v>75</v>
      </c>
      <c r="V2" s="72" t="str">
        <f t="shared" ref="V2:V59" si="3">VLOOKUP(U2,grades1,2,TRUE)</f>
        <v>Mencapai kompetensi dengan baik dalam hal</v>
      </c>
      <c r="W2" s="71">
        <v>75</v>
      </c>
      <c r="X2" s="72" t="str">
        <f t="shared" ref="X2:X59" si="4">VLOOKUP(W2,grades1,2,TRUE)</f>
        <v>Mencapai kompetensi dengan baik dalam hal</v>
      </c>
      <c r="Y2" s="71">
        <v>78</v>
      </c>
      <c r="Z2" s="72" t="str">
        <f t="shared" ref="Z2:Z59" si="5">VLOOKUP(Y2,grades1,2,TRUE)</f>
        <v>Mencapai kompetensi dengan baik dalam hal</v>
      </c>
      <c r="AA2" s="71">
        <v>77</v>
      </c>
      <c r="AB2" s="72" t="str">
        <f t="shared" ref="AB2:AB59" si="6">VLOOKUP(AA2,grades1,2,TRUE)</f>
        <v>Mencapai kompetensi dengan baik dalam hal</v>
      </c>
      <c r="AC2" s="71">
        <v>72</v>
      </c>
      <c r="AD2" s="72" t="str">
        <f t="shared" ref="AD2:AD59" si="7">VLOOKUP(AC2,grades1,2,TRUE)</f>
        <v>Perlu peningkatan dalam hal</v>
      </c>
      <c r="AE2" s="71">
        <v>78</v>
      </c>
      <c r="AF2" s="72" t="str">
        <f t="shared" ref="AF2:AF59" si="8">VLOOKUP(AE2,grades1,2,TRUE)</f>
        <v>Mencapai kompetensi dengan baik dalam hal</v>
      </c>
      <c r="AG2" s="71">
        <v>76</v>
      </c>
      <c r="AH2" s="72" t="str">
        <f t="shared" ref="AH2:AH59" si="9">VLOOKUP(AG2,grades1,2,TRUE)</f>
        <v>Mencapai kompetensi dengan baik dalam hal</v>
      </c>
      <c r="AI2" s="71">
        <v>76</v>
      </c>
      <c r="AJ2" s="72" t="str">
        <f t="shared" ref="AJ2:AJ59" si="10">VLOOKUP(AI2,grades1,2,TRUE)</f>
        <v>Mencapai kompetensi dengan baik dalam hal</v>
      </c>
      <c r="AK2" s="71">
        <v>76</v>
      </c>
      <c r="AL2" s="72" t="str">
        <f t="shared" ref="AL2:AL59" si="11">VLOOKUP(AK2,grades1,2,TRUE)</f>
        <v>Mencapai kompetensi dengan baik dalam hal</v>
      </c>
      <c r="AM2" s="71">
        <v>76</v>
      </c>
      <c r="AN2" s="72" t="str">
        <f t="shared" ref="AN2:AN59" si="12">VLOOKUP(AM2,grades1,2,TRUE)</f>
        <v>Mencapai kompetensi dengan baik dalam hal</v>
      </c>
      <c r="AO2" s="75">
        <f>AVERAGE(AG2,AI2,AK2,AM2)</f>
        <v>76</v>
      </c>
      <c r="AP2" s="71">
        <v>72</v>
      </c>
      <c r="AQ2" s="72" t="str">
        <f t="shared" ref="AQ2:AQ59" si="13">VLOOKUP(AP2,grades1,2,TRUE)</f>
        <v>Perlu peningkatan dalam hal</v>
      </c>
      <c r="AR2" s="71">
        <v>75</v>
      </c>
      <c r="AS2" s="72" t="str">
        <f t="shared" ref="AS2:AS59" si="14">VLOOKUP(AR2,grades1,2,TRUE)</f>
        <v>Mencapai kompetensi dengan baik dalam hal</v>
      </c>
      <c r="AT2" s="76">
        <v>2</v>
      </c>
      <c r="AU2" s="76" t="s">
        <v>81</v>
      </c>
      <c r="AV2" s="76">
        <v>1</v>
      </c>
      <c r="AW2" s="71">
        <v>1</v>
      </c>
      <c r="AX2" s="71" t="s">
        <v>82</v>
      </c>
      <c r="AY2" s="72" t="s">
        <v>83</v>
      </c>
      <c r="AZ2" s="71" t="s">
        <v>86</v>
      </c>
      <c r="BA2" s="72" t="str">
        <f t="shared" ref="BA2:BA33" si="15">VLOOKUP(AZ2,grades6,2,TRUE)</f>
        <v>Sangat baik</v>
      </c>
      <c r="BB2" s="71">
        <v>2</v>
      </c>
      <c r="BC2" s="72" t="s">
        <v>99</v>
      </c>
      <c r="BD2" s="72" t="s">
        <v>83</v>
      </c>
      <c r="BE2" s="71" t="s">
        <v>84</v>
      </c>
      <c r="BF2" s="72" t="str">
        <f t="shared" ref="BF2:BF33" si="16">VLOOKUP(BE2,grades6,2,TRUE)</f>
        <v>Baik</v>
      </c>
      <c r="BG2" s="71"/>
      <c r="BH2" s="71"/>
      <c r="BI2" s="71"/>
      <c r="BJ2" s="71"/>
      <c r="BK2" s="72"/>
      <c r="BM2" s="78" t="s">
        <v>88</v>
      </c>
      <c r="BN2" s="78" t="s">
        <v>89</v>
      </c>
      <c r="BO2" s="79"/>
      <c r="BP2" s="78" t="s">
        <v>90</v>
      </c>
      <c r="BQ2" s="78" t="s">
        <v>91</v>
      </c>
      <c r="BR2" s="80"/>
      <c r="BT2" s="81">
        <f t="shared" ref="BT2:BT65" si="17">COUNTIFS(M2:AR2,"&gt;=0",M2:AR2,"&lt;75")</f>
        <v>2</v>
      </c>
    </row>
    <row r="3" spans="1:73" ht="23.25" customHeight="1" thickTop="1" thickBot="1" x14ac:dyDescent="0.3">
      <c r="A3" s="82">
        <v>2</v>
      </c>
      <c r="B3" s="82">
        <v>2525871</v>
      </c>
      <c r="C3" s="82" t="s">
        <v>533</v>
      </c>
      <c r="D3" s="83" t="s">
        <v>534</v>
      </c>
      <c r="E3" s="82" t="s">
        <v>529</v>
      </c>
      <c r="F3" s="82" t="s">
        <v>530</v>
      </c>
      <c r="G3" s="82" t="s">
        <v>531</v>
      </c>
      <c r="H3" s="82" t="s">
        <v>532</v>
      </c>
      <c r="I3" s="84" t="s">
        <v>76</v>
      </c>
      <c r="J3" s="85" t="s">
        <v>77</v>
      </c>
      <c r="K3" s="85" t="s">
        <v>78</v>
      </c>
      <c r="L3" s="85" t="s">
        <v>79</v>
      </c>
      <c r="M3" s="82">
        <v>81</v>
      </c>
      <c r="N3" s="83" t="str">
        <f t="shared" si="0"/>
        <v>Mencapai kompetensi dengan baik dalam hal</v>
      </c>
      <c r="O3" s="82">
        <v>78</v>
      </c>
      <c r="P3" s="83" t="str">
        <f t="shared" si="0"/>
        <v>Mencapai kompetensi dengan baik dalam hal</v>
      </c>
      <c r="Q3" s="82">
        <v>80</v>
      </c>
      <c r="R3" s="83" t="str">
        <f t="shared" si="1"/>
        <v>Mencapai kompetensi dengan baik dalam hal</v>
      </c>
      <c r="S3" s="82">
        <v>83</v>
      </c>
      <c r="T3" s="83" t="str">
        <f t="shared" si="2"/>
        <v>Mencapai kompetensi dengan baik dalam hal</v>
      </c>
      <c r="U3" s="82">
        <v>78</v>
      </c>
      <c r="V3" s="83" t="str">
        <f t="shared" si="3"/>
        <v>Mencapai kompetensi dengan baik dalam hal</v>
      </c>
      <c r="W3" s="82">
        <v>82</v>
      </c>
      <c r="X3" s="83" t="str">
        <f t="shared" si="4"/>
        <v>Mencapai kompetensi dengan baik dalam hal</v>
      </c>
      <c r="Y3" s="82">
        <v>78</v>
      </c>
      <c r="Z3" s="83" t="str">
        <f t="shared" si="5"/>
        <v>Mencapai kompetensi dengan baik dalam hal</v>
      </c>
      <c r="AA3" s="82">
        <v>78</v>
      </c>
      <c r="AB3" s="83" t="str">
        <f t="shared" si="6"/>
        <v>Mencapai kompetensi dengan baik dalam hal</v>
      </c>
      <c r="AC3" s="82">
        <v>78</v>
      </c>
      <c r="AD3" s="83" t="str">
        <f t="shared" si="7"/>
        <v>Mencapai kompetensi dengan baik dalam hal</v>
      </c>
      <c r="AE3" s="82">
        <v>80</v>
      </c>
      <c r="AF3" s="83" t="str">
        <f t="shared" si="8"/>
        <v>Mencapai kompetensi dengan baik dalam hal</v>
      </c>
      <c r="AG3" s="82">
        <v>83</v>
      </c>
      <c r="AH3" s="83" t="str">
        <f t="shared" si="9"/>
        <v>Mencapai kompetensi dengan baik dalam hal</v>
      </c>
      <c r="AI3" s="82">
        <v>83</v>
      </c>
      <c r="AJ3" s="83" t="str">
        <f t="shared" si="10"/>
        <v>Mencapai kompetensi dengan baik dalam hal</v>
      </c>
      <c r="AK3" s="82">
        <v>83</v>
      </c>
      <c r="AL3" s="83" t="str">
        <f t="shared" si="11"/>
        <v>Mencapai kompetensi dengan baik dalam hal</v>
      </c>
      <c r="AM3" s="82">
        <v>83</v>
      </c>
      <c r="AN3" s="83" t="str">
        <f t="shared" si="12"/>
        <v>Mencapai kompetensi dengan baik dalam hal</v>
      </c>
      <c r="AO3" s="75">
        <f t="shared" ref="AO3:AO66" si="18">AVERAGE(AG3,AI3,AK3,AM3)</f>
        <v>83</v>
      </c>
      <c r="AP3" s="82">
        <v>78</v>
      </c>
      <c r="AQ3" s="83" t="str">
        <f t="shared" si="13"/>
        <v>Mencapai kompetensi dengan baik dalam hal</v>
      </c>
      <c r="AR3" s="82">
        <v>77</v>
      </c>
      <c r="AS3" s="83" t="str">
        <f t="shared" si="14"/>
        <v>Mencapai kompetensi dengan baik dalam hal</v>
      </c>
      <c r="AT3" s="86" t="s">
        <v>81</v>
      </c>
      <c r="AU3" s="86" t="s">
        <v>81</v>
      </c>
      <c r="AV3" s="86" t="s">
        <v>81</v>
      </c>
      <c r="AW3" s="82">
        <v>1</v>
      </c>
      <c r="AX3" s="82" t="s">
        <v>82</v>
      </c>
      <c r="AY3" s="83" t="s">
        <v>83</v>
      </c>
      <c r="AZ3" s="82" t="s">
        <v>84</v>
      </c>
      <c r="BA3" s="83" t="str">
        <f t="shared" si="15"/>
        <v>Baik</v>
      </c>
      <c r="BB3" s="82">
        <v>2</v>
      </c>
      <c r="BC3" s="83" t="s">
        <v>236</v>
      </c>
      <c r="BD3" s="83" t="s">
        <v>83</v>
      </c>
      <c r="BE3" s="82" t="s">
        <v>110</v>
      </c>
      <c r="BF3" s="83" t="str">
        <f t="shared" si="16"/>
        <v>Kurang</v>
      </c>
      <c r="BG3" s="82"/>
      <c r="BH3" s="82"/>
      <c r="BI3" s="82"/>
      <c r="BJ3" s="82"/>
      <c r="BK3" s="83"/>
      <c r="BM3" s="78">
        <v>0</v>
      </c>
      <c r="BN3" s="87" t="s">
        <v>95</v>
      </c>
      <c r="BO3" s="79"/>
      <c r="BP3" s="78" t="s">
        <v>86</v>
      </c>
      <c r="BQ3" s="78" t="s">
        <v>96</v>
      </c>
      <c r="BR3" s="80"/>
      <c r="BT3" s="81">
        <f t="shared" si="17"/>
        <v>0</v>
      </c>
    </row>
    <row r="4" spans="1:73" ht="23.25" customHeight="1" thickTop="1" thickBot="1" x14ac:dyDescent="0.3">
      <c r="A4" s="82">
        <v>3</v>
      </c>
      <c r="B4" s="82">
        <v>2525872</v>
      </c>
      <c r="C4" s="82" t="s">
        <v>535</v>
      </c>
      <c r="D4" s="83" t="s">
        <v>536</v>
      </c>
      <c r="E4" s="82" t="s">
        <v>529</v>
      </c>
      <c r="F4" s="82" t="s">
        <v>530</v>
      </c>
      <c r="G4" s="82" t="s">
        <v>531</v>
      </c>
      <c r="H4" s="82" t="s">
        <v>532</v>
      </c>
      <c r="I4" s="84" t="s">
        <v>76</v>
      </c>
      <c r="J4" s="85" t="s">
        <v>77</v>
      </c>
      <c r="K4" s="85" t="s">
        <v>78</v>
      </c>
      <c r="L4" s="85" t="s">
        <v>79</v>
      </c>
      <c r="M4" s="82">
        <v>80</v>
      </c>
      <c r="N4" s="83" t="str">
        <f t="shared" si="0"/>
        <v>Mencapai kompetensi dengan baik dalam hal</v>
      </c>
      <c r="O4" s="82">
        <v>76</v>
      </c>
      <c r="P4" s="83" t="str">
        <f t="shared" si="0"/>
        <v>Mencapai kompetensi dengan baik dalam hal</v>
      </c>
      <c r="Q4" s="82">
        <v>76</v>
      </c>
      <c r="R4" s="83" t="str">
        <f t="shared" si="1"/>
        <v>Mencapai kompetensi dengan baik dalam hal</v>
      </c>
      <c r="S4" s="82">
        <v>83</v>
      </c>
      <c r="T4" s="83" t="str">
        <f t="shared" si="2"/>
        <v>Mencapai kompetensi dengan baik dalam hal</v>
      </c>
      <c r="U4" s="82">
        <v>76</v>
      </c>
      <c r="V4" s="83" t="str">
        <f t="shared" si="3"/>
        <v>Mencapai kompetensi dengan baik dalam hal</v>
      </c>
      <c r="W4" s="82">
        <v>75</v>
      </c>
      <c r="X4" s="83" t="str">
        <f t="shared" si="4"/>
        <v>Mencapai kompetensi dengan baik dalam hal</v>
      </c>
      <c r="Y4" s="82">
        <v>77</v>
      </c>
      <c r="Z4" s="83" t="str">
        <f t="shared" si="5"/>
        <v>Mencapai kompetensi dengan baik dalam hal</v>
      </c>
      <c r="AA4" s="82">
        <v>78</v>
      </c>
      <c r="AB4" s="83" t="str">
        <f t="shared" si="6"/>
        <v>Mencapai kompetensi dengan baik dalam hal</v>
      </c>
      <c r="AC4" s="82">
        <v>72</v>
      </c>
      <c r="AD4" s="83" t="str">
        <f t="shared" si="7"/>
        <v>Perlu peningkatan dalam hal</v>
      </c>
      <c r="AE4" s="82">
        <v>77</v>
      </c>
      <c r="AF4" s="83" t="str">
        <f t="shared" si="8"/>
        <v>Mencapai kompetensi dengan baik dalam hal</v>
      </c>
      <c r="AG4" s="82">
        <v>80</v>
      </c>
      <c r="AH4" s="83" t="str">
        <f t="shared" si="9"/>
        <v>Mencapai kompetensi dengan baik dalam hal</v>
      </c>
      <c r="AI4" s="82">
        <v>80</v>
      </c>
      <c r="AJ4" s="83" t="str">
        <f t="shared" si="10"/>
        <v>Mencapai kompetensi dengan baik dalam hal</v>
      </c>
      <c r="AK4" s="82">
        <v>80</v>
      </c>
      <c r="AL4" s="83" t="str">
        <f t="shared" si="11"/>
        <v>Mencapai kompetensi dengan baik dalam hal</v>
      </c>
      <c r="AM4" s="82">
        <v>80</v>
      </c>
      <c r="AN4" s="83" t="str">
        <f t="shared" si="12"/>
        <v>Mencapai kompetensi dengan baik dalam hal</v>
      </c>
      <c r="AO4" s="75">
        <f t="shared" si="18"/>
        <v>80</v>
      </c>
      <c r="AP4" s="82">
        <v>72</v>
      </c>
      <c r="AQ4" s="83" t="str">
        <f t="shared" si="13"/>
        <v>Perlu peningkatan dalam hal</v>
      </c>
      <c r="AR4" s="82">
        <v>76</v>
      </c>
      <c r="AS4" s="83" t="str">
        <f t="shared" si="14"/>
        <v>Mencapai kompetensi dengan baik dalam hal</v>
      </c>
      <c r="AT4" s="86">
        <v>1</v>
      </c>
      <c r="AU4" s="86" t="s">
        <v>81</v>
      </c>
      <c r="AV4" s="86" t="s">
        <v>81</v>
      </c>
      <c r="AW4" s="82">
        <v>1</v>
      </c>
      <c r="AX4" s="82" t="s">
        <v>82</v>
      </c>
      <c r="AY4" s="83" t="s">
        <v>83</v>
      </c>
      <c r="AZ4" s="82" t="s">
        <v>84</v>
      </c>
      <c r="BA4" s="83" t="str">
        <f t="shared" si="15"/>
        <v>Baik</v>
      </c>
      <c r="BB4" s="82">
        <v>2</v>
      </c>
      <c r="BC4" s="83" t="s">
        <v>103</v>
      </c>
      <c r="BD4" s="83" t="s">
        <v>83</v>
      </c>
      <c r="BE4" s="82" t="s">
        <v>84</v>
      </c>
      <c r="BF4" s="83" t="str">
        <f t="shared" si="16"/>
        <v>Baik</v>
      </c>
      <c r="BG4" s="82"/>
      <c r="BH4" s="82"/>
      <c r="BI4" s="82"/>
      <c r="BJ4" s="82"/>
      <c r="BK4" s="83"/>
      <c r="BM4" s="78">
        <v>60</v>
      </c>
      <c r="BN4" s="87" t="s">
        <v>95</v>
      </c>
      <c r="BO4" s="79"/>
      <c r="BP4" s="78" t="s">
        <v>84</v>
      </c>
      <c r="BQ4" s="78" t="s">
        <v>100</v>
      </c>
      <c r="BR4" s="80"/>
      <c r="BT4" s="81">
        <f t="shared" si="17"/>
        <v>2</v>
      </c>
    </row>
    <row r="5" spans="1:73" ht="23.25" customHeight="1" thickTop="1" thickBot="1" x14ac:dyDescent="0.3">
      <c r="A5" s="82">
        <v>4</v>
      </c>
      <c r="B5" s="82">
        <v>2525873</v>
      </c>
      <c r="C5" s="82" t="s">
        <v>537</v>
      </c>
      <c r="D5" s="83" t="s">
        <v>538</v>
      </c>
      <c r="E5" s="82" t="s">
        <v>529</v>
      </c>
      <c r="F5" s="82" t="s">
        <v>530</v>
      </c>
      <c r="G5" s="82" t="s">
        <v>531</v>
      </c>
      <c r="H5" s="82" t="s">
        <v>532</v>
      </c>
      <c r="I5" s="84" t="s">
        <v>76</v>
      </c>
      <c r="J5" s="85" t="s">
        <v>77</v>
      </c>
      <c r="K5" s="85" t="s">
        <v>78</v>
      </c>
      <c r="L5" s="85" t="s">
        <v>79</v>
      </c>
      <c r="M5" s="82">
        <v>82</v>
      </c>
      <c r="N5" s="83" t="str">
        <f t="shared" si="0"/>
        <v>Mencapai kompetensi dengan baik dalam hal</v>
      </c>
      <c r="O5" s="82">
        <v>77</v>
      </c>
      <c r="P5" s="83" t="str">
        <f t="shared" si="0"/>
        <v>Mencapai kompetensi dengan baik dalam hal</v>
      </c>
      <c r="Q5" s="82">
        <v>80</v>
      </c>
      <c r="R5" s="83" t="str">
        <f t="shared" si="1"/>
        <v>Mencapai kompetensi dengan baik dalam hal</v>
      </c>
      <c r="S5" s="82">
        <v>82</v>
      </c>
      <c r="T5" s="83" t="str">
        <f t="shared" si="2"/>
        <v>Mencapai kompetensi dengan baik dalam hal</v>
      </c>
      <c r="U5" s="82">
        <v>77</v>
      </c>
      <c r="V5" s="83" t="str">
        <f t="shared" si="3"/>
        <v>Mencapai kompetensi dengan baik dalam hal</v>
      </c>
      <c r="W5" s="82">
        <v>78</v>
      </c>
      <c r="X5" s="83" t="str">
        <f t="shared" si="4"/>
        <v>Mencapai kompetensi dengan baik dalam hal</v>
      </c>
      <c r="Y5" s="82">
        <v>77</v>
      </c>
      <c r="Z5" s="83" t="str">
        <f t="shared" si="5"/>
        <v>Mencapai kompetensi dengan baik dalam hal</v>
      </c>
      <c r="AA5" s="82">
        <v>82</v>
      </c>
      <c r="AB5" s="83" t="str">
        <f t="shared" si="6"/>
        <v>Mencapai kompetensi dengan baik dalam hal</v>
      </c>
      <c r="AC5" s="82">
        <v>85</v>
      </c>
      <c r="AD5" s="83" t="str">
        <f t="shared" si="7"/>
        <v>Mencapai kompetensi dengan baik dalam hal</v>
      </c>
      <c r="AE5" s="82">
        <v>77</v>
      </c>
      <c r="AF5" s="83" t="str">
        <f t="shared" si="8"/>
        <v>Mencapai kompetensi dengan baik dalam hal</v>
      </c>
      <c r="AG5" s="82">
        <v>85</v>
      </c>
      <c r="AH5" s="83" t="str">
        <f t="shared" si="9"/>
        <v>Mencapai kompetensi dengan baik dalam hal</v>
      </c>
      <c r="AI5" s="82">
        <v>85</v>
      </c>
      <c r="AJ5" s="83" t="str">
        <f t="shared" si="10"/>
        <v>Mencapai kompetensi dengan baik dalam hal</v>
      </c>
      <c r="AK5" s="82">
        <v>85</v>
      </c>
      <c r="AL5" s="83" t="str">
        <f t="shared" si="11"/>
        <v>Mencapai kompetensi dengan baik dalam hal</v>
      </c>
      <c r="AM5" s="82">
        <v>85</v>
      </c>
      <c r="AN5" s="83" t="str">
        <f t="shared" si="12"/>
        <v>Mencapai kompetensi dengan baik dalam hal</v>
      </c>
      <c r="AO5" s="75">
        <f t="shared" si="18"/>
        <v>85</v>
      </c>
      <c r="AP5" s="82">
        <v>85</v>
      </c>
      <c r="AQ5" s="83" t="str">
        <f t="shared" si="13"/>
        <v>Mencapai kompetensi dengan baik dalam hal</v>
      </c>
      <c r="AR5" s="82">
        <v>80</v>
      </c>
      <c r="AS5" s="83" t="str">
        <f t="shared" si="14"/>
        <v>Mencapai kompetensi dengan baik dalam hal</v>
      </c>
      <c r="AT5" s="86">
        <v>2</v>
      </c>
      <c r="AU5" s="86" t="s">
        <v>81</v>
      </c>
      <c r="AV5" s="86" t="s">
        <v>81</v>
      </c>
      <c r="AW5" s="82">
        <v>1</v>
      </c>
      <c r="AX5" s="82" t="s">
        <v>82</v>
      </c>
      <c r="AY5" s="83" t="s">
        <v>83</v>
      </c>
      <c r="AZ5" s="82" t="s">
        <v>86</v>
      </c>
      <c r="BA5" s="83" t="str">
        <f t="shared" si="15"/>
        <v>Sangat baik</v>
      </c>
      <c r="BB5" s="82">
        <v>2</v>
      </c>
      <c r="BC5" s="83" t="s">
        <v>236</v>
      </c>
      <c r="BD5" s="83" t="s">
        <v>83</v>
      </c>
      <c r="BE5" s="82" t="s">
        <v>84</v>
      </c>
      <c r="BF5" s="83" t="str">
        <f t="shared" si="16"/>
        <v>Baik</v>
      </c>
      <c r="BG5" s="82"/>
      <c r="BH5" s="82"/>
      <c r="BI5" s="82"/>
      <c r="BJ5" s="82"/>
      <c r="BK5" s="83"/>
      <c r="BM5" s="78">
        <v>70</v>
      </c>
      <c r="BN5" s="87" t="s">
        <v>95</v>
      </c>
      <c r="BO5" s="79"/>
      <c r="BP5" s="78" t="s">
        <v>104</v>
      </c>
      <c r="BQ5" s="78" t="s">
        <v>105</v>
      </c>
      <c r="BR5" s="80"/>
      <c r="BT5" s="81">
        <f t="shared" si="17"/>
        <v>0</v>
      </c>
    </row>
    <row r="6" spans="1:73" ht="23.25" customHeight="1" thickTop="1" thickBot="1" x14ac:dyDescent="0.3">
      <c r="A6" s="82">
        <v>5</v>
      </c>
      <c r="B6" s="82">
        <v>2525874</v>
      </c>
      <c r="C6" s="82" t="s">
        <v>539</v>
      </c>
      <c r="D6" s="83" t="s">
        <v>540</v>
      </c>
      <c r="E6" s="82" t="s">
        <v>529</v>
      </c>
      <c r="F6" s="82" t="s">
        <v>530</v>
      </c>
      <c r="G6" s="82" t="s">
        <v>531</v>
      </c>
      <c r="H6" s="82" t="s">
        <v>532</v>
      </c>
      <c r="I6" s="84" t="s">
        <v>76</v>
      </c>
      <c r="J6" s="85" t="s">
        <v>77</v>
      </c>
      <c r="K6" s="85" t="s">
        <v>78</v>
      </c>
      <c r="L6" s="85" t="s">
        <v>79</v>
      </c>
      <c r="M6" s="82">
        <v>80</v>
      </c>
      <c r="N6" s="83" t="str">
        <f t="shared" si="0"/>
        <v>Mencapai kompetensi dengan baik dalam hal</v>
      </c>
      <c r="O6" s="82">
        <v>76</v>
      </c>
      <c r="P6" s="83" t="str">
        <f t="shared" si="0"/>
        <v>Mencapai kompetensi dengan baik dalam hal</v>
      </c>
      <c r="Q6" s="82">
        <v>78</v>
      </c>
      <c r="R6" s="83" t="str">
        <f t="shared" si="1"/>
        <v>Mencapai kompetensi dengan baik dalam hal</v>
      </c>
      <c r="S6" s="82">
        <v>82</v>
      </c>
      <c r="T6" s="83" t="str">
        <f t="shared" si="2"/>
        <v>Mencapai kompetensi dengan baik dalam hal</v>
      </c>
      <c r="U6" s="82">
        <v>75</v>
      </c>
      <c r="V6" s="83" t="str">
        <f t="shared" si="3"/>
        <v>Mencapai kompetensi dengan baik dalam hal</v>
      </c>
      <c r="W6" s="82">
        <v>75</v>
      </c>
      <c r="X6" s="83" t="str">
        <f t="shared" si="4"/>
        <v>Mencapai kompetensi dengan baik dalam hal</v>
      </c>
      <c r="Y6" s="82">
        <v>77</v>
      </c>
      <c r="Z6" s="83" t="str">
        <f t="shared" si="5"/>
        <v>Mencapai kompetensi dengan baik dalam hal</v>
      </c>
      <c r="AA6" s="82">
        <v>78</v>
      </c>
      <c r="AB6" s="83" t="str">
        <f t="shared" si="6"/>
        <v>Mencapai kompetensi dengan baik dalam hal</v>
      </c>
      <c r="AC6" s="82">
        <v>78</v>
      </c>
      <c r="AD6" s="83" t="str">
        <f t="shared" si="7"/>
        <v>Mencapai kompetensi dengan baik dalam hal</v>
      </c>
      <c r="AE6" s="82">
        <v>80</v>
      </c>
      <c r="AF6" s="83" t="str">
        <f t="shared" si="8"/>
        <v>Mencapai kompetensi dengan baik dalam hal</v>
      </c>
      <c r="AG6" s="82">
        <v>81</v>
      </c>
      <c r="AH6" s="83" t="str">
        <f t="shared" si="9"/>
        <v>Mencapai kompetensi dengan baik dalam hal</v>
      </c>
      <c r="AI6" s="82">
        <v>81</v>
      </c>
      <c r="AJ6" s="83" t="str">
        <f t="shared" si="10"/>
        <v>Mencapai kompetensi dengan baik dalam hal</v>
      </c>
      <c r="AK6" s="82">
        <v>81</v>
      </c>
      <c r="AL6" s="83" t="str">
        <f t="shared" si="11"/>
        <v>Mencapai kompetensi dengan baik dalam hal</v>
      </c>
      <c r="AM6" s="82">
        <v>81</v>
      </c>
      <c r="AN6" s="83" t="str">
        <f t="shared" si="12"/>
        <v>Mencapai kompetensi dengan baik dalam hal</v>
      </c>
      <c r="AO6" s="75">
        <f t="shared" si="18"/>
        <v>81</v>
      </c>
      <c r="AP6" s="82">
        <v>78</v>
      </c>
      <c r="AQ6" s="83" t="str">
        <f t="shared" si="13"/>
        <v>Mencapai kompetensi dengan baik dalam hal</v>
      </c>
      <c r="AR6" s="82">
        <v>76</v>
      </c>
      <c r="AS6" s="83" t="str">
        <f t="shared" si="14"/>
        <v>Mencapai kompetensi dengan baik dalam hal</v>
      </c>
      <c r="AT6" s="86">
        <v>1</v>
      </c>
      <c r="AU6" s="86" t="s">
        <v>81</v>
      </c>
      <c r="AV6" s="86" t="s">
        <v>81</v>
      </c>
      <c r="AW6" s="82">
        <v>1</v>
      </c>
      <c r="AX6" s="82" t="s">
        <v>82</v>
      </c>
      <c r="AY6" s="83" t="s">
        <v>83</v>
      </c>
      <c r="AZ6" s="82" t="s">
        <v>84</v>
      </c>
      <c r="BA6" s="83" t="str">
        <f t="shared" si="15"/>
        <v>Baik</v>
      </c>
      <c r="BB6" s="82">
        <v>2</v>
      </c>
      <c r="BC6" s="83" t="s">
        <v>85</v>
      </c>
      <c r="BD6" s="83" t="s">
        <v>83</v>
      </c>
      <c r="BE6" s="82" t="s">
        <v>86</v>
      </c>
      <c r="BF6" s="83" t="str">
        <f t="shared" si="16"/>
        <v>Sangat baik</v>
      </c>
      <c r="BG6" s="82">
        <v>3</v>
      </c>
      <c r="BH6" s="82" t="s">
        <v>87</v>
      </c>
      <c r="BI6" s="82" t="s">
        <v>83</v>
      </c>
      <c r="BJ6" s="82" t="s">
        <v>84</v>
      </c>
      <c r="BK6" s="83" t="str">
        <f>VLOOKUP(BJ6,grades6,2,TRUE)</f>
        <v>Baik</v>
      </c>
      <c r="BM6" s="78">
        <v>75</v>
      </c>
      <c r="BN6" s="87" t="s">
        <v>109</v>
      </c>
      <c r="BO6" s="79"/>
      <c r="BP6" s="78" t="s">
        <v>110</v>
      </c>
      <c r="BQ6" s="78" t="s">
        <v>111</v>
      </c>
      <c r="BR6" s="80"/>
      <c r="BT6" s="81">
        <f t="shared" si="17"/>
        <v>0</v>
      </c>
    </row>
    <row r="7" spans="1:73" ht="23.25" customHeight="1" thickTop="1" thickBot="1" x14ac:dyDescent="0.3">
      <c r="A7" s="82">
        <v>6</v>
      </c>
      <c r="B7" s="82">
        <v>2525875</v>
      </c>
      <c r="C7" s="82" t="s">
        <v>541</v>
      </c>
      <c r="D7" s="83" t="s">
        <v>542</v>
      </c>
      <c r="E7" s="82" t="s">
        <v>529</v>
      </c>
      <c r="F7" s="82" t="s">
        <v>530</v>
      </c>
      <c r="G7" s="82" t="s">
        <v>531</v>
      </c>
      <c r="H7" s="82" t="s">
        <v>532</v>
      </c>
      <c r="I7" s="84" t="s">
        <v>76</v>
      </c>
      <c r="J7" s="85" t="s">
        <v>77</v>
      </c>
      <c r="K7" s="85" t="s">
        <v>78</v>
      </c>
      <c r="L7" s="85" t="s">
        <v>79</v>
      </c>
      <c r="M7" s="82">
        <v>79</v>
      </c>
      <c r="N7" s="83" t="str">
        <f t="shared" si="0"/>
        <v>Mencapai kompetensi dengan baik dalam hal</v>
      </c>
      <c r="O7" s="82">
        <v>75</v>
      </c>
      <c r="P7" s="83" t="str">
        <f t="shared" si="0"/>
        <v>Mencapai kompetensi dengan baik dalam hal</v>
      </c>
      <c r="Q7" s="82">
        <v>76</v>
      </c>
      <c r="R7" s="83" t="str">
        <f t="shared" si="1"/>
        <v>Mencapai kompetensi dengan baik dalam hal</v>
      </c>
      <c r="S7" s="82">
        <v>82</v>
      </c>
      <c r="T7" s="83" t="str">
        <f t="shared" si="2"/>
        <v>Mencapai kompetensi dengan baik dalam hal</v>
      </c>
      <c r="U7" s="82">
        <v>75</v>
      </c>
      <c r="V7" s="83" t="str">
        <f t="shared" si="3"/>
        <v>Mencapai kompetensi dengan baik dalam hal</v>
      </c>
      <c r="W7" s="82">
        <v>75</v>
      </c>
      <c r="X7" s="83" t="str">
        <f t="shared" si="4"/>
        <v>Mencapai kompetensi dengan baik dalam hal</v>
      </c>
      <c r="Y7" s="82">
        <v>78</v>
      </c>
      <c r="Z7" s="83" t="str">
        <f t="shared" si="5"/>
        <v>Mencapai kompetensi dengan baik dalam hal</v>
      </c>
      <c r="AA7" s="82">
        <v>79</v>
      </c>
      <c r="AB7" s="83" t="str">
        <f t="shared" si="6"/>
        <v>Mencapai kompetensi dengan baik dalam hal</v>
      </c>
      <c r="AC7" s="82">
        <v>78</v>
      </c>
      <c r="AD7" s="83" t="str">
        <f t="shared" si="7"/>
        <v>Mencapai kompetensi dengan baik dalam hal</v>
      </c>
      <c r="AE7" s="82">
        <v>80</v>
      </c>
      <c r="AF7" s="83" t="str">
        <f t="shared" si="8"/>
        <v>Mencapai kompetensi dengan baik dalam hal</v>
      </c>
      <c r="AG7" s="82">
        <v>77</v>
      </c>
      <c r="AH7" s="83" t="str">
        <f t="shared" si="9"/>
        <v>Mencapai kompetensi dengan baik dalam hal</v>
      </c>
      <c r="AI7" s="82">
        <v>77</v>
      </c>
      <c r="AJ7" s="83" t="str">
        <f t="shared" si="10"/>
        <v>Mencapai kompetensi dengan baik dalam hal</v>
      </c>
      <c r="AK7" s="82">
        <v>77</v>
      </c>
      <c r="AL7" s="83" t="str">
        <f t="shared" si="11"/>
        <v>Mencapai kompetensi dengan baik dalam hal</v>
      </c>
      <c r="AM7" s="82">
        <v>77</v>
      </c>
      <c r="AN7" s="83" t="str">
        <f t="shared" si="12"/>
        <v>Mencapai kompetensi dengan baik dalam hal</v>
      </c>
      <c r="AO7" s="75">
        <f t="shared" si="18"/>
        <v>77</v>
      </c>
      <c r="AP7" s="82">
        <v>78</v>
      </c>
      <c r="AQ7" s="83" t="str">
        <f t="shared" si="13"/>
        <v>Mencapai kompetensi dengan baik dalam hal</v>
      </c>
      <c r="AR7" s="82">
        <v>75</v>
      </c>
      <c r="AS7" s="83" t="str">
        <f t="shared" si="14"/>
        <v>Mencapai kompetensi dengan baik dalam hal</v>
      </c>
      <c r="AT7" s="86">
        <v>1</v>
      </c>
      <c r="AU7" s="86" t="s">
        <v>81</v>
      </c>
      <c r="AV7" s="86" t="s">
        <v>81</v>
      </c>
      <c r="AW7" s="82">
        <v>1</v>
      </c>
      <c r="AX7" s="82" t="s">
        <v>82</v>
      </c>
      <c r="AY7" s="83" t="s">
        <v>83</v>
      </c>
      <c r="AZ7" s="82" t="s">
        <v>84</v>
      </c>
      <c r="BA7" s="83" t="str">
        <f t="shared" si="15"/>
        <v>Baik</v>
      </c>
      <c r="BB7" s="82">
        <v>2</v>
      </c>
      <c r="BC7" s="83" t="s">
        <v>134</v>
      </c>
      <c r="BD7" s="83" t="s">
        <v>83</v>
      </c>
      <c r="BE7" s="82" t="s">
        <v>104</v>
      </c>
      <c r="BF7" s="83" t="str">
        <f t="shared" si="16"/>
        <v>Cukup</v>
      </c>
      <c r="BG7" s="82"/>
      <c r="BH7" s="82"/>
      <c r="BI7" s="82"/>
      <c r="BJ7" s="82"/>
      <c r="BK7" s="83"/>
      <c r="BM7" s="78">
        <v>80</v>
      </c>
      <c r="BN7" s="87" t="s">
        <v>109</v>
      </c>
      <c r="BO7" s="79"/>
      <c r="BP7" s="78"/>
      <c r="BQ7" s="78"/>
      <c r="BR7" s="80"/>
      <c r="BT7" s="81">
        <f t="shared" si="17"/>
        <v>0</v>
      </c>
    </row>
    <row r="8" spans="1:73" ht="23.25" customHeight="1" thickTop="1" thickBot="1" x14ac:dyDescent="0.3">
      <c r="A8" s="82">
        <v>7</v>
      </c>
      <c r="B8" s="82">
        <v>2525876</v>
      </c>
      <c r="C8" s="82" t="s">
        <v>543</v>
      </c>
      <c r="D8" s="83" t="s">
        <v>544</v>
      </c>
      <c r="E8" s="82" t="s">
        <v>529</v>
      </c>
      <c r="F8" s="82" t="s">
        <v>530</v>
      </c>
      <c r="G8" s="82" t="s">
        <v>531</v>
      </c>
      <c r="H8" s="82" t="s">
        <v>532</v>
      </c>
      <c r="I8" s="84" t="s">
        <v>76</v>
      </c>
      <c r="J8" s="85" t="s">
        <v>77</v>
      </c>
      <c r="K8" s="85" t="s">
        <v>78</v>
      </c>
      <c r="L8" s="85" t="s">
        <v>79</v>
      </c>
      <c r="M8" s="82">
        <v>80</v>
      </c>
      <c r="N8" s="83" t="str">
        <f t="shared" si="0"/>
        <v>Mencapai kompetensi dengan baik dalam hal</v>
      </c>
      <c r="O8" s="82">
        <v>80</v>
      </c>
      <c r="P8" s="83" t="str">
        <f t="shared" si="0"/>
        <v>Mencapai kompetensi dengan baik dalam hal</v>
      </c>
      <c r="Q8" s="82">
        <v>78</v>
      </c>
      <c r="R8" s="83" t="str">
        <f t="shared" si="1"/>
        <v>Mencapai kompetensi dengan baik dalam hal</v>
      </c>
      <c r="S8" s="82">
        <v>84</v>
      </c>
      <c r="T8" s="83" t="str">
        <f t="shared" si="2"/>
        <v>Mencapai kompetensi dengan baik dalam hal</v>
      </c>
      <c r="U8" s="82">
        <v>88</v>
      </c>
      <c r="V8" s="83" t="str">
        <f t="shared" si="3"/>
        <v>Mencapai kompetensi dengan baik dalam hal</v>
      </c>
      <c r="W8" s="82">
        <v>81</v>
      </c>
      <c r="X8" s="83" t="str">
        <f t="shared" si="4"/>
        <v>Mencapai kompetensi dengan baik dalam hal</v>
      </c>
      <c r="Y8" s="82">
        <v>78</v>
      </c>
      <c r="Z8" s="83" t="str">
        <f t="shared" si="5"/>
        <v>Mencapai kompetensi dengan baik dalam hal</v>
      </c>
      <c r="AA8" s="82">
        <v>82</v>
      </c>
      <c r="AB8" s="83" t="str">
        <f t="shared" si="6"/>
        <v>Mencapai kompetensi dengan baik dalam hal</v>
      </c>
      <c r="AC8" s="82">
        <v>79</v>
      </c>
      <c r="AD8" s="83" t="str">
        <f t="shared" si="7"/>
        <v>Mencapai kompetensi dengan baik dalam hal</v>
      </c>
      <c r="AE8" s="82">
        <v>80</v>
      </c>
      <c r="AF8" s="83" t="str">
        <f t="shared" si="8"/>
        <v>Mencapai kompetensi dengan baik dalam hal</v>
      </c>
      <c r="AG8" s="82">
        <v>81</v>
      </c>
      <c r="AH8" s="83" t="str">
        <f t="shared" si="9"/>
        <v>Mencapai kompetensi dengan baik dalam hal</v>
      </c>
      <c r="AI8" s="82">
        <v>81</v>
      </c>
      <c r="AJ8" s="83" t="str">
        <f t="shared" si="10"/>
        <v>Mencapai kompetensi dengan baik dalam hal</v>
      </c>
      <c r="AK8" s="82">
        <v>81</v>
      </c>
      <c r="AL8" s="83" t="str">
        <f t="shared" si="11"/>
        <v>Mencapai kompetensi dengan baik dalam hal</v>
      </c>
      <c r="AM8" s="82">
        <v>81</v>
      </c>
      <c r="AN8" s="83" t="str">
        <f t="shared" si="12"/>
        <v>Mencapai kompetensi dengan baik dalam hal</v>
      </c>
      <c r="AO8" s="75">
        <f t="shared" si="18"/>
        <v>81</v>
      </c>
      <c r="AP8" s="82">
        <v>79</v>
      </c>
      <c r="AQ8" s="83" t="str">
        <f t="shared" si="13"/>
        <v>Mencapai kompetensi dengan baik dalam hal</v>
      </c>
      <c r="AR8" s="82">
        <v>78</v>
      </c>
      <c r="AS8" s="83" t="str">
        <f t="shared" si="14"/>
        <v>Mencapai kompetensi dengan baik dalam hal</v>
      </c>
      <c r="AT8" s="86">
        <v>1</v>
      </c>
      <c r="AU8" s="86" t="s">
        <v>81</v>
      </c>
      <c r="AV8" s="86" t="s">
        <v>81</v>
      </c>
      <c r="AW8" s="82">
        <v>1</v>
      </c>
      <c r="AX8" s="82" t="s">
        <v>82</v>
      </c>
      <c r="AY8" s="83" t="s">
        <v>83</v>
      </c>
      <c r="AZ8" s="82" t="s">
        <v>84</v>
      </c>
      <c r="BA8" s="83" t="str">
        <f t="shared" si="15"/>
        <v>Baik</v>
      </c>
      <c r="BB8" s="82">
        <v>2</v>
      </c>
      <c r="BC8" s="83" t="s">
        <v>212</v>
      </c>
      <c r="BD8" s="83" t="s">
        <v>83</v>
      </c>
      <c r="BE8" s="82" t="s">
        <v>86</v>
      </c>
      <c r="BF8" s="83" t="str">
        <f t="shared" si="16"/>
        <v>Sangat baik</v>
      </c>
      <c r="BG8" s="82"/>
      <c r="BH8" s="82"/>
      <c r="BI8" s="82"/>
      <c r="BJ8" s="82"/>
      <c r="BK8" s="83"/>
      <c r="BM8" s="78">
        <v>85</v>
      </c>
      <c r="BN8" s="87" t="s">
        <v>109</v>
      </c>
      <c r="BO8" s="79"/>
      <c r="BP8" s="80"/>
      <c r="BQ8" s="80"/>
      <c r="BR8" s="80"/>
      <c r="BT8" s="81">
        <f t="shared" si="17"/>
        <v>0</v>
      </c>
    </row>
    <row r="9" spans="1:73" ht="23.25" customHeight="1" thickTop="1" thickBot="1" x14ac:dyDescent="0.3">
      <c r="A9" s="82">
        <v>8</v>
      </c>
      <c r="B9" s="82">
        <v>2525877</v>
      </c>
      <c r="C9" s="82" t="s">
        <v>545</v>
      </c>
      <c r="D9" s="83" t="s">
        <v>546</v>
      </c>
      <c r="E9" s="82" t="s">
        <v>529</v>
      </c>
      <c r="F9" s="82" t="s">
        <v>530</v>
      </c>
      <c r="G9" s="82" t="s">
        <v>531</v>
      </c>
      <c r="H9" s="82" t="s">
        <v>532</v>
      </c>
      <c r="I9" s="84" t="s">
        <v>76</v>
      </c>
      <c r="J9" s="85" t="s">
        <v>77</v>
      </c>
      <c r="K9" s="85" t="s">
        <v>78</v>
      </c>
      <c r="L9" s="85" t="s">
        <v>79</v>
      </c>
      <c r="M9" s="82">
        <v>83</v>
      </c>
      <c r="N9" s="83" t="str">
        <f t="shared" si="0"/>
        <v>Mencapai kompetensi dengan baik dalam hal</v>
      </c>
      <c r="O9" s="82">
        <v>77</v>
      </c>
      <c r="P9" s="83" t="str">
        <f t="shared" si="0"/>
        <v>Mencapai kompetensi dengan baik dalam hal</v>
      </c>
      <c r="Q9" s="82">
        <v>78</v>
      </c>
      <c r="R9" s="83" t="str">
        <f t="shared" si="1"/>
        <v>Mencapai kompetensi dengan baik dalam hal</v>
      </c>
      <c r="S9" s="82">
        <v>80</v>
      </c>
      <c r="T9" s="83" t="str">
        <f t="shared" si="2"/>
        <v>Mencapai kompetensi dengan baik dalam hal</v>
      </c>
      <c r="U9" s="82">
        <v>87</v>
      </c>
      <c r="V9" s="83" t="str">
        <f t="shared" si="3"/>
        <v>Mencapai kompetensi dengan baik dalam hal</v>
      </c>
      <c r="W9" s="82">
        <v>82</v>
      </c>
      <c r="X9" s="83" t="str">
        <f t="shared" si="4"/>
        <v>Mencapai kompetensi dengan baik dalam hal</v>
      </c>
      <c r="Y9" s="82">
        <v>80</v>
      </c>
      <c r="Z9" s="83" t="str">
        <f t="shared" si="5"/>
        <v>Mencapai kompetensi dengan baik dalam hal</v>
      </c>
      <c r="AA9" s="82">
        <v>82</v>
      </c>
      <c r="AB9" s="83" t="str">
        <f t="shared" si="6"/>
        <v>Mencapai kompetensi dengan baik dalam hal</v>
      </c>
      <c r="AC9" s="82">
        <v>82</v>
      </c>
      <c r="AD9" s="83" t="str">
        <f t="shared" si="7"/>
        <v>Mencapai kompetensi dengan baik dalam hal</v>
      </c>
      <c r="AE9" s="82">
        <v>79</v>
      </c>
      <c r="AF9" s="83" t="str">
        <f t="shared" si="8"/>
        <v>Mencapai kompetensi dengan baik dalam hal</v>
      </c>
      <c r="AG9" s="82">
        <v>83</v>
      </c>
      <c r="AH9" s="83" t="str">
        <f t="shared" si="9"/>
        <v>Mencapai kompetensi dengan baik dalam hal</v>
      </c>
      <c r="AI9" s="82">
        <v>83</v>
      </c>
      <c r="AJ9" s="83" t="str">
        <f t="shared" si="10"/>
        <v>Mencapai kompetensi dengan baik dalam hal</v>
      </c>
      <c r="AK9" s="82">
        <v>83</v>
      </c>
      <c r="AL9" s="83" t="str">
        <f t="shared" si="11"/>
        <v>Mencapai kompetensi dengan baik dalam hal</v>
      </c>
      <c r="AM9" s="82">
        <v>83</v>
      </c>
      <c r="AN9" s="83" t="str">
        <f t="shared" si="12"/>
        <v>Mencapai kompetensi dengan baik dalam hal</v>
      </c>
      <c r="AO9" s="75">
        <f t="shared" si="18"/>
        <v>83</v>
      </c>
      <c r="AP9" s="82">
        <v>82</v>
      </c>
      <c r="AQ9" s="83" t="str">
        <f t="shared" si="13"/>
        <v>Mencapai kompetensi dengan baik dalam hal</v>
      </c>
      <c r="AR9" s="82">
        <v>82</v>
      </c>
      <c r="AS9" s="83" t="str">
        <f t="shared" si="14"/>
        <v>Mencapai kompetensi dengan baik dalam hal</v>
      </c>
      <c r="AT9" s="86" t="s">
        <v>81</v>
      </c>
      <c r="AU9" s="86" t="s">
        <v>81</v>
      </c>
      <c r="AV9" s="86" t="s">
        <v>81</v>
      </c>
      <c r="AW9" s="82">
        <v>1</v>
      </c>
      <c r="AX9" s="82" t="s">
        <v>82</v>
      </c>
      <c r="AY9" s="83" t="s">
        <v>83</v>
      </c>
      <c r="AZ9" s="82" t="s">
        <v>86</v>
      </c>
      <c r="BA9" s="83" t="str">
        <f t="shared" si="15"/>
        <v>Sangat baik</v>
      </c>
      <c r="BB9" s="82">
        <v>2</v>
      </c>
      <c r="BC9" s="83" t="s">
        <v>212</v>
      </c>
      <c r="BD9" s="83" t="s">
        <v>83</v>
      </c>
      <c r="BE9" s="82" t="s">
        <v>86</v>
      </c>
      <c r="BF9" s="83" t="str">
        <f t="shared" si="16"/>
        <v>Sangat baik</v>
      </c>
      <c r="BG9" s="82"/>
      <c r="BH9" s="82"/>
      <c r="BI9" s="82"/>
      <c r="BJ9" s="82"/>
      <c r="BK9" s="83"/>
      <c r="BM9" s="78">
        <v>90</v>
      </c>
      <c r="BN9" s="87" t="s">
        <v>120</v>
      </c>
      <c r="BO9" s="79"/>
      <c r="BP9" s="80"/>
      <c r="BQ9" s="80"/>
      <c r="BR9" s="80"/>
      <c r="BT9" s="81">
        <f t="shared" si="17"/>
        <v>0</v>
      </c>
    </row>
    <row r="10" spans="1:73" ht="23.25" customHeight="1" thickTop="1" thickBot="1" x14ac:dyDescent="0.3">
      <c r="A10" s="82">
        <v>9</v>
      </c>
      <c r="B10" s="82">
        <v>2525878</v>
      </c>
      <c r="C10" s="82" t="s">
        <v>547</v>
      </c>
      <c r="D10" s="83" t="s">
        <v>548</v>
      </c>
      <c r="E10" s="82" t="s">
        <v>529</v>
      </c>
      <c r="F10" s="82" t="s">
        <v>530</v>
      </c>
      <c r="G10" s="82" t="s">
        <v>531</v>
      </c>
      <c r="H10" s="82" t="s">
        <v>532</v>
      </c>
      <c r="I10" s="84" t="s">
        <v>76</v>
      </c>
      <c r="J10" s="85" t="s">
        <v>77</v>
      </c>
      <c r="K10" s="85" t="s">
        <v>78</v>
      </c>
      <c r="L10" s="85" t="s">
        <v>79</v>
      </c>
      <c r="M10" s="82">
        <v>82</v>
      </c>
      <c r="N10" s="83" t="str">
        <f t="shared" si="0"/>
        <v>Mencapai kompetensi dengan baik dalam hal</v>
      </c>
      <c r="O10" s="82">
        <v>75</v>
      </c>
      <c r="P10" s="83" t="str">
        <f t="shared" si="0"/>
        <v>Mencapai kompetensi dengan baik dalam hal</v>
      </c>
      <c r="Q10" s="82">
        <v>77</v>
      </c>
      <c r="R10" s="83" t="str">
        <f t="shared" si="1"/>
        <v>Mencapai kompetensi dengan baik dalam hal</v>
      </c>
      <c r="S10" s="82">
        <v>82</v>
      </c>
      <c r="T10" s="83" t="str">
        <f t="shared" si="2"/>
        <v>Mencapai kompetensi dengan baik dalam hal</v>
      </c>
      <c r="U10" s="82">
        <v>76</v>
      </c>
      <c r="V10" s="83" t="str">
        <f t="shared" si="3"/>
        <v>Mencapai kompetensi dengan baik dalam hal</v>
      </c>
      <c r="W10" s="82">
        <v>75</v>
      </c>
      <c r="X10" s="83" t="str">
        <f t="shared" si="4"/>
        <v>Mencapai kompetensi dengan baik dalam hal</v>
      </c>
      <c r="Y10" s="82">
        <v>80</v>
      </c>
      <c r="Z10" s="83" t="str">
        <f t="shared" si="5"/>
        <v>Mencapai kompetensi dengan baik dalam hal</v>
      </c>
      <c r="AA10" s="82">
        <v>82</v>
      </c>
      <c r="AB10" s="83" t="str">
        <f t="shared" si="6"/>
        <v>Mencapai kompetensi dengan baik dalam hal</v>
      </c>
      <c r="AC10" s="82">
        <v>77</v>
      </c>
      <c r="AD10" s="83" t="str">
        <f t="shared" si="7"/>
        <v>Mencapai kompetensi dengan baik dalam hal</v>
      </c>
      <c r="AE10" s="82">
        <v>80</v>
      </c>
      <c r="AF10" s="83" t="str">
        <f t="shared" si="8"/>
        <v>Mencapai kompetensi dengan baik dalam hal</v>
      </c>
      <c r="AG10" s="82">
        <v>80</v>
      </c>
      <c r="AH10" s="83" t="str">
        <f t="shared" si="9"/>
        <v>Mencapai kompetensi dengan baik dalam hal</v>
      </c>
      <c r="AI10" s="82">
        <v>80</v>
      </c>
      <c r="AJ10" s="83" t="str">
        <f t="shared" si="10"/>
        <v>Mencapai kompetensi dengan baik dalam hal</v>
      </c>
      <c r="AK10" s="82">
        <v>80</v>
      </c>
      <c r="AL10" s="83" t="str">
        <f t="shared" si="11"/>
        <v>Mencapai kompetensi dengan baik dalam hal</v>
      </c>
      <c r="AM10" s="82">
        <v>80</v>
      </c>
      <c r="AN10" s="83" t="str">
        <f t="shared" si="12"/>
        <v>Mencapai kompetensi dengan baik dalam hal</v>
      </c>
      <c r="AO10" s="75">
        <f t="shared" si="18"/>
        <v>80</v>
      </c>
      <c r="AP10" s="82">
        <v>77</v>
      </c>
      <c r="AQ10" s="83" t="str">
        <f t="shared" si="13"/>
        <v>Mencapai kompetensi dengan baik dalam hal</v>
      </c>
      <c r="AR10" s="82">
        <v>75</v>
      </c>
      <c r="AS10" s="83" t="str">
        <f t="shared" si="14"/>
        <v>Mencapai kompetensi dengan baik dalam hal</v>
      </c>
      <c r="AT10" s="86">
        <v>2</v>
      </c>
      <c r="AU10" s="86" t="s">
        <v>81</v>
      </c>
      <c r="AV10" s="86" t="s">
        <v>81</v>
      </c>
      <c r="AW10" s="82">
        <v>1</v>
      </c>
      <c r="AX10" s="82" t="s">
        <v>82</v>
      </c>
      <c r="AY10" s="83" t="s">
        <v>83</v>
      </c>
      <c r="AZ10" s="82" t="s">
        <v>84</v>
      </c>
      <c r="BA10" s="83" t="str">
        <f t="shared" si="15"/>
        <v>Baik</v>
      </c>
      <c r="BB10" s="82">
        <v>2</v>
      </c>
      <c r="BC10" s="83" t="s">
        <v>134</v>
      </c>
      <c r="BD10" s="83" t="s">
        <v>83</v>
      </c>
      <c r="BE10" s="82" t="s">
        <v>84</v>
      </c>
      <c r="BF10" s="83" t="str">
        <f t="shared" si="16"/>
        <v>Baik</v>
      </c>
      <c r="BG10" s="82"/>
      <c r="BH10" s="82"/>
      <c r="BI10" s="82"/>
      <c r="BJ10" s="82"/>
      <c r="BK10" s="83"/>
      <c r="BM10" s="78">
        <v>95</v>
      </c>
      <c r="BN10" s="87" t="s">
        <v>120</v>
      </c>
      <c r="BO10" s="79"/>
      <c r="BP10" s="80"/>
      <c r="BQ10" s="80"/>
      <c r="BR10" s="80"/>
      <c r="BT10" s="81">
        <f t="shared" si="17"/>
        <v>0</v>
      </c>
    </row>
    <row r="11" spans="1:73" ht="23.25" customHeight="1" thickTop="1" thickBot="1" x14ac:dyDescent="0.3">
      <c r="A11" s="82">
        <v>10</v>
      </c>
      <c r="B11" s="82">
        <v>2525879</v>
      </c>
      <c r="C11" s="82" t="s">
        <v>549</v>
      </c>
      <c r="D11" s="83" t="s">
        <v>550</v>
      </c>
      <c r="E11" s="82" t="s">
        <v>529</v>
      </c>
      <c r="F11" s="82" t="s">
        <v>530</v>
      </c>
      <c r="G11" s="82" t="s">
        <v>531</v>
      </c>
      <c r="H11" s="82" t="s">
        <v>532</v>
      </c>
      <c r="I11" s="84" t="s">
        <v>76</v>
      </c>
      <c r="J11" s="85" t="s">
        <v>77</v>
      </c>
      <c r="K11" s="85" t="s">
        <v>78</v>
      </c>
      <c r="L11" s="85" t="s">
        <v>79</v>
      </c>
      <c r="M11" s="82">
        <v>76</v>
      </c>
      <c r="N11" s="83" t="str">
        <f t="shared" si="0"/>
        <v>Mencapai kompetensi dengan baik dalam hal</v>
      </c>
      <c r="O11" s="82">
        <v>76</v>
      </c>
      <c r="P11" s="83" t="str">
        <f t="shared" si="0"/>
        <v>Mencapai kompetensi dengan baik dalam hal</v>
      </c>
      <c r="Q11" s="82">
        <v>75</v>
      </c>
      <c r="R11" s="83" t="str">
        <f t="shared" si="1"/>
        <v>Mencapai kompetensi dengan baik dalam hal</v>
      </c>
      <c r="S11" s="82">
        <v>80</v>
      </c>
      <c r="T11" s="83" t="str">
        <f t="shared" si="2"/>
        <v>Mencapai kompetensi dengan baik dalam hal</v>
      </c>
      <c r="U11" s="82">
        <v>75</v>
      </c>
      <c r="V11" s="83" t="str">
        <f t="shared" si="3"/>
        <v>Mencapai kompetensi dengan baik dalam hal</v>
      </c>
      <c r="W11" s="82">
        <v>75</v>
      </c>
      <c r="X11" s="83" t="str">
        <f t="shared" si="4"/>
        <v>Mencapai kompetensi dengan baik dalam hal</v>
      </c>
      <c r="Y11" s="82">
        <v>77</v>
      </c>
      <c r="Z11" s="83" t="str">
        <f t="shared" si="5"/>
        <v>Mencapai kompetensi dengan baik dalam hal</v>
      </c>
      <c r="AA11" s="82">
        <v>76</v>
      </c>
      <c r="AB11" s="83" t="str">
        <f t="shared" si="6"/>
        <v>Mencapai kompetensi dengan baik dalam hal</v>
      </c>
      <c r="AC11" s="82">
        <v>72</v>
      </c>
      <c r="AD11" s="83" t="str">
        <f t="shared" si="7"/>
        <v>Perlu peningkatan dalam hal</v>
      </c>
      <c r="AE11" s="82">
        <v>76</v>
      </c>
      <c r="AF11" s="83" t="str">
        <f t="shared" si="8"/>
        <v>Mencapai kompetensi dengan baik dalam hal</v>
      </c>
      <c r="AG11" s="82">
        <v>76</v>
      </c>
      <c r="AH11" s="83" t="str">
        <f t="shared" si="9"/>
        <v>Mencapai kompetensi dengan baik dalam hal</v>
      </c>
      <c r="AI11" s="82">
        <v>76</v>
      </c>
      <c r="AJ11" s="83" t="str">
        <f t="shared" si="10"/>
        <v>Mencapai kompetensi dengan baik dalam hal</v>
      </c>
      <c r="AK11" s="82">
        <v>76</v>
      </c>
      <c r="AL11" s="83" t="str">
        <f t="shared" si="11"/>
        <v>Mencapai kompetensi dengan baik dalam hal</v>
      </c>
      <c r="AM11" s="82">
        <v>76</v>
      </c>
      <c r="AN11" s="83" t="str">
        <f t="shared" si="12"/>
        <v>Mencapai kompetensi dengan baik dalam hal</v>
      </c>
      <c r="AO11" s="75">
        <f t="shared" si="18"/>
        <v>76</v>
      </c>
      <c r="AP11" s="82">
        <v>72</v>
      </c>
      <c r="AQ11" s="83" t="str">
        <f t="shared" si="13"/>
        <v>Perlu peningkatan dalam hal</v>
      </c>
      <c r="AR11" s="82">
        <v>75</v>
      </c>
      <c r="AS11" s="83" t="str">
        <f t="shared" si="14"/>
        <v>Mencapai kompetensi dengan baik dalam hal</v>
      </c>
      <c r="AT11" s="86">
        <v>1</v>
      </c>
      <c r="AU11" s="86" t="s">
        <v>81</v>
      </c>
      <c r="AV11" s="86" t="s">
        <v>81</v>
      </c>
      <c r="AW11" s="82">
        <v>1</v>
      </c>
      <c r="AX11" s="82" t="s">
        <v>82</v>
      </c>
      <c r="AY11" s="83" t="s">
        <v>83</v>
      </c>
      <c r="AZ11" s="82" t="s">
        <v>110</v>
      </c>
      <c r="BA11" s="83" t="str">
        <f t="shared" si="15"/>
        <v>Kurang</v>
      </c>
      <c r="BB11" s="82">
        <v>2</v>
      </c>
      <c r="BC11" s="83" t="s">
        <v>108</v>
      </c>
      <c r="BD11" s="83" t="s">
        <v>83</v>
      </c>
      <c r="BE11" s="82" t="s">
        <v>86</v>
      </c>
      <c r="BF11" s="83" t="str">
        <f t="shared" si="16"/>
        <v>Sangat baik</v>
      </c>
      <c r="BG11" s="82"/>
      <c r="BH11" s="82"/>
      <c r="BI11" s="82"/>
      <c r="BJ11" s="82"/>
      <c r="BK11" s="83"/>
      <c r="BM11" s="78">
        <v>100</v>
      </c>
      <c r="BN11" s="87" t="s">
        <v>120</v>
      </c>
      <c r="BO11" s="79"/>
      <c r="BP11" s="80"/>
      <c r="BQ11" s="80"/>
      <c r="BR11" s="80"/>
      <c r="BT11" s="81">
        <f t="shared" si="17"/>
        <v>2</v>
      </c>
    </row>
    <row r="12" spans="1:73" ht="23.25" customHeight="1" thickTop="1" x14ac:dyDescent="0.25">
      <c r="A12" s="82">
        <v>11</v>
      </c>
      <c r="B12" s="82">
        <v>2525880</v>
      </c>
      <c r="C12" s="82" t="s">
        <v>551</v>
      </c>
      <c r="D12" s="83" t="s">
        <v>552</v>
      </c>
      <c r="E12" s="82" t="s">
        <v>529</v>
      </c>
      <c r="F12" s="82" t="s">
        <v>530</v>
      </c>
      <c r="G12" s="82" t="s">
        <v>531</v>
      </c>
      <c r="H12" s="82" t="s">
        <v>532</v>
      </c>
      <c r="I12" s="84" t="s">
        <v>76</v>
      </c>
      <c r="J12" s="85" t="s">
        <v>77</v>
      </c>
      <c r="K12" s="85" t="s">
        <v>78</v>
      </c>
      <c r="L12" s="85" t="s">
        <v>79</v>
      </c>
      <c r="M12" s="82">
        <v>79</v>
      </c>
      <c r="N12" s="83" t="str">
        <f t="shared" si="0"/>
        <v>Mencapai kompetensi dengan baik dalam hal</v>
      </c>
      <c r="O12" s="82">
        <v>75</v>
      </c>
      <c r="P12" s="83" t="str">
        <f t="shared" si="0"/>
        <v>Mencapai kompetensi dengan baik dalam hal</v>
      </c>
      <c r="Q12" s="82">
        <v>75</v>
      </c>
      <c r="R12" s="83" t="str">
        <f t="shared" si="1"/>
        <v>Mencapai kompetensi dengan baik dalam hal</v>
      </c>
      <c r="S12" s="82">
        <v>80</v>
      </c>
      <c r="T12" s="83" t="str">
        <f t="shared" si="2"/>
        <v>Mencapai kompetensi dengan baik dalam hal</v>
      </c>
      <c r="U12" s="82">
        <v>76</v>
      </c>
      <c r="V12" s="83" t="str">
        <f t="shared" si="3"/>
        <v>Mencapai kompetensi dengan baik dalam hal</v>
      </c>
      <c r="W12" s="82">
        <v>75</v>
      </c>
      <c r="X12" s="83" t="str">
        <f t="shared" si="4"/>
        <v>Mencapai kompetensi dengan baik dalam hal</v>
      </c>
      <c r="Y12" s="82">
        <v>79</v>
      </c>
      <c r="Z12" s="83" t="str">
        <f t="shared" si="5"/>
        <v>Mencapai kompetensi dengan baik dalam hal</v>
      </c>
      <c r="AA12" s="82">
        <v>78</v>
      </c>
      <c r="AB12" s="83" t="str">
        <f t="shared" si="6"/>
        <v>Mencapai kompetensi dengan baik dalam hal</v>
      </c>
      <c r="AC12" s="82">
        <v>78</v>
      </c>
      <c r="AD12" s="83" t="str">
        <f t="shared" si="7"/>
        <v>Mencapai kompetensi dengan baik dalam hal</v>
      </c>
      <c r="AE12" s="82">
        <v>80</v>
      </c>
      <c r="AF12" s="83" t="str">
        <f t="shared" si="8"/>
        <v>Mencapai kompetensi dengan baik dalam hal</v>
      </c>
      <c r="AG12" s="82">
        <v>80</v>
      </c>
      <c r="AH12" s="83" t="str">
        <f t="shared" si="9"/>
        <v>Mencapai kompetensi dengan baik dalam hal</v>
      </c>
      <c r="AI12" s="82">
        <v>80</v>
      </c>
      <c r="AJ12" s="83" t="str">
        <f t="shared" si="10"/>
        <v>Mencapai kompetensi dengan baik dalam hal</v>
      </c>
      <c r="AK12" s="82">
        <v>80</v>
      </c>
      <c r="AL12" s="83" t="str">
        <f t="shared" si="11"/>
        <v>Mencapai kompetensi dengan baik dalam hal</v>
      </c>
      <c r="AM12" s="82">
        <v>80</v>
      </c>
      <c r="AN12" s="83" t="str">
        <f t="shared" si="12"/>
        <v>Mencapai kompetensi dengan baik dalam hal</v>
      </c>
      <c r="AO12" s="75">
        <f t="shared" si="18"/>
        <v>80</v>
      </c>
      <c r="AP12" s="82">
        <v>78</v>
      </c>
      <c r="AQ12" s="83" t="str">
        <f t="shared" si="13"/>
        <v>Mencapai kompetensi dengan baik dalam hal</v>
      </c>
      <c r="AR12" s="82">
        <v>76</v>
      </c>
      <c r="AS12" s="83" t="str">
        <f t="shared" si="14"/>
        <v>Mencapai kompetensi dengan baik dalam hal</v>
      </c>
      <c r="AT12" s="86">
        <v>1</v>
      </c>
      <c r="AU12" s="86" t="s">
        <v>81</v>
      </c>
      <c r="AV12" s="86" t="s">
        <v>81</v>
      </c>
      <c r="AW12" s="82">
        <v>1</v>
      </c>
      <c r="AX12" s="82" t="s">
        <v>82</v>
      </c>
      <c r="AY12" s="83" t="s">
        <v>83</v>
      </c>
      <c r="AZ12" s="82" t="s">
        <v>84</v>
      </c>
      <c r="BA12" s="83" t="str">
        <f t="shared" si="15"/>
        <v>Baik</v>
      </c>
      <c r="BB12" s="82">
        <v>2</v>
      </c>
      <c r="BC12" s="83" t="s">
        <v>108</v>
      </c>
      <c r="BD12" s="83" t="s">
        <v>83</v>
      </c>
      <c r="BE12" s="82" t="s">
        <v>86</v>
      </c>
      <c r="BF12" s="83" t="str">
        <f t="shared" si="16"/>
        <v>Sangat baik</v>
      </c>
      <c r="BG12" s="82"/>
      <c r="BH12" s="82"/>
      <c r="BI12" s="82"/>
      <c r="BJ12" s="82"/>
      <c r="BK12" s="83"/>
      <c r="BM12" s="80"/>
      <c r="BN12" s="80"/>
      <c r="BO12" s="79"/>
      <c r="BP12" s="80"/>
      <c r="BQ12" s="80"/>
      <c r="BR12" s="80"/>
      <c r="BT12" s="81">
        <f t="shared" si="17"/>
        <v>0</v>
      </c>
    </row>
    <row r="13" spans="1:73" ht="23.25" customHeight="1" x14ac:dyDescent="0.25">
      <c r="A13" s="82">
        <v>12</v>
      </c>
      <c r="B13" s="82">
        <v>2525881</v>
      </c>
      <c r="C13" s="82" t="s">
        <v>553</v>
      </c>
      <c r="D13" s="83" t="s">
        <v>554</v>
      </c>
      <c r="E13" s="82" t="s">
        <v>529</v>
      </c>
      <c r="F13" s="82" t="s">
        <v>530</v>
      </c>
      <c r="G13" s="82" t="s">
        <v>531</v>
      </c>
      <c r="H13" s="82" t="s">
        <v>532</v>
      </c>
      <c r="I13" s="84" t="s">
        <v>76</v>
      </c>
      <c r="J13" s="85" t="s">
        <v>77</v>
      </c>
      <c r="K13" s="85" t="s">
        <v>78</v>
      </c>
      <c r="L13" s="85" t="s">
        <v>79</v>
      </c>
      <c r="M13" s="82">
        <v>78</v>
      </c>
      <c r="N13" s="83" t="str">
        <f t="shared" si="0"/>
        <v>Mencapai kompetensi dengan baik dalam hal</v>
      </c>
      <c r="O13" s="82">
        <v>75</v>
      </c>
      <c r="P13" s="83" t="str">
        <f t="shared" si="0"/>
        <v>Mencapai kompetensi dengan baik dalam hal</v>
      </c>
      <c r="Q13" s="82">
        <v>75</v>
      </c>
      <c r="R13" s="83" t="str">
        <f t="shared" si="1"/>
        <v>Mencapai kompetensi dengan baik dalam hal</v>
      </c>
      <c r="S13" s="82">
        <v>80</v>
      </c>
      <c r="T13" s="83" t="str">
        <f t="shared" si="2"/>
        <v>Mencapai kompetensi dengan baik dalam hal</v>
      </c>
      <c r="U13" s="82">
        <v>78</v>
      </c>
      <c r="V13" s="83" t="str">
        <f t="shared" si="3"/>
        <v>Mencapai kompetensi dengan baik dalam hal</v>
      </c>
      <c r="W13" s="82">
        <v>76</v>
      </c>
      <c r="X13" s="83" t="str">
        <f t="shared" si="4"/>
        <v>Mencapai kompetensi dengan baik dalam hal</v>
      </c>
      <c r="Y13" s="82">
        <v>79</v>
      </c>
      <c r="Z13" s="83" t="str">
        <f t="shared" si="5"/>
        <v>Mencapai kompetensi dengan baik dalam hal</v>
      </c>
      <c r="AA13" s="82">
        <v>80</v>
      </c>
      <c r="AB13" s="83" t="str">
        <f t="shared" si="6"/>
        <v>Mencapai kompetensi dengan baik dalam hal</v>
      </c>
      <c r="AC13" s="82">
        <v>78</v>
      </c>
      <c r="AD13" s="83" t="str">
        <f t="shared" si="7"/>
        <v>Mencapai kompetensi dengan baik dalam hal</v>
      </c>
      <c r="AE13" s="82">
        <v>80</v>
      </c>
      <c r="AF13" s="83" t="str">
        <f t="shared" si="8"/>
        <v>Mencapai kompetensi dengan baik dalam hal</v>
      </c>
      <c r="AG13" s="82">
        <v>85</v>
      </c>
      <c r="AH13" s="83" t="str">
        <f t="shared" si="9"/>
        <v>Mencapai kompetensi dengan baik dalam hal</v>
      </c>
      <c r="AI13" s="82">
        <v>85</v>
      </c>
      <c r="AJ13" s="83" t="str">
        <f t="shared" si="10"/>
        <v>Mencapai kompetensi dengan baik dalam hal</v>
      </c>
      <c r="AK13" s="82">
        <v>85</v>
      </c>
      <c r="AL13" s="83" t="str">
        <f t="shared" si="11"/>
        <v>Mencapai kompetensi dengan baik dalam hal</v>
      </c>
      <c r="AM13" s="82">
        <v>85</v>
      </c>
      <c r="AN13" s="83" t="str">
        <f t="shared" si="12"/>
        <v>Mencapai kompetensi dengan baik dalam hal</v>
      </c>
      <c r="AO13" s="75">
        <f t="shared" si="18"/>
        <v>85</v>
      </c>
      <c r="AP13" s="82">
        <v>78</v>
      </c>
      <c r="AQ13" s="83" t="str">
        <f t="shared" si="13"/>
        <v>Mencapai kompetensi dengan baik dalam hal</v>
      </c>
      <c r="AR13" s="82">
        <v>78</v>
      </c>
      <c r="AS13" s="83" t="str">
        <f t="shared" si="14"/>
        <v>Mencapai kompetensi dengan baik dalam hal</v>
      </c>
      <c r="AT13" s="86" t="s">
        <v>81</v>
      </c>
      <c r="AU13" s="86" t="s">
        <v>81</v>
      </c>
      <c r="AV13" s="86" t="s">
        <v>81</v>
      </c>
      <c r="AW13" s="82">
        <v>1</v>
      </c>
      <c r="AX13" s="82" t="s">
        <v>82</v>
      </c>
      <c r="AY13" s="83" t="s">
        <v>83</v>
      </c>
      <c r="AZ13" s="82" t="s">
        <v>84</v>
      </c>
      <c r="BA13" s="83" t="str">
        <f t="shared" si="15"/>
        <v>Baik</v>
      </c>
      <c r="BB13" s="82">
        <v>2</v>
      </c>
      <c r="BC13" s="83" t="s">
        <v>108</v>
      </c>
      <c r="BD13" s="83" t="s">
        <v>83</v>
      </c>
      <c r="BE13" s="82" t="s">
        <v>86</v>
      </c>
      <c r="BF13" s="83" t="str">
        <f t="shared" si="16"/>
        <v>Sangat baik</v>
      </c>
      <c r="BG13" s="82"/>
      <c r="BH13" s="82"/>
      <c r="BI13" s="82"/>
      <c r="BJ13" s="82"/>
      <c r="BK13" s="83"/>
      <c r="BM13" s="80"/>
      <c r="BN13" s="80"/>
      <c r="BO13" s="79"/>
      <c r="BP13" s="80"/>
      <c r="BQ13" s="80"/>
      <c r="BR13" s="80"/>
      <c r="BT13" s="81">
        <f t="shared" si="17"/>
        <v>0</v>
      </c>
    </row>
    <row r="14" spans="1:73" ht="23.25" customHeight="1" x14ac:dyDescent="0.25">
      <c r="A14" s="82">
        <v>13</v>
      </c>
      <c r="B14" s="82">
        <v>2525882</v>
      </c>
      <c r="C14" s="82" t="s">
        <v>555</v>
      </c>
      <c r="D14" s="83" t="s">
        <v>556</v>
      </c>
      <c r="E14" s="82" t="s">
        <v>529</v>
      </c>
      <c r="F14" s="82" t="s">
        <v>530</v>
      </c>
      <c r="G14" s="82" t="s">
        <v>531</v>
      </c>
      <c r="H14" s="82" t="s">
        <v>532</v>
      </c>
      <c r="I14" s="84" t="s">
        <v>76</v>
      </c>
      <c r="J14" s="85" t="s">
        <v>77</v>
      </c>
      <c r="K14" s="85" t="s">
        <v>78</v>
      </c>
      <c r="L14" s="85" t="s">
        <v>79</v>
      </c>
      <c r="M14" s="82">
        <v>82</v>
      </c>
      <c r="N14" s="83" t="str">
        <f t="shared" si="0"/>
        <v>Mencapai kompetensi dengan baik dalam hal</v>
      </c>
      <c r="O14" s="82">
        <v>78</v>
      </c>
      <c r="P14" s="83" t="str">
        <f t="shared" si="0"/>
        <v>Mencapai kompetensi dengan baik dalam hal</v>
      </c>
      <c r="Q14" s="82">
        <v>78</v>
      </c>
      <c r="R14" s="83" t="str">
        <f t="shared" si="1"/>
        <v>Mencapai kompetensi dengan baik dalam hal</v>
      </c>
      <c r="S14" s="82">
        <v>80</v>
      </c>
      <c r="T14" s="83" t="str">
        <f t="shared" si="2"/>
        <v>Mencapai kompetensi dengan baik dalam hal</v>
      </c>
      <c r="U14" s="82">
        <v>87</v>
      </c>
      <c r="V14" s="83" t="str">
        <f t="shared" si="3"/>
        <v>Mencapai kompetensi dengan baik dalam hal</v>
      </c>
      <c r="W14" s="82">
        <v>77</v>
      </c>
      <c r="X14" s="83" t="str">
        <f t="shared" si="4"/>
        <v>Mencapai kompetensi dengan baik dalam hal</v>
      </c>
      <c r="Y14" s="82">
        <v>78</v>
      </c>
      <c r="Z14" s="83" t="str">
        <f t="shared" si="5"/>
        <v>Mencapai kompetensi dengan baik dalam hal</v>
      </c>
      <c r="AA14" s="82">
        <v>78</v>
      </c>
      <c r="AB14" s="83" t="str">
        <f t="shared" si="6"/>
        <v>Mencapai kompetensi dengan baik dalam hal</v>
      </c>
      <c r="AC14" s="82">
        <v>78</v>
      </c>
      <c r="AD14" s="83" t="str">
        <f t="shared" si="7"/>
        <v>Mencapai kompetensi dengan baik dalam hal</v>
      </c>
      <c r="AE14" s="82">
        <v>83</v>
      </c>
      <c r="AF14" s="83" t="str">
        <f t="shared" si="8"/>
        <v>Mencapai kompetensi dengan baik dalam hal</v>
      </c>
      <c r="AG14" s="82">
        <v>78</v>
      </c>
      <c r="AH14" s="83" t="str">
        <f t="shared" si="9"/>
        <v>Mencapai kompetensi dengan baik dalam hal</v>
      </c>
      <c r="AI14" s="82">
        <v>78</v>
      </c>
      <c r="AJ14" s="83" t="str">
        <f t="shared" si="10"/>
        <v>Mencapai kompetensi dengan baik dalam hal</v>
      </c>
      <c r="AK14" s="82">
        <v>78</v>
      </c>
      <c r="AL14" s="83" t="str">
        <f t="shared" si="11"/>
        <v>Mencapai kompetensi dengan baik dalam hal</v>
      </c>
      <c r="AM14" s="82">
        <v>78</v>
      </c>
      <c r="AN14" s="83" t="str">
        <f t="shared" si="12"/>
        <v>Mencapai kompetensi dengan baik dalam hal</v>
      </c>
      <c r="AO14" s="75">
        <f t="shared" si="18"/>
        <v>78</v>
      </c>
      <c r="AP14" s="82">
        <v>78</v>
      </c>
      <c r="AQ14" s="83" t="str">
        <f t="shared" si="13"/>
        <v>Mencapai kompetensi dengan baik dalam hal</v>
      </c>
      <c r="AR14" s="82">
        <v>80</v>
      </c>
      <c r="AS14" s="83" t="str">
        <f t="shared" si="14"/>
        <v>Mencapai kompetensi dengan baik dalam hal</v>
      </c>
      <c r="AT14" s="86">
        <v>1</v>
      </c>
      <c r="AU14" s="86" t="s">
        <v>81</v>
      </c>
      <c r="AV14" s="86" t="s">
        <v>81</v>
      </c>
      <c r="AW14" s="82">
        <v>1</v>
      </c>
      <c r="AX14" s="82" t="s">
        <v>82</v>
      </c>
      <c r="AY14" s="83" t="s">
        <v>83</v>
      </c>
      <c r="AZ14" s="82" t="s">
        <v>84</v>
      </c>
      <c r="BA14" s="83" t="str">
        <f t="shared" si="15"/>
        <v>Baik</v>
      </c>
      <c r="BB14" s="82">
        <v>2</v>
      </c>
      <c r="BC14" s="83" t="s">
        <v>179</v>
      </c>
      <c r="BD14" s="83" t="s">
        <v>83</v>
      </c>
      <c r="BE14" s="82" t="s">
        <v>86</v>
      </c>
      <c r="BF14" s="83" t="str">
        <f t="shared" si="16"/>
        <v>Sangat baik</v>
      </c>
      <c r="BG14" s="82"/>
      <c r="BH14" s="82"/>
      <c r="BI14" s="82"/>
      <c r="BJ14" s="82"/>
      <c r="BK14" s="83"/>
      <c r="BM14" s="81"/>
      <c r="BN14" s="81"/>
      <c r="BO14" s="81"/>
      <c r="BP14" s="81"/>
      <c r="BQ14" s="81"/>
      <c r="BR14" s="81"/>
      <c r="BT14" s="81">
        <f t="shared" si="17"/>
        <v>0</v>
      </c>
    </row>
    <row r="15" spans="1:73" ht="23.25" customHeight="1" x14ac:dyDescent="0.25">
      <c r="A15" s="82">
        <v>14</v>
      </c>
      <c r="B15" s="82">
        <v>2525883</v>
      </c>
      <c r="C15" s="82" t="s">
        <v>557</v>
      </c>
      <c r="D15" s="83" t="s">
        <v>558</v>
      </c>
      <c r="E15" s="82" t="s">
        <v>529</v>
      </c>
      <c r="F15" s="82" t="s">
        <v>530</v>
      </c>
      <c r="G15" s="82" t="s">
        <v>531</v>
      </c>
      <c r="H15" s="82" t="s">
        <v>532</v>
      </c>
      <c r="I15" s="84" t="s">
        <v>76</v>
      </c>
      <c r="J15" s="85" t="s">
        <v>77</v>
      </c>
      <c r="K15" s="85" t="s">
        <v>78</v>
      </c>
      <c r="L15" s="85" t="s">
        <v>79</v>
      </c>
      <c r="M15" s="82">
        <v>79</v>
      </c>
      <c r="N15" s="83" t="str">
        <f t="shared" si="0"/>
        <v>Mencapai kompetensi dengan baik dalam hal</v>
      </c>
      <c r="O15" s="82">
        <v>76</v>
      </c>
      <c r="P15" s="83" t="str">
        <f t="shared" si="0"/>
        <v>Mencapai kompetensi dengan baik dalam hal</v>
      </c>
      <c r="Q15" s="82">
        <v>76</v>
      </c>
      <c r="R15" s="83" t="str">
        <f t="shared" si="1"/>
        <v>Mencapai kompetensi dengan baik dalam hal</v>
      </c>
      <c r="S15" s="82">
        <v>84</v>
      </c>
      <c r="T15" s="83" t="str">
        <f t="shared" si="2"/>
        <v>Mencapai kompetensi dengan baik dalam hal</v>
      </c>
      <c r="U15" s="82">
        <v>77</v>
      </c>
      <c r="V15" s="83" t="str">
        <f t="shared" si="3"/>
        <v>Mencapai kompetensi dengan baik dalam hal</v>
      </c>
      <c r="W15" s="82">
        <v>75</v>
      </c>
      <c r="X15" s="83" t="str">
        <f t="shared" si="4"/>
        <v>Mencapai kompetensi dengan baik dalam hal</v>
      </c>
      <c r="Y15" s="82">
        <v>77</v>
      </c>
      <c r="Z15" s="83" t="str">
        <f t="shared" si="5"/>
        <v>Mencapai kompetensi dengan baik dalam hal</v>
      </c>
      <c r="AA15" s="82">
        <v>77</v>
      </c>
      <c r="AB15" s="83" t="str">
        <f t="shared" si="6"/>
        <v>Mencapai kompetensi dengan baik dalam hal</v>
      </c>
      <c r="AC15" s="82">
        <v>75</v>
      </c>
      <c r="AD15" s="83" t="str">
        <f t="shared" si="7"/>
        <v>Mencapai kompetensi dengan baik dalam hal</v>
      </c>
      <c r="AE15" s="82">
        <v>78</v>
      </c>
      <c r="AF15" s="83" t="str">
        <f t="shared" si="8"/>
        <v>Mencapai kompetensi dengan baik dalam hal</v>
      </c>
      <c r="AG15" s="82">
        <v>82</v>
      </c>
      <c r="AH15" s="83" t="str">
        <f t="shared" si="9"/>
        <v>Mencapai kompetensi dengan baik dalam hal</v>
      </c>
      <c r="AI15" s="82">
        <v>82</v>
      </c>
      <c r="AJ15" s="83" t="str">
        <f t="shared" si="10"/>
        <v>Mencapai kompetensi dengan baik dalam hal</v>
      </c>
      <c r="AK15" s="82">
        <v>82</v>
      </c>
      <c r="AL15" s="83" t="str">
        <f t="shared" si="11"/>
        <v>Mencapai kompetensi dengan baik dalam hal</v>
      </c>
      <c r="AM15" s="82">
        <v>82</v>
      </c>
      <c r="AN15" s="83" t="str">
        <f t="shared" si="12"/>
        <v>Mencapai kompetensi dengan baik dalam hal</v>
      </c>
      <c r="AO15" s="75">
        <f t="shared" si="18"/>
        <v>82</v>
      </c>
      <c r="AP15" s="82">
        <v>75</v>
      </c>
      <c r="AQ15" s="83" t="str">
        <f t="shared" si="13"/>
        <v>Mencapai kompetensi dengan baik dalam hal</v>
      </c>
      <c r="AR15" s="82">
        <v>75</v>
      </c>
      <c r="AS15" s="83" t="str">
        <f t="shared" si="14"/>
        <v>Mencapai kompetensi dengan baik dalam hal</v>
      </c>
      <c r="AT15" s="86">
        <v>3</v>
      </c>
      <c r="AU15" s="86" t="s">
        <v>81</v>
      </c>
      <c r="AV15" s="86" t="s">
        <v>81</v>
      </c>
      <c r="AW15" s="82">
        <v>1</v>
      </c>
      <c r="AX15" s="82" t="s">
        <v>82</v>
      </c>
      <c r="AY15" s="83" t="s">
        <v>83</v>
      </c>
      <c r="AZ15" s="82" t="s">
        <v>84</v>
      </c>
      <c r="BA15" s="83" t="str">
        <f t="shared" si="15"/>
        <v>Baik</v>
      </c>
      <c r="BB15" s="82">
        <v>2</v>
      </c>
      <c r="BC15" s="83" t="s">
        <v>99</v>
      </c>
      <c r="BD15" s="83" t="s">
        <v>83</v>
      </c>
      <c r="BE15" s="82" t="s">
        <v>84</v>
      </c>
      <c r="BF15" s="83" t="str">
        <f t="shared" si="16"/>
        <v>Baik</v>
      </c>
      <c r="BG15" s="82"/>
      <c r="BH15" s="82"/>
      <c r="BI15" s="82"/>
      <c r="BJ15" s="82"/>
      <c r="BK15" s="83"/>
      <c r="BM15" s="81"/>
      <c r="BN15" s="81"/>
      <c r="BO15" s="81"/>
      <c r="BP15" s="81"/>
      <c r="BQ15" s="81"/>
      <c r="BR15" s="81"/>
      <c r="BT15" s="81">
        <f t="shared" si="17"/>
        <v>0</v>
      </c>
    </row>
    <row r="16" spans="1:73" ht="23.25" customHeight="1" x14ac:dyDescent="0.25">
      <c r="A16" s="82">
        <v>15</v>
      </c>
      <c r="B16" s="82">
        <v>2525884</v>
      </c>
      <c r="C16" s="82" t="s">
        <v>559</v>
      </c>
      <c r="D16" s="83" t="s">
        <v>560</v>
      </c>
      <c r="E16" s="82" t="s">
        <v>529</v>
      </c>
      <c r="F16" s="82" t="s">
        <v>530</v>
      </c>
      <c r="G16" s="82" t="s">
        <v>531</v>
      </c>
      <c r="H16" s="82" t="s">
        <v>532</v>
      </c>
      <c r="I16" s="84" t="s">
        <v>76</v>
      </c>
      <c r="J16" s="85" t="s">
        <v>77</v>
      </c>
      <c r="K16" s="85" t="s">
        <v>78</v>
      </c>
      <c r="L16" s="85" t="s">
        <v>79</v>
      </c>
      <c r="M16" s="82">
        <v>80</v>
      </c>
      <c r="N16" s="83" t="str">
        <f t="shared" si="0"/>
        <v>Mencapai kompetensi dengan baik dalam hal</v>
      </c>
      <c r="O16" s="82">
        <v>75</v>
      </c>
      <c r="P16" s="83" t="str">
        <f t="shared" si="0"/>
        <v>Mencapai kompetensi dengan baik dalam hal</v>
      </c>
      <c r="Q16" s="82">
        <v>75</v>
      </c>
      <c r="R16" s="83" t="str">
        <f t="shared" si="1"/>
        <v>Mencapai kompetensi dengan baik dalam hal</v>
      </c>
      <c r="S16" s="82">
        <v>82</v>
      </c>
      <c r="T16" s="83" t="str">
        <f t="shared" si="2"/>
        <v>Mencapai kompetensi dengan baik dalam hal</v>
      </c>
      <c r="U16" s="82">
        <v>75</v>
      </c>
      <c r="V16" s="83" t="str">
        <f t="shared" si="3"/>
        <v>Mencapai kompetensi dengan baik dalam hal</v>
      </c>
      <c r="W16" s="82">
        <v>75</v>
      </c>
      <c r="X16" s="83" t="str">
        <f t="shared" si="4"/>
        <v>Mencapai kompetensi dengan baik dalam hal</v>
      </c>
      <c r="Y16" s="82">
        <v>77</v>
      </c>
      <c r="Z16" s="83" t="str">
        <f t="shared" si="5"/>
        <v>Mencapai kompetensi dengan baik dalam hal</v>
      </c>
      <c r="AA16" s="82">
        <v>78</v>
      </c>
      <c r="AB16" s="83" t="str">
        <f t="shared" si="6"/>
        <v>Mencapai kompetensi dengan baik dalam hal</v>
      </c>
      <c r="AC16" s="82">
        <v>78</v>
      </c>
      <c r="AD16" s="83" t="str">
        <f t="shared" si="7"/>
        <v>Mencapai kompetensi dengan baik dalam hal</v>
      </c>
      <c r="AE16" s="82">
        <v>80</v>
      </c>
      <c r="AF16" s="83" t="str">
        <f t="shared" si="8"/>
        <v>Mencapai kompetensi dengan baik dalam hal</v>
      </c>
      <c r="AG16" s="82">
        <v>83</v>
      </c>
      <c r="AH16" s="83" t="str">
        <f t="shared" si="9"/>
        <v>Mencapai kompetensi dengan baik dalam hal</v>
      </c>
      <c r="AI16" s="82">
        <v>83</v>
      </c>
      <c r="AJ16" s="83" t="str">
        <f t="shared" si="10"/>
        <v>Mencapai kompetensi dengan baik dalam hal</v>
      </c>
      <c r="AK16" s="82">
        <v>83</v>
      </c>
      <c r="AL16" s="83" t="str">
        <f t="shared" si="11"/>
        <v>Mencapai kompetensi dengan baik dalam hal</v>
      </c>
      <c r="AM16" s="82">
        <v>83</v>
      </c>
      <c r="AN16" s="83" t="str">
        <f t="shared" si="12"/>
        <v>Mencapai kompetensi dengan baik dalam hal</v>
      </c>
      <c r="AO16" s="75">
        <f t="shared" si="18"/>
        <v>83</v>
      </c>
      <c r="AP16" s="82">
        <v>78</v>
      </c>
      <c r="AQ16" s="83" t="str">
        <f t="shared" si="13"/>
        <v>Mencapai kompetensi dengan baik dalam hal</v>
      </c>
      <c r="AR16" s="82">
        <v>75</v>
      </c>
      <c r="AS16" s="83" t="str">
        <f t="shared" si="14"/>
        <v>Mencapai kompetensi dengan baik dalam hal</v>
      </c>
      <c r="AT16" s="86">
        <v>1</v>
      </c>
      <c r="AU16" s="86" t="s">
        <v>81</v>
      </c>
      <c r="AV16" s="86" t="s">
        <v>81</v>
      </c>
      <c r="AW16" s="82">
        <v>1</v>
      </c>
      <c r="AX16" s="82" t="s">
        <v>82</v>
      </c>
      <c r="AY16" s="83" t="s">
        <v>83</v>
      </c>
      <c r="AZ16" s="82" t="s">
        <v>84</v>
      </c>
      <c r="BA16" s="83" t="str">
        <f t="shared" si="15"/>
        <v>Baik</v>
      </c>
      <c r="BB16" s="82">
        <v>2</v>
      </c>
      <c r="BC16" s="83" t="s">
        <v>236</v>
      </c>
      <c r="BD16" s="83" t="s">
        <v>83</v>
      </c>
      <c r="BE16" s="82" t="s">
        <v>84</v>
      </c>
      <c r="BF16" s="83" t="str">
        <f t="shared" si="16"/>
        <v>Baik</v>
      </c>
      <c r="BG16" s="82"/>
      <c r="BH16" s="82"/>
      <c r="BI16" s="82"/>
      <c r="BJ16" s="82"/>
      <c r="BK16" s="83"/>
      <c r="BM16" s="81"/>
      <c r="BN16" s="81"/>
      <c r="BO16" s="81"/>
      <c r="BP16" s="81"/>
      <c r="BQ16" s="81"/>
      <c r="BR16" s="81"/>
      <c r="BT16" s="81">
        <f t="shared" si="17"/>
        <v>0</v>
      </c>
    </row>
    <row r="17" spans="1:72" ht="23.25" customHeight="1" x14ac:dyDescent="0.25">
      <c r="A17" s="82">
        <v>16</v>
      </c>
      <c r="B17" s="82">
        <v>2525885</v>
      </c>
      <c r="C17" s="82" t="s">
        <v>561</v>
      </c>
      <c r="D17" s="83" t="s">
        <v>562</v>
      </c>
      <c r="E17" s="82" t="s">
        <v>529</v>
      </c>
      <c r="F17" s="82" t="s">
        <v>530</v>
      </c>
      <c r="G17" s="82" t="s">
        <v>531</v>
      </c>
      <c r="H17" s="82" t="s">
        <v>532</v>
      </c>
      <c r="I17" s="84" t="s">
        <v>76</v>
      </c>
      <c r="J17" s="85" t="s">
        <v>77</v>
      </c>
      <c r="K17" s="85" t="s">
        <v>78</v>
      </c>
      <c r="L17" s="85" t="s">
        <v>79</v>
      </c>
      <c r="M17" s="82">
        <v>79</v>
      </c>
      <c r="N17" s="83" t="str">
        <f t="shared" si="0"/>
        <v>Mencapai kompetensi dengan baik dalam hal</v>
      </c>
      <c r="O17" s="82">
        <v>75</v>
      </c>
      <c r="P17" s="83" t="str">
        <f t="shared" si="0"/>
        <v>Mencapai kompetensi dengan baik dalam hal</v>
      </c>
      <c r="Q17" s="82">
        <v>75</v>
      </c>
      <c r="R17" s="83" t="str">
        <f t="shared" si="1"/>
        <v>Mencapai kompetensi dengan baik dalam hal</v>
      </c>
      <c r="S17" s="82">
        <v>82</v>
      </c>
      <c r="T17" s="83" t="str">
        <f t="shared" si="2"/>
        <v>Mencapai kompetensi dengan baik dalam hal</v>
      </c>
      <c r="U17" s="82">
        <v>76</v>
      </c>
      <c r="V17" s="83" t="str">
        <f t="shared" si="3"/>
        <v>Mencapai kompetensi dengan baik dalam hal</v>
      </c>
      <c r="W17" s="82">
        <v>75</v>
      </c>
      <c r="X17" s="83" t="str">
        <f t="shared" si="4"/>
        <v>Mencapai kompetensi dengan baik dalam hal</v>
      </c>
      <c r="Y17" s="82">
        <v>75</v>
      </c>
      <c r="Z17" s="83" t="str">
        <f t="shared" si="5"/>
        <v>Mencapai kompetensi dengan baik dalam hal</v>
      </c>
      <c r="AA17" s="82">
        <v>76</v>
      </c>
      <c r="AB17" s="83" t="str">
        <f t="shared" si="6"/>
        <v>Mencapai kompetensi dengan baik dalam hal</v>
      </c>
      <c r="AC17" s="82">
        <v>76</v>
      </c>
      <c r="AD17" s="83" t="str">
        <f t="shared" si="7"/>
        <v>Mencapai kompetensi dengan baik dalam hal</v>
      </c>
      <c r="AE17" s="82">
        <v>77</v>
      </c>
      <c r="AF17" s="83" t="str">
        <f t="shared" si="8"/>
        <v>Mencapai kompetensi dengan baik dalam hal</v>
      </c>
      <c r="AG17" s="82">
        <v>77</v>
      </c>
      <c r="AH17" s="83" t="str">
        <f t="shared" si="9"/>
        <v>Mencapai kompetensi dengan baik dalam hal</v>
      </c>
      <c r="AI17" s="82">
        <v>77</v>
      </c>
      <c r="AJ17" s="83" t="str">
        <f t="shared" si="10"/>
        <v>Mencapai kompetensi dengan baik dalam hal</v>
      </c>
      <c r="AK17" s="82">
        <v>77</v>
      </c>
      <c r="AL17" s="83" t="str">
        <f t="shared" si="11"/>
        <v>Mencapai kompetensi dengan baik dalam hal</v>
      </c>
      <c r="AM17" s="82">
        <v>77</v>
      </c>
      <c r="AN17" s="83" t="str">
        <f t="shared" si="12"/>
        <v>Mencapai kompetensi dengan baik dalam hal</v>
      </c>
      <c r="AO17" s="75">
        <f t="shared" si="18"/>
        <v>77</v>
      </c>
      <c r="AP17" s="82">
        <v>76</v>
      </c>
      <c r="AQ17" s="83" t="str">
        <f t="shared" si="13"/>
        <v>Mencapai kompetensi dengan baik dalam hal</v>
      </c>
      <c r="AR17" s="82">
        <v>75</v>
      </c>
      <c r="AS17" s="83" t="str">
        <f t="shared" si="14"/>
        <v>Mencapai kompetensi dengan baik dalam hal</v>
      </c>
      <c r="AT17" s="86">
        <v>4</v>
      </c>
      <c r="AU17" s="86" t="s">
        <v>81</v>
      </c>
      <c r="AV17" s="86">
        <v>1</v>
      </c>
      <c r="AW17" s="82">
        <v>1</v>
      </c>
      <c r="AX17" s="82" t="s">
        <v>82</v>
      </c>
      <c r="AY17" s="83" t="s">
        <v>83</v>
      </c>
      <c r="AZ17" s="82" t="s">
        <v>84</v>
      </c>
      <c r="BA17" s="83" t="str">
        <f t="shared" si="15"/>
        <v>Baik</v>
      </c>
      <c r="BB17" s="82">
        <v>2</v>
      </c>
      <c r="BC17" s="83" t="s">
        <v>99</v>
      </c>
      <c r="BD17" s="83" t="s">
        <v>83</v>
      </c>
      <c r="BE17" s="82" t="s">
        <v>84</v>
      </c>
      <c r="BF17" s="83" t="str">
        <f t="shared" si="16"/>
        <v>Baik</v>
      </c>
      <c r="BG17" s="82"/>
      <c r="BH17" s="82"/>
      <c r="BI17" s="82"/>
      <c r="BJ17" s="82"/>
      <c r="BK17" s="83"/>
      <c r="BM17" s="81"/>
      <c r="BN17" s="81"/>
      <c r="BO17" s="81"/>
      <c r="BP17" s="81"/>
      <c r="BQ17" s="81"/>
      <c r="BR17" s="81"/>
      <c r="BT17" s="81">
        <f t="shared" si="17"/>
        <v>0</v>
      </c>
    </row>
    <row r="18" spans="1:72" ht="23.25" customHeight="1" x14ac:dyDescent="0.25">
      <c r="A18" s="82">
        <v>17</v>
      </c>
      <c r="B18" s="82">
        <v>2525886</v>
      </c>
      <c r="C18" s="82" t="s">
        <v>563</v>
      </c>
      <c r="D18" s="83" t="s">
        <v>564</v>
      </c>
      <c r="E18" s="82" t="s">
        <v>529</v>
      </c>
      <c r="F18" s="82" t="s">
        <v>530</v>
      </c>
      <c r="G18" s="82" t="s">
        <v>531</v>
      </c>
      <c r="H18" s="82" t="s">
        <v>532</v>
      </c>
      <c r="I18" s="84" t="s">
        <v>76</v>
      </c>
      <c r="J18" s="85" t="s">
        <v>77</v>
      </c>
      <c r="K18" s="85" t="s">
        <v>78</v>
      </c>
      <c r="L18" s="85" t="s">
        <v>79</v>
      </c>
      <c r="M18" s="82">
        <v>80</v>
      </c>
      <c r="N18" s="83" t="str">
        <f t="shared" si="0"/>
        <v>Mencapai kompetensi dengan baik dalam hal</v>
      </c>
      <c r="O18" s="82">
        <v>76</v>
      </c>
      <c r="P18" s="83" t="str">
        <f t="shared" si="0"/>
        <v>Mencapai kompetensi dengan baik dalam hal</v>
      </c>
      <c r="Q18" s="82">
        <v>77</v>
      </c>
      <c r="R18" s="83" t="str">
        <f t="shared" si="1"/>
        <v>Mencapai kompetensi dengan baik dalam hal</v>
      </c>
      <c r="S18" s="82">
        <v>82</v>
      </c>
      <c r="T18" s="83" t="str">
        <f t="shared" si="2"/>
        <v>Mencapai kompetensi dengan baik dalam hal</v>
      </c>
      <c r="U18" s="82">
        <v>77</v>
      </c>
      <c r="V18" s="83" t="str">
        <f t="shared" si="3"/>
        <v>Mencapai kompetensi dengan baik dalam hal</v>
      </c>
      <c r="W18" s="82">
        <v>75</v>
      </c>
      <c r="X18" s="83" t="str">
        <f t="shared" si="4"/>
        <v>Mencapai kompetensi dengan baik dalam hal</v>
      </c>
      <c r="Y18" s="82">
        <v>77</v>
      </c>
      <c r="Z18" s="83" t="str">
        <f t="shared" si="5"/>
        <v>Mencapai kompetensi dengan baik dalam hal</v>
      </c>
      <c r="AA18" s="82">
        <v>76</v>
      </c>
      <c r="AB18" s="83" t="str">
        <f t="shared" si="6"/>
        <v>Mencapai kompetensi dengan baik dalam hal</v>
      </c>
      <c r="AC18" s="82">
        <v>78</v>
      </c>
      <c r="AD18" s="83" t="str">
        <f t="shared" si="7"/>
        <v>Mencapai kompetensi dengan baik dalam hal</v>
      </c>
      <c r="AE18" s="82">
        <v>80</v>
      </c>
      <c r="AF18" s="83" t="str">
        <f t="shared" si="8"/>
        <v>Mencapai kompetensi dengan baik dalam hal</v>
      </c>
      <c r="AG18" s="82">
        <v>77</v>
      </c>
      <c r="AH18" s="83" t="str">
        <f t="shared" si="9"/>
        <v>Mencapai kompetensi dengan baik dalam hal</v>
      </c>
      <c r="AI18" s="82">
        <v>77</v>
      </c>
      <c r="AJ18" s="83" t="str">
        <f t="shared" si="10"/>
        <v>Mencapai kompetensi dengan baik dalam hal</v>
      </c>
      <c r="AK18" s="82">
        <v>77</v>
      </c>
      <c r="AL18" s="83" t="str">
        <f t="shared" si="11"/>
        <v>Mencapai kompetensi dengan baik dalam hal</v>
      </c>
      <c r="AM18" s="82">
        <v>77</v>
      </c>
      <c r="AN18" s="83" t="str">
        <f t="shared" si="12"/>
        <v>Mencapai kompetensi dengan baik dalam hal</v>
      </c>
      <c r="AO18" s="75">
        <f t="shared" si="18"/>
        <v>77</v>
      </c>
      <c r="AP18" s="82">
        <v>78</v>
      </c>
      <c r="AQ18" s="83" t="str">
        <f t="shared" si="13"/>
        <v>Mencapai kompetensi dengan baik dalam hal</v>
      </c>
      <c r="AR18" s="82">
        <v>77</v>
      </c>
      <c r="AS18" s="83" t="str">
        <f t="shared" si="14"/>
        <v>Mencapai kompetensi dengan baik dalam hal</v>
      </c>
      <c r="AT18" s="86" t="s">
        <v>81</v>
      </c>
      <c r="AU18" s="86" t="s">
        <v>81</v>
      </c>
      <c r="AV18" s="86" t="s">
        <v>81</v>
      </c>
      <c r="AW18" s="82">
        <v>1</v>
      </c>
      <c r="AX18" s="82" t="s">
        <v>82</v>
      </c>
      <c r="AY18" s="83" t="s">
        <v>83</v>
      </c>
      <c r="AZ18" s="82" t="s">
        <v>86</v>
      </c>
      <c r="BA18" s="83" t="str">
        <f t="shared" si="15"/>
        <v>Sangat baik</v>
      </c>
      <c r="BB18" s="82">
        <v>2</v>
      </c>
      <c r="BC18" s="83" t="s">
        <v>108</v>
      </c>
      <c r="BD18" s="83" t="s">
        <v>83</v>
      </c>
      <c r="BE18" s="82" t="s">
        <v>86</v>
      </c>
      <c r="BF18" s="83" t="str">
        <f t="shared" si="16"/>
        <v>Sangat baik</v>
      </c>
      <c r="BG18" s="82"/>
      <c r="BH18" s="82"/>
      <c r="BI18" s="82"/>
      <c r="BJ18" s="82"/>
      <c r="BK18" s="83"/>
      <c r="BM18" s="81"/>
      <c r="BN18" s="81"/>
      <c r="BO18" s="81"/>
      <c r="BP18" s="81"/>
      <c r="BQ18" s="81"/>
      <c r="BR18" s="81"/>
      <c r="BT18" s="81">
        <f t="shared" si="17"/>
        <v>0</v>
      </c>
    </row>
    <row r="19" spans="1:72" ht="23.25" customHeight="1" x14ac:dyDescent="0.25">
      <c r="A19" s="82">
        <v>18</v>
      </c>
      <c r="B19" s="82">
        <v>2525887</v>
      </c>
      <c r="C19" s="82" t="s">
        <v>565</v>
      </c>
      <c r="D19" s="83" t="s">
        <v>566</v>
      </c>
      <c r="E19" s="82" t="s">
        <v>529</v>
      </c>
      <c r="F19" s="82" t="s">
        <v>530</v>
      </c>
      <c r="G19" s="82" t="s">
        <v>531</v>
      </c>
      <c r="H19" s="82" t="s">
        <v>532</v>
      </c>
      <c r="I19" s="84" t="s">
        <v>76</v>
      </c>
      <c r="J19" s="85" t="s">
        <v>77</v>
      </c>
      <c r="K19" s="85" t="s">
        <v>78</v>
      </c>
      <c r="L19" s="85" t="s">
        <v>79</v>
      </c>
      <c r="M19" s="82">
        <v>81</v>
      </c>
      <c r="N19" s="83" t="str">
        <f t="shared" si="0"/>
        <v>Mencapai kompetensi dengan baik dalam hal</v>
      </c>
      <c r="O19" s="82">
        <v>76</v>
      </c>
      <c r="P19" s="83" t="str">
        <f t="shared" si="0"/>
        <v>Mencapai kompetensi dengan baik dalam hal</v>
      </c>
      <c r="Q19" s="82">
        <v>80</v>
      </c>
      <c r="R19" s="83" t="str">
        <f t="shared" si="1"/>
        <v>Mencapai kompetensi dengan baik dalam hal</v>
      </c>
      <c r="S19" s="82">
        <v>85</v>
      </c>
      <c r="T19" s="83" t="str">
        <f t="shared" si="2"/>
        <v>Mencapai kompetensi dengan baik dalam hal</v>
      </c>
      <c r="U19" s="82">
        <v>85</v>
      </c>
      <c r="V19" s="83" t="str">
        <f t="shared" si="3"/>
        <v>Mencapai kompetensi dengan baik dalam hal</v>
      </c>
      <c r="W19" s="82">
        <v>80</v>
      </c>
      <c r="X19" s="83" t="str">
        <f t="shared" si="4"/>
        <v>Mencapai kompetensi dengan baik dalam hal</v>
      </c>
      <c r="Y19" s="82">
        <v>80</v>
      </c>
      <c r="Z19" s="83" t="str">
        <f t="shared" si="5"/>
        <v>Mencapai kompetensi dengan baik dalam hal</v>
      </c>
      <c r="AA19" s="82">
        <v>78</v>
      </c>
      <c r="AB19" s="83" t="str">
        <f t="shared" si="6"/>
        <v>Mencapai kompetensi dengan baik dalam hal</v>
      </c>
      <c r="AC19" s="82">
        <v>78</v>
      </c>
      <c r="AD19" s="83" t="str">
        <f t="shared" si="7"/>
        <v>Mencapai kompetensi dengan baik dalam hal</v>
      </c>
      <c r="AE19" s="82">
        <v>84</v>
      </c>
      <c r="AF19" s="83" t="str">
        <f t="shared" si="8"/>
        <v>Mencapai kompetensi dengan baik dalam hal</v>
      </c>
      <c r="AG19" s="82">
        <v>90</v>
      </c>
      <c r="AH19" s="83" t="str">
        <f t="shared" si="9"/>
        <v>Mencapai kompetensi dengan sangat baik dalam hal</v>
      </c>
      <c r="AI19" s="82">
        <v>90</v>
      </c>
      <c r="AJ19" s="83" t="str">
        <f t="shared" si="10"/>
        <v>Mencapai kompetensi dengan sangat baik dalam hal</v>
      </c>
      <c r="AK19" s="82">
        <v>90</v>
      </c>
      <c r="AL19" s="83" t="str">
        <f t="shared" si="11"/>
        <v>Mencapai kompetensi dengan sangat baik dalam hal</v>
      </c>
      <c r="AM19" s="82">
        <v>90</v>
      </c>
      <c r="AN19" s="83" t="str">
        <f t="shared" si="12"/>
        <v>Mencapai kompetensi dengan sangat baik dalam hal</v>
      </c>
      <c r="AO19" s="75">
        <f t="shared" si="18"/>
        <v>90</v>
      </c>
      <c r="AP19" s="82">
        <v>78</v>
      </c>
      <c r="AQ19" s="83" t="str">
        <f t="shared" si="13"/>
        <v>Mencapai kompetensi dengan baik dalam hal</v>
      </c>
      <c r="AR19" s="82">
        <v>80</v>
      </c>
      <c r="AS19" s="83" t="str">
        <f t="shared" si="14"/>
        <v>Mencapai kompetensi dengan baik dalam hal</v>
      </c>
      <c r="AT19" s="86" t="s">
        <v>81</v>
      </c>
      <c r="AU19" s="86" t="s">
        <v>81</v>
      </c>
      <c r="AV19" s="86" t="s">
        <v>81</v>
      </c>
      <c r="AW19" s="82">
        <v>1</v>
      </c>
      <c r="AX19" s="82" t="s">
        <v>82</v>
      </c>
      <c r="AY19" s="83" t="s">
        <v>83</v>
      </c>
      <c r="AZ19" s="82" t="s">
        <v>84</v>
      </c>
      <c r="BA19" s="83" t="str">
        <f t="shared" si="15"/>
        <v>Baik</v>
      </c>
      <c r="BB19" s="82">
        <v>2</v>
      </c>
      <c r="BC19" s="83" t="s">
        <v>103</v>
      </c>
      <c r="BD19" s="83" t="s">
        <v>83</v>
      </c>
      <c r="BE19" s="82" t="s">
        <v>84</v>
      </c>
      <c r="BF19" s="83" t="str">
        <f t="shared" si="16"/>
        <v>Baik</v>
      </c>
      <c r="BG19" s="82"/>
      <c r="BH19" s="82"/>
      <c r="BI19" s="82"/>
      <c r="BJ19" s="82"/>
      <c r="BK19" s="83"/>
      <c r="BM19" s="81"/>
      <c r="BN19" s="81"/>
      <c r="BO19" s="81"/>
      <c r="BP19" s="81"/>
      <c r="BQ19" s="81"/>
      <c r="BR19" s="81"/>
      <c r="BT19" s="81">
        <f t="shared" si="17"/>
        <v>0</v>
      </c>
    </row>
    <row r="20" spans="1:72" ht="23.25" customHeight="1" x14ac:dyDescent="0.25">
      <c r="A20" s="82">
        <v>19</v>
      </c>
      <c r="B20" s="82">
        <v>2525888</v>
      </c>
      <c r="C20" s="82" t="s">
        <v>567</v>
      </c>
      <c r="D20" s="83" t="s">
        <v>568</v>
      </c>
      <c r="E20" s="82" t="s">
        <v>529</v>
      </c>
      <c r="F20" s="82" t="s">
        <v>530</v>
      </c>
      <c r="G20" s="82" t="s">
        <v>531</v>
      </c>
      <c r="H20" s="82" t="s">
        <v>532</v>
      </c>
      <c r="I20" s="84" t="s">
        <v>76</v>
      </c>
      <c r="J20" s="85" t="s">
        <v>77</v>
      </c>
      <c r="K20" s="85" t="s">
        <v>78</v>
      </c>
      <c r="L20" s="85" t="s">
        <v>79</v>
      </c>
      <c r="M20" s="82">
        <v>82</v>
      </c>
      <c r="N20" s="83" t="str">
        <f t="shared" si="0"/>
        <v>Mencapai kompetensi dengan baik dalam hal</v>
      </c>
      <c r="O20" s="82">
        <v>76</v>
      </c>
      <c r="P20" s="83" t="str">
        <f t="shared" si="0"/>
        <v>Mencapai kompetensi dengan baik dalam hal</v>
      </c>
      <c r="Q20" s="82">
        <v>80</v>
      </c>
      <c r="R20" s="83" t="str">
        <f t="shared" si="1"/>
        <v>Mencapai kompetensi dengan baik dalam hal</v>
      </c>
      <c r="S20" s="82">
        <v>80</v>
      </c>
      <c r="T20" s="83" t="str">
        <f t="shared" si="2"/>
        <v>Mencapai kompetensi dengan baik dalam hal</v>
      </c>
      <c r="U20" s="82">
        <v>84</v>
      </c>
      <c r="V20" s="83" t="str">
        <f t="shared" si="3"/>
        <v>Mencapai kompetensi dengan baik dalam hal</v>
      </c>
      <c r="W20" s="82">
        <v>75</v>
      </c>
      <c r="X20" s="83" t="str">
        <f t="shared" si="4"/>
        <v>Mencapai kompetensi dengan baik dalam hal</v>
      </c>
      <c r="Y20" s="82">
        <v>79</v>
      </c>
      <c r="Z20" s="83" t="str">
        <f t="shared" si="5"/>
        <v>Mencapai kompetensi dengan baik dalam hal</v>
      </c>
      <c r="AA20" s="82">
        <v>78</v>
      </c>
      <c r="AB20" s="83" t="str">
        <f t="shared" si="6"/>
        <v>Mencapai kompetensi dengan baik dalam hal</v>
      </c>
      <c r="AC20" s="82">
        <v>78</v>
      </c>
      <c r="AD20" s="83" t="str">
        <f t="shared" si="7"/>
        <v>Mencapai kompetensi dengan baik dalam hal</v>
      </c>
      <c r="AE20" s="82">
        <v>82</v>
      </c>
      <c r="AF20" s="83" t="str">
        <f t="shared" si="8"/>
        <v>Mencapai kompetensi dengan baik dalam hal</v>
      </c>
      <c r="AG20" s="82">
        <v>85</v>
      </c>
      <c r="AH20" s="83" t="str">
        <f t="shared" si="9"/>
        <v>Mencapai kompetensi dengan baik dalam hal</v>
      </c>
      <c r="AI20" s="82">
        <v>85</v>
      </c>
      <c r="AJ20" s="83" t="str">
        <f t="shared" si="10"/>
        <v>Mencapai kompetensi dengan baik dalam hal</v>
      </c>
      <c r="AK20" s="82">
        <v>85</v>
      </c>
      <c r="AL20" s="83" t="str">
        <f t="shared" si="11"/>
        <v>Mencapai kompetensi dengan baik dalam hal</v>
      </c>
      <c r="AM20" s="82">
        <v>85</v>
      </c>
      <c r="AN20" s="83" t="str">
        <f t="shared" si="12"/>
        <v>Mencapai kompetensi dengan baik dalam hal</v>
      </c>
      <c r="AO20" s="75">
        <f t="shared" si="18"/>
        <v>85</v>
      </c>
      <c r="AP20" s="82">
        <v>78</v>
      </c>
      <c r="AQ20" s="83" t="str">
        <f t="shared" si="13"/>
        <v>Mencapai kompetensi dengan baik dalam hal</v>
      </c>
      <c r="AR20" s="82">
        <v>76</v>
      </c>
      <c r="AS20" s="83" t="str">
        <f t="shared" si="14"/>
        <v>Mencapai kompetensi dengan baik dalam hal</v>
      </c>
      <c r="AT20" s="86" t="s">
        <v>81</v>
      </c>
      <c r="AU20" s="86" t="s">
        <v>81</v>
      </c>
      <c r="AV20" s="86" t="s">
        <v>81</v>
      </c>
      <c r="AW20" s="82">
        <v>1</v>
      </c>
      <c r="AX20" s="82" t="s">
        <v>82</v>
      </c>
      <c r="AY20" s="83" t="s">
        <v>83</v>
      </c>
      <c r="AZ20" s="82" t="s">
        <v>84</v>
      </c>
      <c r="BA20" s="83" t="str">
        <f t="shared" si="15"/>
        <v>Baik</v>
      </c>
      <c r="BB20" s="82">
        <v>2</v>
      </c>
      <c r="BC20" s="83" t="s">
        <v>212</v>
      </c>
      <c r="BD20" s="83" t="s">
        <v>83</v>
      </c>
      <c r="BE20" s="82" t="s">
        <v>86</v>
      </c>
      <c r="BF20" s="83" t="str">
        <f t="shared" si="16"/>
        <v>Sangat baik</v>
      </c>
      <c r="BG20" s="82"/>
      <c r="BH20" s="82"/>
      <c r="BI20" s="82"/>
      <c r="BJ20" s="82"/>
      <c r="BK20" s="83"/>
      <c r="BM20" s="81"/>
      <c r="BN20" s="81"/>
      <c r="BO20" s="81"/>
      <c r="BP20" s="81"/>
      <c r="BQ20" s="81"/>
      <c r="BR20" s="81"/>
      <c r="BT20" s="81">
        <f t="shared" si="17"/>
        <v>0</v>
      </c>
    </row>
    <row r="21" spans="1:72" ht="23.25" customHeight="1" x14ac:dyDescent="0.25">
      <c r="A21" s="82">
        <v>20</v>
      </c>
      <c r="B21" s="82">
        <v>2525889</v>
      </c>
      <c r="C21" s="82" t="s">
        <v>569</v>
      </c>
      <c r="D21" s="83" t="s">
        <v>570</v>
      </c>
      <c r="E21" s="82" t="s">
        <v>529</v>
      </c>
      <c r="F21" s="82" t="s">
        <v>530</v>
      </c>
      <c r="G21" s="82" t="s">
        <v>531</v>
      </c>
      <c r="H21" s="82" t="s">
        <v>532</v>
      </c>
      <c r="I21" s="84" t="s">
        <v>76</v>
      </c>
      <c r="J21" s="85" t="s">
        <v>77</v>
      </c>
      <c r="K21" s="85" t="s">
        <v>78</v>
      </c>
      <c r="L21" s="85" t="s">
        <v>79</v>
      </c>
      <c r="M21" s="82">
        <v>81</v>
      </c>
      <c r="N21" s="83" t="str">
        <f t="shared" si="0"/>
        <v>Mencapai kompetensi dengan baik dalam hal</v>
      </c>
      <c r="O21" s="82">
        <v>79</v>
      </c>
      <c r="P21" s="83" t="str">
        <f t="shared" si="0"/>
        <v>Mencapai kompetensi dengan baik dalam hal</v>
      </c>
      <c r="Q21" s="82">
        <v>80</v>
      </c>
      <c r="R21" s="83" t="str">
        <f t="shared" si="1"/>
        <v>Mencapai kompetensi dengan baik dalam hal</v>
      </c>
      <c r="S21" s="82">
        <v>85</v>
      </c>
      <c r="T21" s="83" t="str">
        <f t="shared" si="2"/>
        <v>Mencapai kompetensi dengan baik dalam hal</v>
      </c>
      <c r="U21" s="82">
        <v>82</v>
      </c>
      <c r="V21" s="83" t="str">
        <f t="shared" si="3"/>
        <v>Mencapai kompetensi dengan baik dalam hal</v>
      </c>
      <c r="W21" s="82">
        <v>76</v>
      </c>
      <c r="X21" s="83" t="str">
        <f t="shared" si="4"/>
        <v>Mencapai kompetensi dengan baik dalam hal</v>
      </c>
      <c r="Y21" s="82">
        <v>80</v>
      </c>
      <c r="Z21" s="83" t="str">
        <f t="shared" si="5"/>
        <v>Mencapai kompetensi dengan baik dalam hal</v>
      </c>
      <c r="AA21" s="82">
        <v>78</v>
      </c>
      <c r="AB21" s="83" t="str">
        <f t="shared" si="6"/>
        <v>Mencapai kompetensi dengan baik dalam hal</v>
      </c>
      <c r="AC21" s="82">
        <v>78</v>
      </c>
      <c r="AD21" s="83" t="str">
        <f t="shared" si="7"/>
        <v>Mencapai kompetensi dengan baik dalam hal</v>
      </c>
      <c r="AE21" s="82">
        <v>86</v>
      </c>
      <c r="AF21" s="83" t="str">
        <f t="shared" si="8"/>
        <v>Mencapai kompetensi dengan baik dalam hal</v>
      </c>
      <c r="AG21" s="82">
        <v>88</v>
      </c>
      <c r="AH21" s="83" t="str">
        <f t="shared" si="9"/>
        <v>Mencapai kompetensi dengan baik dalam hal</v>
      </c>
      <c r="AI21" s="82">
        <v>88</v>
      </c>
      <c r="AJ21" s="83" t="str">
        <f t="shared" si="10"/>
        <v>Mencapai kompetensi dengan baik dalam hal</v>
      </c>
      <c r="AK21" s="82">
        <v>88</v>
      </c>
      <c r="AL21" s="83" t="str">
        <f t="shared" si="11"/>
        <v>Mencapai kompetensi dengan baik dalam hal</v>
      </c>
      <c r="AM21" s="82">
        <v>88</v>
      </c>
      <c r="AN21" s="83" t="str">
        <f t="shared" si="12"/>
        <v>Mencapai kompetensi dengan baik dalam hal</v>
      </c>
      <c r="AO21" s="75">
        <f t="shared" si="18"/>
        <v>88</v>
      </c>
      <c r="AP21" s="82">
        <v>78</v>
      </c>
      <c r="AQ21" s="83" t="str">
        <f t="shared" si="13"/>
        <v>Mencapai kompetensi dengan baik dalam hal</v>
      </c>
      <c r="AR21" s="82">
        <v>82</v>
      </c>
      <c r="AS21" s="83" t="str">
        <f t="shared" si="14"/>
        <v>Mencapai kompetensi dengan baik dalam hal</v>
      </c>
      <c r="AT21" s="86" t="s">
        <v>81</v>
      </c>
      <c r="AU21" s="86" t="s">
        <v>81</v>
      </c>
      <c r="AV21" s="86" t="s">
        <v>81</v>
      </c>
      <c r="AW21" s="82">
        <v>1</v>
      </c>
      <c r="AX21" s="82" t="s">
        <v>82</v>
      </c>
      <c r="AY21" s="83" t="s">
        <v>83</v>
      </c>
      <c r="AZ21" s="82" t="s">
        <v>86</v>
      </c>
      <c r="BA21" s="83" t="str">
        <f t="shared" si="15"/>
        <v>Sangat baik</v>
      </c>
      <c r="BB21" s="82">
        <v>2</v>
      </c>
      <c r="BC21" s="83" t="s">
        <v>85</v>
      </c>
      <c r="BD21" s="83" t="s">
        <v>83</v>
      </c>
      <c r="BE21" s="82" t="s">
        <v>84</v>
      </c>
      <c r="BF21" s="83" t="str">
        <f t="shared" si="16"/>
        <v>Baik</v>
      </c>
      <c r="BG21" s="82">
        <v>3</v>
      </c>
      <c r="BH21" s="82" t="s">
        <v>87</v>
      </c>
      <c r="BI21" s="82" t="s">
        <v>83</v>
      </c>
      <c r="BJ21" s="82" t="s">
        <v>84</v>
      </c>
      <c r="BK21" s="83" t="str">
        <f>VLOOKUP(BJ21,grades6,2,TRUE)</f>
        <v>Baik</v>
      </c>
      <c r="BM21" s="81"/>
      <c r="BN21" s="81"/>
      <c r="BO21" s="81"/>
      <c r="BP21" s="81"/>
      <c r="BQ21" s="81"/>
      <c r="BR21" s="81"/>
      <c r="BT21" s="81">
        <f t="shared" si="17"/>
        <v>0</v>
      </c>
    </row>
    <row r="22" spans="1:72" ht="23.25" customHeight="1" x14ac:dyDescent="0.25">
      <c r="A22" s="82">
        <v>21</v>
      </c>
      <c r="B22" s="82">
        <v>2525890</v>
      </c>
      <c r="C22" s="82" t="s">
        <v>571</v>
      </c>
      <c r="D22" s="83" t="s">
        <v>572</v>
      </c>
      <c r="E22" s="82" t="s">
        <v>529</v>
      </c>
      <c r="F22" s="82" t="s">
        <v>530</v>
      </c>
      <c r="G22" s="82" t="s">
        <v>531</v>
      </c>
      <c r="H22" s="82" t="s">
        <v>532</v>
      </c>
      <c r="I22" s="84" t="s">
        <v>76</v>
      </c>
      <c r="J22" s="85" t="s">
        <v>77</v>
      </c>
      <c r="K22" s="85" t="s">
        <v>78</v>
      </c>
      <c r="L22" s="85" t="s">
        <v>79</v>
      </c>
      <c r="M22" s="82">
        <v>82</v>
      </c>
      <c r="N22" s="83" t="str">
        <f t="shared" si="0"/>
        <v>Mencapai kompetensi dengan baik dalam hal</v>
      </c>
      <c r="O22" s="82">
        <v>77</v>
      </c>
      <c r="P22" s="83" t="str">
        <f t="shared" si="0"/>
        <v>Mencapai kompetensi dengan baik dalam hal</v>
      </c>
      <c r="Q22" s="82">
        <v>78</v>
      </c>
      <c r="R22" s="83" t="str">
        <f t="shared" si="1"/>
        <v>Mencapai kompetensi dengan baik dalam hal</v>
      </c>
      <c r="S22" s="82">
        <v>82</v>
      </c>
      <c r="T22" s="83" t="str">
        <f t="shared" si="2"/>
        <v>Mencapai kompetensi dengan baik dalam hal</v>
      </c>
      <c r="U22" s="82">
        <v>87</v>
      </c>
      <c r="V22" s="83" t="str">
        <f t="shared" si="3"/>
        <v>Mencapai kompetensi dengan baik dalam hal</v>
      </c>
      <c r="W22" s="82">
        <v>81</v>
      </c>
      <c r="X22" s="83" t="str">
        <f t="shared" si="4"/>
        <v>Mencapai kompetensi dengan baik dalam hal</v>
      </c>
      <c r="Y22" s="82">
        <v>78</v>
      </c>
      <c r="Z22" s="83" t="str">
        <f t="shared" si="5"/>
        <v>Mencapai kompetensi dengan baik dalam hal</v>
      </c>
      <c r="AA22" s="82">
        <v>77</v>
      </c>
      <c r="AB22" s="83" t="str">
        <f t="shared" si="6"/>
        <v>Mencapai kompetensi dengan baik dalam hal</v>
      </c>
      <c r="AC22" s="82">
        <v>83</v>
      </c>
      <c r="AD22" s="83" t="str">
        <f t="shared" si="7"/>
        <v>Mencapai kompetensi dengan baik dalam hal</v>
      </c>
      <c r="AE22" s="82">
        <v>82</v>
      </c>
      <c r="AF22" s="83" t="str">
        <f t="shared" si="8"/>
        <v>Mencapai kompetensi dengan baik dalam hal</v>
      </c>
      <c r="AG22" s="82">
        <v>83</v>
      </c>
      <c r="AH22" s="83" t="str">
        <f t="shared" si="9"/>
        <v>Mencapai kompetensi dengan baik dalam hal</v>
      </c>
      <c r="AI22" s="82">
        <v>83</v>
      </c>
      <c r="AJ22" s="83" t="str">
        <f t="shared" si="10"/>
        <v>Mencapai kompetensi dengan baik dalam hal</v>
      </c>
      <c r="AK22" s="82">
        <v>83</v>
      </c>
      <c r="AL22" s="83" t="str">
        <f t="shared" si="11"/>
        <v>Mencapai kompetensi dengan baik dalam hal</v>
      </c>
      <c r="AM22" s="82">
        <v>83</v>
      </c>
      <c r="AN22" s="83" t="str">
        <f t="shared" si="12"/>
        <v>Mencapai kompetensi dengan baik dalam hal</v>
      </c>
      <c r="AO22" s="75">
        <f t="shared" si="18"/>
        <v>83</v>
      </c>
      <c r="AP22" s="82">
        <v>83</v>
      </c>
      <c r="AQ22" s="83" t="str">
        <f t="shared" si="13"/>
        <v>Mencapai kompetensi dengan baik dalam hal</v>
      </c>
      <c r="AR22" s="82">
        <v>80</v>
      </c>
      <c r="AS22" s="83" t="str">
        <f t="shared" si="14"/>
        <v>Mencapai kompetensi dengan baik dalam hal</v>
      </c>
      <c r="AT22" s="86" t="s">
        <v>81</v>
      </c>
      <c r="AU22" s="86" t="s">
        <v>81</v>
      </c>
      <c r="AV22" s="86" t="s">
        <v>81</v>
      </c>
      <c r="AW22" s="82">
        <v>1</v>
      </c>
      <c r="AX22" s="82" t="s">
        <v>82</v>
      </c>
      <c r="AY22" s="83" t="s">
        <v>83</v>
      </c>
      <c r="AZ22" s="82" t="s">
        <v>84</v>
      </c>
      <c r="BA22" s="83" t="str">
        <f t="shared" si="15"/>
        <v>Baik</v>
      </c>
      <c r="BB22" s="82">
        <v>2</v>
      </c>
      <c r="BC22" s="83" t="s">
        <v>162</v>
      </c>
      <c r="BD22" s="83" t="s">
        <v>83</v>
      </c>
      <c r="BE22" s="82" t="s">
        <v>86</v>
      </c>
      <c r="BF22" s="83" t="str">
        <f t="shared" si="16"/>
        <v>Sangat baik</v>
      </c>
      <c r="BG22" s="82"/>
      <c r="BH22" s="82"/>
      <c r="BI22" s="82"/>
      <c r="BJ22" s="82"/>
      <c r="BK22" s="83"/>
      <c r="BM22" s="88"/>
      <c r="BN22" s="88"/>
      <c r="BO22" s="88"/>
      <c r="BP22" s="88"/>
      <c r="BQ22" s="88"/>
      <c r="BR22" s="88"/>
      <c r="BT22" s="81">
        <f t="shared" si="17"/>
        <v>0</v>
      </c>
    </row>
    <row r="23" spans="1:72" ht="23.25" customHeight="1" x14ac:dyDescent="0.25">
      <c r="A23" s="82">
        <v>22</v>
      </c>
      <c r="B23" s="82">
        <v>2525891</v>
      </c>
      <c r="C23" s="82" t="s">
        <v>573</v>
      </c>
      <c r="D23" s="83" t="s">
        <v>574</v>
      </c>
      <c r="E23" s="82" t="s">
        <v>529</v>
      </c>
      <c r="F23" s="82" t="s">
        <v>530</v>
      </c>
      <c r="G23" s="82" t="s">
        <v>531</v>
      </c>
      <c r="H23" s="82" t="s">
        <v>532</v>
      </c>
      <c r="I23" s="84" t="s">
        <v>76</v>
      </c>
      <c r="J23" s="85" t="s">
        <v>77</v>
      </c>
      <c r="K23" s="85" t="s">
        <v>78</v>
      </c>
      <c r="L23" s="85" t="s">
        <v>79</v>
      </c>
      <c r="M23" s="82">
        <v>80</v>
      </c>
      <c r="N23" s="83" t="str">
        <f t="shared" si="0"/>
        <v>Mencapai kompetensi dengan baik dalam hal</v>
      </c>
      <c r="O23" s="82">
        <v>77</v>
      </c>
      <c r="P23" s="83" t="str">
        <f t="shared" si="0"/>
        <v>Mencapai kompetensi dengan baik dalam hal</v>
      </c>
      <c r="Q23" s="82">
        <v>80</v>
      </c>
      <c r="R23" s="83" t="str">
        <f t="shared" si="1"/>
        <v>Mencapai kompetensi dengan baik dalam hal</v>
      </c>
      <c r="S23" s="82">
        <v>80</v>
      </c>
      <c r="T23" s="83" t="str">
        <f t="shared" si="2"/>
        <v>Mencapai kompetensi dengan baik dalam hal</v>
      </c>
      <c r="U23" s="82">
        <v>87</v>
      </c>
      <c r="V23" s="83" t="str">
        <f t="shared" si="3"/>
        <v>Mencapai kompetensi dengan baik dalam hal</v>
      </c>
      <c r="W23" s="82">
        <v>80</v>
      </c>
      <c r="X23" s="83" t="str">
        <f t="shared" si="4"/>
        <v>Mencapai kompetensi dengan baik dalam hal</v>
      </c>
      <c r="Y23" s="82">
        <v>80</v>
      </c>
      <c r="Z23" s="83" t="str">
        <f t="shared" si="5"/>
        <v>Mencapai kompetensi dengan baik dalam hal</v>
      </c>
      <c r="AA23" s="82">
        <v>83</v>
      </c>
      <c r="AB23" s="83" t="str">
        <f t="shared" si="6"/>
        <v>Mencapai kompetensi dengan baik dalam hal</v>
      </c>
      <c r="AC23" s="82">
        <v>83</v>
      </c>
      <c r="AD23" s="83" t="str">
        <f t="shared" si="7"/>
        <v>Mencapai kompetensi dengan baik dalam hal</v>
      </c>
      <c r="AE23" s="82">
        <v>86</v>
      </c>
      <c r="AF23" s="83" t="str">
        <f t="shared" si="8"/>
        <v>Mencapai kompetensi dengan baik dalam hal</v>
      </c>
      <c r="AG23" s="82">
        <v>80</v>
      </c>
      <c r="AH23" s="83" t="str">
        <f t="shared" si="9"/>
        <v>Mencapai kompetensi dengan baik dalam hal</v>
      </c>
      <c r="AI23" s="82">
        <v>80</v>
      </c>
      <c r="AJ23" s="83" t="str">
        <f t="shared" si="10"/>
        <v>Mencapai kompetensi dengan baik dalam hal</v>
      </c>
      <c r="AK23" s="82">
        <v>80</v>
      </c>
      <c r="AL23" s="83" t="str">
        <f t="shared" si="11"/>
        <v>Mencapai kompetensi dengan baik dalam hal</v>
      </c>
      <c r="AM23" s="82">
        <v>80</v>
      </c>
      <c r="AN23" s="83" t="str">
        <f t="shared" si="12"/>
        <v>Mencapai kompetensi dengan baik dalam hal</v>
      </c>
      <c r="AO23" s="75">
        <f t="shared" si="18"/>
        <v>80</v>
      </c>
      <c r="AP23" s="82">
        <v>83</v>
      </c>
      <c r="AQ23" s="83" t="str">
        <f t="shared" si="13"/>
        <v>Mencapai kompetensi dengan baik dalam hal</v>
      </c>
      <c r="AR23" s="82">
        <v>81</v>
      </c>
      <c r="AS23" s="83" t="str">
        <f t="shared" si="14"/>
        <v>Mencapai kompetensi dengan baik dalam hal</v>
      </c>
      <c r="AT23" s="86" t="s">
        <v>81</v>
      </c>
      <c r="AU23" s="86" t="s">
        <v>81</v>
      </c>
      <c r="AV23" s="86" t="s">
        <v>81</v>
      </c>
      <c r="AW23" s="82">
        <v>1</v>
      </c>
      <c r="AX23" s="82" t="s">
        <v>82</v>
      </c>
      <c r="AY23" s="83" t="s">
        <v>83</v>
      </c>
      <c r="AZ23" s="82" t="s">
        <v>84</v>
      </c>
      <c r="BA23" s="83" t="str">
        <f t="shared" si="15"/>
        <v>Baik</v>
      </c>
      <c r="BB23" s="82">
        <v>2</v>
      </c>
      <c r="BC23" s="83" t="s">
        <v>227</v>
      </c>
      <c r="BD23" s="83" t="s">
        <v>83</v>
      </c>
      <c r="BE23" s="82" t="s">
        <v>86</v>
      </c>
      <c r="BF23" s="83" t="str">
        <f t="shared" si="16"/>
        <v>Sangat baik</v>
      </c>
      <c r="BG23" s="82"/>
      <c r="BH23" s="82"/>
      <c r="BI23" s="82"/>
      <c r="BJ23" s="82"/>
      <c r="BK23" s="83"/>
      <c r="BM23" s="81"/>
      <c r="BN23" s="81"/>
      <c r="BO23" s="81"/>
      <c r="BP23" s="81"/>
      <c r="BQ23" s="81"/>
      <c r="BR23" s="81"/>
      <c r="BT23" s="81">
        <f t="shared" si="17"/>
        <v>0</v>
      </c>
    </row>
    <row r="24" spans="1:72" ht="23.25" customHeight="1" x14ac:dyDescent="0.25">
      <c r="A24" s="82">
        <v>23</v>
      </c>
      <c r="B24" s="82">
        <v>2525892</v>
      </c>
      <c r="C24" s="82" t="s">
        <v>575</v>
      </c>
      <c r="D24" s="83" t="s">
        <v>576</v>
      </c>
      <c r="E24" s="82" t="s">
        <v>529</v>
      </c>
      <c r="F24" s="82" t="s">
        <v>530</v>
      </c>
      <c r="G24" s="82" t="s">
        <v>531</v>
      </c>
      <c r="H24" s="82" t="s">
        <v>532</v>
      </c>
      <c r="I24" s="84" t="s">
        <v>76</v>
      </c>
      <c r="J24" s="85" t="s">
        <v>77</v>
      </c>
      <c r="K24" s="85" t="s">
        <v>78</v>
      </c>
      <c r="L24" s="85" t="s">
        <v>79</v>
      </c>
      <c r="M24" s="82">
        <v>78</v>
      </c>
      <c r="N24" s="83" t="str">
        <f t="shared" si="0"/>
        <v>Mencapai kompetensi dengan baik dalam hal</v>
      </c>
      <c r="O24" s="82">
        <v>75</v>
      </c>
      <c r="P24" s="83" t="str">
        <f t="shared" si="0"/>
        <v>Mencapai kompetensi dengan baik dalam hal</v>
      </c>
      <c r="Q24" s="82">
        <v>75</v>
      </c>
      <c r="R24" s="83" t="str">
        <f t="shared" si="1"/>
        <v>Mencapai kompetensi dengan baik dalam hal</v>
      </c>
      <c r="S24" s="82">
        <v>82</v>
      </c>
      <c r="T24" s="83" t="str">
        <f t="shared" si="2"/>
        <v>Mencapai kompetensi dengan baik dalam hal</v>
      </c>
      <c r="U24" s="82">
        <v>75</v>
      </c>
      <c r="V24" s="83" t="str">
        <f t="shared" si="3"/>
        <v>Mencapai kompetensi dengan baik dalam hal</v>
      </c>
      <c r="W24" s="82">
        <v>75</v>
      </c>
      <c r="X24" s="83" t="str">
        <f t="shared" si="4"/>
        <v>Mencapai kompetensi dengan baik dalam hal</v>
      </c>
      <c r="Y24" s="82">
        <v>78</v>
      </c>
      <c r="Z24" s="83" t="str">
        <f t="shared" si="5"/>
        <v>Mencapai kompetensi dengan baik dalam hal</v>
      </c>
      <c r="AA24" s="82">
        <v>76</v>
      </c>
      <c r="AB24" s="83" t="str">
        <f t="shared" si="6"/>
        <v>Mencapai kompetensi dengan baik dalam hal</v>
      </c>
      <c r="AC24" s="82">
        <v>76</v>
      </c>
      <c r="AD24" s="83" t="str">
        <f t="shared" si="7"/>
        <v>Mencapai kompetensi dengan baik dalam hal</v>
      </c>
      <c r="AE24" s="82">
        <v>75</v>
      </c>
      <c r="AF24" s="83" t="str">
        <f t="shared" si="8"/>
        <v>Mencapai kompetensi dengan baik dalam hal</v>
      </c>
      <c r="AG24" s="82">
        <v>76</v>
      </c>
      <c r="AH24" s="83" t="str">
        <f t="shared" si="9"/>
        <v>Mencapai kompetensi dengan baik dalam hal</v>
      </c>
      <c r="AI24" s="82">
        <v>76</v>
      </c>
      <c r="AJ24" s="83" t="str">
        <f t="shared" si="10"/>
        <v>Mencapai kompetensi dengan baik dalam hal</v>
      </c>
      <c r="AK24" s="82">
        <v>76</v>
      </c>
      <c r="AL24" s="83" t="str">
        <f t="shared" si="11"/>
        <v>Mencapai kompetensi dengan baik dalam hal</v>
      </c>
      <c r="AM24" s="82">
        <v>76</v>
      </c>
      <c r="AN24" s="83" t="str">
        <f t="shared" si="12"/>
        <v>Mencapai kompetensi dengan baik dalam hal</v>
      </c>
      <c r="AO24" s="75">
        <f t="shared" si="18"/>
        <v>76</v>
      </c>
      <c r="AP24" s="82">
        <v>76</v>
      </c>
      <c r="AQ24" s="83" t="str">
        <f t="shared" si="13"/>
        <v>Mencapai kompetensi dengan baik dalam hal</v>
      </c>
      <c r="AR24" s="82">
        <v>75</v>
      </c>
      <c r="AS24" s="83" t="str">
        <f t="shared" si="14"/>
        <v>Mencapai kompetensi dengan baik dalam hal</v>
      </c>
      <c r="AT24" s="86">
        <v>1</v>
      </c>
      <c r="AU24" s="86" t="s">
        <v>81</v>
      </c>
      <c r="AV24" s="86" t="s">
        <v>81</v>
      </c>
      <c r="AW24" s="82">
        <v>1</v>
      </c>
      <c r="AX24" s="82" t="s">
        <v>82</v>
      </c>
      <c r="AY24" s="83" t="s">
        <v>83</v>
      </c>
      <c r="AZ24" s="82" t="s">
        <v>84</v>
      </c>
      <c r="BA24" s="83" t="str">
        <f t="shared" si="15"/>
        <v>Baik</v>
      </c>
      <c r="BB24" s="82">
        <v>2</v>
      </c>
      <c r="BC24" s="83" t="s">
        <v>236</v>
      </c>
      <c r="BD24" s="83" t="s">
        <v>83</v>
      </c>
      <c r="BE24" s="82" t="s">
        <v>104</v>
      </c>
      <c r="BF24" s="83" t="str">
        <f t="shared" si="16"/>
        <v>Cukup</v>
      </c>
      <c r="BG24" s="82"/>
      <c r="BH24" s="82"/>
      <c r="BI24" s="82"/>
      <c r="BJ24" s="82"/>
      <c r="BK24" s="83"/>
      <c r="BM24" s="81"/>
      <c r="BN24" s="81"/>
      <c r="BO24" s="81"/>
      <c r="BP24" s="81"/>
      <c r="BQ24" s="81"/>
      <c r="BR24" s="81"/>
      <c r="BT24" s="81">
        <f t="shared" si="17"/>
        <v>0</v>
      </c>
    </row>
    <row r="25" spans="1:72" ht="23.25" customHeight="1" x14ac:dyDescent="0.25">
      <c r="A25" s="82">
        <v>24</v>
      </c>
      <c r="B25" s="82">
        <v>2525893</v>
      </c>
      <c r="C25" s="82" t="s">
        <v>577</v>
      </c>
      <c r="D25" s="83" t="s">
        <v>578</v>
      </c>
      <c r="E25" s="82" t="s">
        <v>529</v>
      </c>
      <c r="F25" s="82" t="s">
        <v>530</v>
      </c>
      <c r="G25" s="82" t="s">
        <v>531</v>
      </c>
      <c r="H25" s="82" t="s">
        <v>532</v>
      </c>
      <c r="I25" s="84" t="s">
        <v>76</v>
      </c>
      <c r="J25" s="85" t="s">
        <v>77</v>
      </c>
      <c r="K25" s="85" t="s">
        <v>78</v>
      </c>
      <c r="L25" s="85" t="s">
        <v>79</v>
      </c>
      <c r="M25" s="82">
        <v>82</v>
      </c>
      <c r="N25" s="83" t="str">
        <f t="shared" si="0"/>
        <v>Mencapai kompetensi dengan baik dalam hal</v>
      </c>
      <c r="O25" s="82">
        <v>75</v>
      </c>
      <c r="P25" s="83" t="str">
        <f t="shared" si="0"/>
        <v>Mencapai kompetensi dengan baik dalam hal</v>
      </c>
      <c r="Q25" s="82">
        <v>77</v>
      </c>
      <c r="R25" s="83" t="str">
        <f t="shared" si="1"/>
        <v>Mencapai kompetensi dengan baik dalam hal</v>
      </c>
      <c r="S25" s="82">
        <v>80</v>
      </c>
      <c r="T25" s="83" t="str">
        <f t="shared" si="2"/>
        <v>Mencapai kompetensi dengan baik dalam hal</v>
      </c>
      <c r="U25" s="82">
        <v>78</v>
      </c>
      <c r="V25" s="83" t="str">
        <f t="shared" si="3"/>
        <v>Mencapai kompetensi dengan baik dalam hal</v>
      </c>
      <c r="W25" s="82">
        <v>83</v>
      </c>
      <c r="X25" s="83" t="str">
        <f t="shared" si="4"/>
        <v>Mencapai kompetensi dengan baik dalam hal</v>
      </c>
      <c r="Y25" s="82">
        <v>78</v>
      </c>
      <c r="Z25" s="83" t="str">
        <f t="shared" si="5"/>
        <v>Mencapai kompetensi dengan baik dalam hal</v>
      </c>
      <c r="AA25" s="82">
        <v>78</v>
      </c>
      <c r="AB25" s="83" t="str">
        <f t="shared" si="6"/>
        <v>Mencapai kompetensi dengan baik dalam hal</v>
      </c>
      <c r="AC25" s="82">
        <v>78</v>
      </c>
      <c r="AD25" s="83" t="str">
        <f t="shared" si="7"/>
        <v>Mencapai kompetensi dengan baik dalam hal</v>
      </c>
      <c r="AE25" s="82">
        <v>83</v>
      </c>
      <c r="AF25" s="83" t="str">
        <f t="shared" si="8"/>
        <v>Mencapai kompetensi dengan baik dalam hal</v>
      </c>
      <c r="AG25" s="82">
        <v>85</v>
      </c>
      <c r="AH25" s="83" t="str">
        <f t="shared" si="9"/>
        <v>Mencapai kompetensi dengan baik dalam hal</v>
      </c>
      <c r="AI25" s="82">
        <v>85</v>
      </c>
      <c r="AJ25" s="83" t="str">
        <f t="shared" si="10"/>
        <v>Mencapai kompetensi dengan baik dalam hal</v>
      </c>
      <c r="AK25" s="82">
        <v>85</v>
      </c>
      <c r="AL25" s="83" t="str">
        <f t="shared" si="11"/>
        <v>Mencapai kompetensi dengan baik dalam hal</v>
      </c>
      <c r="AM25" s="82">
        <v>85</v>
      </c>
      <c r="AN25" s="83" t="str">
        <f t="shared" si="12"/>
        <v>Mencapai kompetensi dengan baik dalam hal</v>
      </c>
      <c r="AO25" s="75">
        <f t="shared" si="18"/>
        <v>85</v>
      </c>
      <c r="AP25" s="82">
        <v>78</v>
      </c>
      <c r="AQ25" s="83" t="str">
        <f t="shared" si="13"/>
        <v>Mencapai kompetensi dengan baik dalam hal</v>
      </c>
      <c r="AR25" s="82">
        <v>75</v>
      </c>
      <c r="AS25" s="83" t="str">
        <f t="shared" si="14"/>
        <v>Mencapai kompetensi dengan baik dalam hal</v>
      </c>
      <c r="AT25" s="86" t="s">
        <v>81</v>
      </c>
      <c r="AU25" s="86" t="s">
        <v>81</v>
      </c>
      <c r="AV25" s="86" t="s">
        <v>81</v>
      </c>
      <c r="AW25" s="82">
        <v>1</v>
      </c>
      <c r="AX25" s="82" t="s">
        <v>82</v>
      </c>
      <c r="AY25" s="83" t="s">
        <v>83</v>
      </c>
      <c r="AZ25" s="82" t="s">
        <v>86</v>
      </c>
      <c r="BA25" s="83" t="str">
        <f t="shared" si="15"/>
        <v>Sangat baik</v>
      </c>
      <c r="BB25" s="82">
        <v>2</v>
      </c>
      <c r="BC25" s="83" t="s">
        <v>579</v>
      </c>
      <c r="BD25" s="83" t="s">
        <v>83</v>
      </c>
      <c r="BE25" s="82" t="s">
        <v>84</v>
      </c>
      <c r="BF25" s="83" t="str">
        <f t="shared" si="16"/>
        <v>Baik</v>
      </c>
      <c r="BG25" s="82"/>
      <c r="BH25" s="82"/>
      <c r="BI25" s="82"/>
      <c r="BJ25" s="82"/>
      <c r="BK25" s="83"/>
      <c r="BM25" s="81"/>
      <c r="BN25" s="81"/>
      <c r="BO25" s="81"/>
      <c r="BP25" s="81"/>
      <c r="BQ25" s="81"/>
      <c r="BR25" s="81"/>
      <c r="BT25" s="81">
        <f t="shared" si="17"/>
        <v>0</v>
      </c>
    </row>
    <row r="26" spans="1:72" ht="23.25" customHeight="1" x14ac:dyDescent="0.25">
      <c r="A26" s="82">
        <v>25</v>
      </c>
      <c r="B26" s="82">
        <v>2525894</v>
      </c>
      <c r="C26" s="82" t="s">
        <v>580</v>
      </c>
      <c r="D26" s="83" t="s">
        <v>581</v>
      </c>
      <c r="E26" s="82" t="s">
        <v>529</v>
      </c>
      <c r="F26" s="82" t="s">
        <v>530</v>
      </c>
      <c r="G26" s="82" t="s">
        <v>531</v>
      </c>
      <c r="H26" s="82" t="s">
        <v>532</v>
      </c>
      <c r="I26" s="84" t="s">
        <v>76</v>
      </c>
      <c r="J26" s="85" t="s">
        <v>77</v>
      </c>
      <c r="K26" s="85" t="s">
        <v>78</v>
      </c>
      <c r="L26" s="85" t="s">
        <v>79</v>
      </c>
      <c r="M26" s="82">
        <v>83</v>
      </c>
      <c r="N26" s="83" t="str">
        <f t="shared" si="0"/>
        <v>Mencapai kompetensi dengan baik dalam hal</v>
      </c>
      <c r="O26" s="82">
        <v>77</v>
      </c>
      <c r="P26" s="83" t="str">
        <f t="shared" si="0"/>
        <v>Mencapai kompetensi dengan baik dalam hal</v>
      </c>
      <c r="Q26" s="82">
        <v>75</v>
      </c>
      <c r="R26" s="83" t="str">
        <f t="shared" si="1"/>
        <v>Mencapai kompetensi dengan baik dalam hal</v>
      </c>
      <c r="S26" s="82">
        <v>82</v>
      </c>
      <c r="T26" s="83" t="str">
        <f t="shared" si="2"/>
        <v>Mencapai kompetensi dengan baik dalam hal</v>
      </c>
      <c r="U26" s="82">
        <v>83</v>
      </c>
      <c r="V26" s="83" t="str">
        <f t="shared" si="3"/>
        <v>Mencapai kompetensi dengan baik dalam hal</v>
      </c>
      <c r="W26" s="82">
        <v>76</v>
      </c>
      <c r="X26" s="83" t="str">
        <f t="shared" si="4"/>
        <v>Mencapai kompetensi dengan baik dalam hal</v>
      </c>
      <c r="Y26" s="82">
        <v>80</v>
      </c>
      <c r="Z26" s="83" t="str">
        <f t="shared" si="5"/>
        <v>Mencapai kompetensi dengan baik dalam hal</v>
      </c>
      <c r="AA26" s="82">
        <v>78</v>
      </c>
      <c r="AB26" s="83" t="str">
        <f t="shared" si="6"/>
        <v>Mencapai kompetensi dengan baik dalam hal</v>
      </c>
      <c r="AC26" s="82">
        <v>78</v>
      </c>
      <c r="AD26" s="83" t="str">
        <f t="shared" si="7"/>
        <v>Mencapai kompetensi dengan baik dalam hal</v>
      </c>
      <c r="AE26" s="82">
        <v>83</v>
      </c>
      <c r="AF26" s="83" t="str">
        <f t="shared" si="8"/>
        <v>Mencapai kompetensi dengan baik dalam hal</v>
      </c>
      <c r="AG26" s="82">
        <v>83</v>
      </c>
      <c r="AH26" s="83" t="str">
        <f t="shared" si="9"/>
        <v>Mencapai kompetensi dengan baik dalam hal</v>
      </c>
      <c r="AI26" s="82">
        <v>83</v>
      </c>
      <c r="AJ26" s="83" t="str">
        <f t="shared" si="10"/>
        <v>Mencapai kompetensi dengan baik dalam hal</v>
      </c>
      <c r="AK26" s="82">
        <v>83</v>
      </c>
      <c r="AL26" s="83" t="str">
        <f t="shared" si="11"/>
        <v>Mencapai kompetensi dengan baik dalam hal</v>
      </c>
      <c r="AM26" s="82">
        <v>83</v>
      </c>
      <c r="AN26" s="83" t="str">
        <f t="shared" si="12"/>
        <v>Mencapai kompetensi dengan baik dalam hal</v>
      </c>
      <c r="AO26" s="75">
        <f t="shared" si="18"/>
        <v>83</v>
      </c>
      <c r="AP26" s="82">
        <v>78</v>
      </c>
      <c r="AQ26" s="83" t="str">
        <f t="shared" si="13"/>
        <v>Mencapai kompetensi dengan baik dalam hal</v>
      </c>
      <c r="AR26" s="82">
        <v>78</v>
      </c>
      <c r="AS26" s="83" t="str">
        <f t="shared" si="14"/>
        <v>Mencapai kompetensi dengan baik dalam hal</v>
      </c>
      <c r="AT26" s="86" t="s">
        <v>81</v>
      </c>
      <c r="AU26" s="86" t="s">
        <v>81</v>
      </c>
      <c r="AV26" s="86" t="s">
        <v>81</v>
      </c>
      <c r="AW26" s="82">
        <v>1</v>
      </c>
      <c r="AX26" s="82" t="s">
        <v>82</v>
      </c>
      <c r="AY26" s="83" t="s">
        <v>83</v>
      </c>
      <c r="AZ26" s="82" t="s">
        <v>84</v>
      </c>
      <c r="BA26" s="83" t="str">
        <f t="shared" si="15"/>
        <v>Baik</v>
      </c>
      <c r="BB26" s="82">
        <v>2</v>
      </c>
      <c r="BC26" s="83" t="s">
        <v>99</v>
      </c>
      <c r="BD26" s="83" t="s">
        <v>83</v>
      </c>
      <c r="BE26" s="82" t="s">
        <v>84</v>
      </c>
      <c r="BF26" s="83" t="str">
        <f t="shared" si="16"/>
        <v>Baik</v>
      </c>
      <c r="BG26" s="82"/>
      <c r="BH26" s="82"/>
      <c r="BI26" s="82"/>
      <c r="BJ26" s="82"/>
      <c r="BK26" s="83"/>
      <c r="BM26" s="81"/>
      <c r="BN26" s="81"/>
      <c r="BO26" s="81"/>
      <c r="BP26" s="81"/>
      <c r="BQ26" s="81"/>
      <c r="BR26" s="81"/>
      <c r="BT26" s="81">
        <f t="shared" si="17"/>
        <v>0</v>
      </c>
    </row>
    <row r="27" spans="1:72" ht="23.25" customHeight="1" x14ac:dyDescent="0.25">
      <c r="A27" s="82">
        <v>26</v>
      </c>
      <c r="B27" s="82">
        <v>2525895</v>
      </c>
      <c r="C27" s="82" t="s">
        <v>582</v>
      </c>
      <c r="D27" s="83" t="s">
        <v>583</v>
      </c>
      <c r="E27" s="82" t="s">
        <v>529</v>
      </c>
      <c r="F27" s="82" t="s">
        <v>530</v>
      </c>
      <c r="G27" s="82" t="s">
        <v>531</v>
      </c>
      <c r="H27" s="82" t="s">
        <v>532</v>
      </c>
      <c r="I27" s="84" t="s">
        <v>76</v>
      </c>
      <c r="J27" s="85" t="s">
        <v>77</v>
      </c>
      <c r="K27" s="85" t="s">
        <v>78</v>
      </c>
      <c r="L27" s="85" t="s">
        <v>79</v>
      </c>
      <c r="M27" s="82">
        <v>81</v>
      </c>
      <c r="N27" s="83" t="str">
        <f t="shared" si="0"/>
        <v>Mencapai kompetensi dengan baik dalam hal</v>
      </c>
      <c r="O27" s="82">
        <v>77</v>
      </c>
      <c r="P27" s="83" t="str">
        <f t="shared" si="0"/>
        <v>Mencapai kompetensi dengan baik dalam hal</v>
      </c>
      <c r="Q27" s="82">
        <v>75</v>
      </c>
      <c r="R27" s="83" t="str">
        <f t="shared" si="1"/>
        <v>Mencapai kompetensi dengan baik dalam hal</v>
      </c>
      <c r="S27" s="82">
        <v>82</v>
      </c>
      <c r="T27" s="83" t="str">
        <f t="shared" si="2"/>
        <v>Mencapai kompetensi dengan baik dalam hal</v>
      </c>
      <c r="U27" s="82">
        <v>78</v>
      </c>
      <c r="V27" s="83" t="str">
        <f t="shared" si="3"/>
        <v>Mencapai kompetensi dengan baik dalam hal</v>
      </c>
      <c r="W27" s="82">
        <v>75</v>
      </c>
      <c r="X27" s="83" t="str">
        <f t="shared" si="4"/>
        <v>Mencapai kompetensi dengan baik dalam hal</v>
      </c>
      <c r="Y27" s="82">
        <v>77</v>
      </c>
      <c r="Z27" s="83" t="str">
        <f t="shared" si="5"/>
        <v>Mencapai kompetensi dengan baik dalam hal</v>
      </c>
      <c r="AA27" s="82">
        <v>82</v>
      </c>
      <c r="AB27" s="83" t="str">
        <f t="shared" si="6"/>
        <v>Mencapai kompetensi dengan baik dalam hal</v>
      </c>
      <c r="AC27" s="82">
        <v>78</v>
      </c>
      <c r="AD27" s="83" t="str">
        <f t="shared" si="7"/>
        <v>Mencapai kompetensi dengan baik dalam hal</v>
      </c>
      <c r="AE27" s="82">
        <v>83</v>
      </c>
      <c r="AF27" s="83" t="str">
        <f t="shared" si="8"/>
        <v>Mencapai kompetensi dengan baik dalam hal</v>
      </c>
      <c r="AG27" s="82">
        <v>81</v>
      </c>
      <c r="AH27" s="83" t="str">
        <f t="shared" si="9"/>
        <v>Mencapai kompetensi dengan baik dalam hal</v>
      </c>
      <c r="AI27" s="82">
        <v>81</v>
      </c>
      <c r="AJ27" s="83" t="str">
        <f t="shared" si="10"/>
        <v>Mencapai kompetensi dengan baik dalam hal</v>
      </c>
      <c r="AK27" s="82">
        <v>81</v>
      </c>
      <c r="AL27" s="83" t="str">
        <f t="shared" si="11"/>
        <v>Mencapai kompetensi dengan baik dalam hal</v>
      </c>
      <c r="AM27" s="82">
        <v>81</v>
      </c>
      <c r="AN27" s="83" t="str">
        <f t="shared" si="12"/>
        <v>Mencapai kompetensi dengan baik dalam hal</v>
      </c>
      <c r="AO27" s="75">
        <f t="shared" si="18"/>
        <v>81</v>
      </c>
      <c r="AP27" s="82">
        <v>78</v>
      </c>
      <c r="AQ27" s="83" t="str">
        <f t="shared" si="13"/>
        <v>Mencapai kompetensi dengan baik dalam hal</v>
      </c>
      <c r="AR27" s="82">
        <v>79</v>
      </c>
      <c r="AS27" s="83" t="str">
        <f t="shared" si="14"/>
        <v>Mencapai kompetensi dengan baik dalam hal</v>
      </c>
      <c r="AT27" s="86" t="s">
        <v>81</v>
      </c>
      <c r="AU27" s="86" t="s">
        <v>81</v>
      </c>
      <c r="AV27" s="86" t="s">
        <v>81</v>
      </c>
      <c r="AW27" s="82">
        <v>1</v>
      </c>
      <c r="AX27" s="82" t="s">
        <v>82</v>
      </c>
      <c r="AY27" s="83" t="s">
        <v>83</v>
      </c>
      <c r="AZ27" s="82" t="s">
        <v>86</v>
      </c>
      <c r="BA27" s="83" t="str">
        <f t="shared" si="15"/>
        <v>Sangat baik</v>
      </c>
      <c r="BB27" s="82">
        <v>2</v>
      </c>
      <c r="BC27" s="83" t="s">
        <v>99</v>
      </c>
      <c r="BD27" s="83" t="s">
        <v>83</v>
      </c>
      <c r="BE27" s="82" t="s">
        <v>84</v>
      </c>
      <c r="BF27" s="83" t="str">
        <f t="shared" si="16"/>
        <v>Baik</v>
      </c>
      <c r="BG27" s="82"/>
      <c r="BH27" s="82"/>
      <c r="BI27" s="82"/>
      <c r="BJ27" s="82"/>
      <c r="BK27" s="83"/>
      <c r="BM27" s="88"/>
      <c r="BN27" s="88"/>
      <c r="BO27" s="88"/>
      <c r="BP27" s="88"/>
      <c r="BQ27" s="88"/>
      <c r="BR27" s="88"/>
      <c r="BT27" s="81">
        <f t="shared" si="17"/>
        <v>0</v>
      </c>
    </row>
    <row r="28" spans="1:72" ht="23.25" customHeight="1" x14ac:dyDescent="0.25">
      <c r="A28" s="82">
        <v>27</v>
      </c>
      <c r="B28" s="82">
        <v>2525896</v>
      </c>
      <c r="C28" s="82" t="s">
        <v>584</v>
      </c>
      <c r="D28" s="83" t="s">
        <v>585</v>
      </c>
      <c r="E28" s="82" t="s">
        <v>529</v>
      </c>
      <c r="F28" s="82" t="s">
        <v>530</v>
      </c>
      <c r="G28" s="82" t="s">
        <v>531</v>
      </c>
      <c r="H28" s="82" t="s">
        <v>532</v>
      </c>
      <c r="I28" s="84" t="s">
        <v>76</v>
      </c>
      <c r="J28" s="85" t="s">
        <v>77</v>
      </c>
      <c r="K28" s="85" t="s">
        <v>78</v>
      </c>
      <c r="L28" s="85" t="s">
        <v>79</v>
      </c>
      <c r="M28" s="82">
        <v>77</v>
      </c>
      <c r="N28" s="83" t="str">
        <f t="shared" si="0"/>
        <v>Mencapai kompetensi dengan baik dalam hal</v>
      </c>
      <c r="O28" s="82">
        <v>77</v>
      </c>
      <c r="P28" s="83" t="str">
        <f t="shared" si="0"/>
        <v>Mencapai kompetensi dengan baik dalam hal</v>
      </c>
      <c r="Q28" s="82">
        <v>75</v>
      </c>
      <c r="R28" s="83" t="str">
        <f t="shared" si="1"/>
        <v>Mencapai kompetensi dengan baik dalam hal</v>
      </c>
      <c r="S28" s="82">
        <v>80</v>
      </c>
      <c r="T28" s="83" t="str">
        <f t="shared" si="2"/>
        <v>Mencapai kompetensi dengan baik dalam hal</v>
      </c>
      <c r="U28" s="82">
        <v>77</v>
      </c>
      <c r="V28" s="83" t="str">
        <f t="shared" si="3"/>
        <v>Mencapai kompetensi dengan baik dalam hal</v>
      </c>
      <c r="W28" s="82">
        <v>75</v>
      </c>
      <c r="X28" s="83" t="str">
        <f t="shared" si="4"/>
        <v>Mencapai kompetensi dengan baik dalam hal</v>
      </c>
      <c r="Y28" s="82">
        <v>80</v>
      </c>
      <c r="Z28" s="83" t="str">
        <f t="shared" si="5"/>
        <v>Mencapai kompetensi dengan baik dalam hal</v>
      </c>
      <c r="AA28" s="82">
        <v>78</v>
      </c>
      <c r="AB28" s="83" t="str">
        <f t="shared" si="6"/>
        <v>Mencapai kompetensi dengan baik dalam hal</v>
      </c>
      <c r="AC28" s="82">
        <v>76</v>
      </c>
      <c r="AD28" s="83" t="str">
        <f t="shared" si="7"/>
        <v>Mencapai kompetensi dengan baik dalam hal</v>
      </c>
      <c r="AE28" s="82">
        <v>84</v>
      </c>
      <c r="AF28" s="83" t="str">
        <f t="shared" si="8"/>
        <v>Mencapai kompetensi dengan baik dalam hal</v>
      </c>
      <c r="AG28" s="82">
        <v>80</v>
      </c>
      <c r="AH28" s="83" t="str">
        <f t="shared" si="9"/>
        <v>Mencapai kompetensi dengan baik dalam hal</v>
      </c>
      <c r="AI28" s="82">
        <v>80</v>
      </c>
      <c r="AJ28" s="83" t="str">
        <f t="shared" si="10"/>
        <v>Mencapai kompetensi dengan baik dalam hal</v>
      </c>
      <c r="AK28" s="82">
        <v>80</v>
      </c>
      <c r="AL28" s="83" t="str">
        <f t="shared" si="11"/>
        <v>Mencapai kompetensi dengan baik dalam hal</v>
      </c>
      <c r="AM28" s="82">
        <v>80</v>
      </c>
      <c r="AN28" s="83" t="str">
        <f t="shared" si="12"/>
        <v>Mencapai kompetensi dengan baik dalam hal</v>
      </c>
      <c r="AO28" s="75">
        <f t="shared" si="18"/>
        <v>80</v>
      </c>
      <c r="AP28" s="82">
        <v>76</v>
      </c>
      <c r="AQ28" s="83" t="str">
        <f t="shared" si="13"/>
        <v>Mencapai kompetensi dengan baik dalam hal</v>
      </c>
      <c r="AR28" s="82">
        <v>75</v>
      </c>
      <c r="AS28" s="83" t="str">
        <f t="shared" si="14"/>
        <v>Mencapai kompetensi dengan baik dalam hal</v>
      </c>
      <c r="AT28" s="86" t="s">
        <v>81</v>
      </c>
      <c r="AU28" s="86" t="s">
        <v>81</v>
      </c>
      <c r="AV28" s="86" t="s">
        <v>81</v>
      </c>
      <c r="AW28" s="82">
        <v>1</v>
      </c>
      <c r="AX28" s="82" t="s">
        <v>82</v>
      </c>
      <c r="AY28" s="83" t="s">
        <v>83</v>
      </c>
      <c r="AZ28" s="82" t="s">
        <v>86</v>
      </c>
      <c r="BA28" s="83" t="str">
        <f t="shared" si="15"/>
        <v>Sangat baik</v>
      </c>
      <c r="BB28" s="82">
        <v>2</v>
      </c>
      <c r="BC28" s="83" t="s">
        <v>170</v>
      </c>
      <c r="BD28" s="83" t="s">
        <v>83</v>
      </c>
      <c r="BE28" s="82" t="s">
        <v>84</v>
      </c>
      <c r="BF28" s="83" t="str">
        <f t="shared" si="16"/>
        <v>Baik</v>
      </c>
      <c r="BG28" s="82"/>
      <c r="BH28" s="82"/>
      <c r="BI28" s="82"/>
      <c r="BJ28" s="82"/>
      <c r="BK28" s="83"/>
      <c r="BM28" s="81"/>
      <c r="BN28" s="81"/>
      <c r="BO28" s="81"/>
      <c r="BP28" s="81"/>
      <c r="BQ28" s="81"/>
      <c r="BR28" s="81"/>
      <c r="BT28" s="81">
        <f t="shared" si="17"/>
        <v>0</v>
      </c>
    </row>
    <row r="29" spans="1:72" ht="23.25" customHeight="1" x14ac:dyDescent="0.25">
      <c r="A29" s="82">
        <v>28</v>
      </c>
      <c r="B29" s="82">
        <v>2525897</v>
      </c>
      <c r="C29" s="82" t="s">
        <v>586</v>
      </c>
      <c r="D29" s="83" t="s">
        <v>587</v>
      </c>
      <c r="E29" s="82" t="s">
        <v>529</v>
      </c>
      <c r="F29" s="82" t="s">
        <v>530</v>
      </c>
      <c r="G29" s="82" t="s">
        <v>531</v>
      </c>
      <c r="H29" s="82" t="s">
        <v>532</v>
      </c>
      <c r="I29" s="84" t="s">
        <v>76</v>
      </c>
      <c r="J29" s="85" t="s">
        <v>77</v>
      </c>
      <c r="K29" s="85" t="s">
        <v>78</v>
      </c>
      <c r="L29" s="85" t="s">
        <v>79</v>
      </c>
      <c r="M29" s="82">
        <v>81</v>
      </c>
      <c r="N29" s="83" t="str">
        <f t="shared" si="0"/>
        <v>Mencapai kompetensi dengan baik dalam hal</v>
      </c>
      <c r="O29" s="82">
        <v>77</v>
      </c>
      <c r="P29" s="83" t="str">
        <f t="shared" si="0"/>
        <v>Mencapai kompetensi dengan baik dalam hal</v>
      </c>
      <c r="Q29" s="82">
        <v>80</v>
      </c>
      <c r="R29" s="83" t="str">
        <f t="shared" si="1"/>
        <v>Mencapai kompetensi dengan baik dalam hal</v>
      </c>
      <c r="S29" s="82">
        <v>80</v>
      </c>
      <c r="T29" s="83" t="str">
        <f t="shared" si="2"/>
        <v>Mencapai kompetensi dengan baik dalam hal</v>
      </c>
      <c r="U29" s="82">
        <v>87</v>
      </c>
      <c r="V29" s="83" t="str">
        <f t="shared" si="3"/>
        <v>Mencapai kompetensi dengan baik dalam hal</v>
      </c>
      <c r="W29" s="82">
        <v>76</v>
      </c>
      <c r="X29" s="83" t="str">
        <f t="shared" si="4"/>
        <v>Mencapai kompetensi dengan baik dalam hal</v>
      </c>
      <c r="Y29" s="82">
        <v>81</v>
      </c>
      <c r="Z29" s="83" t="str">
        <f t="shared" si="5"/>
        <v>Mencapai kompetensi dengan baik dalam hal</v>
      </c>
      <c r="AA29" s="82">
        <v>80</v>
      </c>
      <c r="AB29" s="83" t="str">
        <f t="shared" si="6"/>
        <v>Mencapai kompetensi dengan baik dalam hal</v>
      </c>
      <c r="AC29" s="82">
        <v>84</v>
      </c>
      <c r="AD29" s="83" t="str">
        <f t="shared" si="7"/>
        <v>Mencapai kompetensi dengan baik dalam hal</v>
      </c>
      <c r="AE29" s="82">
        <v>85</v>
      </c>
      <c r="AF29" s="83" t="str">
        <f t="shared" si="8"/>
        <v>Mencapai kompetensi dengan baik dalam hal</v>
      </c>
      <c r="AG29" s="82">
        <v>88</v>
      </c>
      <c r="AH29" s="83" t="str">
        <f t="shared" si="9"/>
        <v>Mencapai kompetensi dengan baik dalam hal</v>
      </c>
      <c r="AI29" s="82">
        <v>88</v>
      </c>
      <c r="AJ29" s="83" t="str">
        <f t="shared" si="10"/>
        <v>Mencapai kompetensi dengan baik dalam hal</v>
      </c>
      <c r="AK29" s="82">
        <v>88</v>
      </c>
      <c r="AL29" s="83" t="str">
        <f t="shared" si="11"/>
        <v>Mencapai kompetensi dengan baik dalam hal</v>
      </c>
      <c r="AM29" s="82">
        <v>88</v>
      </c>
      <c r="AN29" s="83" t="str">
        <f t="shared" si="12"/>
        <v>Mencapai kompetensi dengan baik dalam hal</v>
      </c>
      <c r="AO29" s="75">
        <f t="shared" si="18"/>
        <v>88</v>
      </c>
      <c r="AP29" s="82">
        <v>84</v>
      </c>
      <c r="AQ29" s="83" t="str">
        <f t="shared" si="13"/>
        <v>Mencapai kompetensi dengan baik dalam hal</v>
      </c>
      <c r="AR29" s="82">
        <v>82</v>
      </c>
      <c r="AS29" s="83" t="str">
        <f t="shared" si="14"/>
        <v>Mencapai kompetensi dengan baik dalam hal</v>
      </c>
      <c r="AT29" s="86" t="s">
        <v>81</v>
      </c>
      <c r="AU29" s="86" t="s">
        <v>81</v>
      </c>
      <c r="AV29" s="86" t="s">
        <v>81</v>
      </c>
      <c r="AW29" s="82">
        <v>1</v>
      </c>
      <c r="AX29" s="82" t="s">
        <v>82</v>
      </c>
      <c r="AY29" s="83" t="s">
        <v>83</v>
      </c>
      <c r="AZ29" s="82" t="s">
        <v>86</v>
      </c>
      <c r="BA29" s="83" t="str">
        <f t="shared" si="15"/>
        <v>Sangat baik</v>
      </c>
      <c r="BB29" s="82">
        <v>2</v>
      </c>
      <c r="BC29" s="83" t="s">
        <v>170</v>
      </c>
      <c r="BD29" s="83" t="s">
        <v>83</v>
      </c>
      <c r="BE29" s="82" t="s">
        <v>86</v>
      </c>
      <c r="BF29" s="83" t="str">
        <f t="shared" si="16"/>
        <v>Sangat baik</v>
      </c>
      <c r="BG29" s="82"/>
      <c r="BH29" s="82"/>
      <c r="BI29" s="82"/>
      <c r="BJ29" s="82"/>
      <c r="BK29" s="83"/>
      <c r="BM29" s="81"/>
      <c r="BN29" s="81"/>
      <c r="BO29" s="81"/>
      <c r="BP29" s="81"/>
      <c r="BQ29" s="81"/>
      <c r="BR29" s="81"/>
      <c r="BT29" s="81">
        <f t="shared" si="17"/>
        <v>0</v>
      </c>
    </row>
    <row r="30" spans="1:72" ht="23.25" customHeight="1" x14ac:dyDescent="0.25">
      <c r="A30" s="82">
        <v>29</v>
      </c>
      <c r="B30" s="82">
        <v>2525898</v>
      </c>
      <c r="C30" s="82" t="s">
        <v>588</v>
      </c>
      <c r="D30" s="83" t="s">
        <v>589</v>
      </c>
      <c r="E30" s="82" t="s">
        <v>529</v>
      </c>
      <c r="F30" s="82" t="s">
        <v>530</v>
      </c>
      <c r="G30" s="82" t="s">
        <v>531</v>
      </c>
      <c r="H30" s="82" t="s">
        <v>532</v>
      </c>
      <c r="I30" s="84" t="s">
        <v>76</v>
      </c>
      <c r="J30" s="85" t="s">
        <v>77</v>
      </c>
      <c r="K30" s="85" t="s">
        <v>78</v>
      </c>
      <c r="L30" s="85" t="s">
        <v>79</v>
      </c>
      <c r="M30" s="82">
        <v>77</v>
      </c>
      <c r="N30" s="83" t="str">
        <f t="shared" si="0"/>
        <v>Mencapai kompetensi dengan baik dalam hal</v>
      </c>
      <c r="O30" s="82">
        <v>75</v>
      </c>
      <c r="P30" s="83" t="str">
        <f t="shared" si="0"/>
        <v>Mencapai kompetensi dengan baik dalam hal</v>
      </c>
      <c r="Q30" s="82">
        <v>75</v>
      </c>
      <c r="R30" s="83" t="str">
        <f t="shared" si="1"/>
        <v>Mencapai kompetensi dengan baik dalam hal</v>
      </c>
      <c r="S30" s="82">
        <v>80</v>
      </c>
      <c r="T30" s="83" t="str">
        <f t="shared" si="2"/>
        <v>Mencapai kompetensi dengan baik dalam hal</v>
      </c>
      <c r="U30" s="82">
        <v>75</v>
      </c>
      <c r="V30" s="83" t="str">
        <f t="shared" si="3"/>
        <v>Mencapai kompetensi dengan baik dalam hal</v>
      </c>
      <c r="W30" s="82">
        <v>75</v>
      </c>
      <c r="X30" s="83" t="str">
        <f t="shared" si="4"/>
        <v>Mencapai kompetensi dengan baik dalam hal</v>
      </c>
      <c r="Y30" s="82">
        <v>75</v>
      </c>
      <c r="Z30" s="83" t="str">
        <f t="shared" si="5"/>
        <v>Mencapai kompetensi dengan baik dalam hal</v>
      </c>
      <c r="AA30" s="82">
        <v>76</v>
      </c>
      <c r="AB30" s="83" t="str">
        <f t="shared" si="6"/>
        <v>Mencapai kompetensi dengan baik dalam hal</v>
      </c>
      <c r="AC30" s="82">
        <v>77</v>
      </c>
      <c r="AD30" s="83" t="str">
        <f t="shared" si="7"/>
        <v>Mencapai kompetensi dengan baik dalam hal</v>
      </c>
      <c r="AE30" s="82">
        <v>75</v>
      </c>
      <c r="AF30" s="83" t="str">
        <f t="shared" si="8"/>
        <v>Mencapai kompetensi dengan baik dalam hal</v>
      </c>
      <c r="AG30" s="82">
        <v>75</v>
      </c>
      <c r="AH30" s="83" t="str">
        <f t="shared" si="9"/>
        <v>Mencapai kompetensi dengan baik dalam hal</v>
      </c>
      <c r="AI30" s="82">
        <v>75</v>
      </c>
      <c r="AJ30" s="83" t="str">
        <f t="shared" si="10"/>
        <v>Mencapai kompetensi dengan baik dalam hal</v>
      </c>
      <c r="AK30" s="82">
        <v>75</v>
      </c>
      <c r="AL30" s="83" t="str">
        <f t="shared" si="11"/>
        <v>Mencapai kompetensi dengan baik dalam hal</v>
      </c>
      <c r="AM30" s="82">
        <v>75</v>
      </c>
      <c r="AN30" s="83" t="str">
        <f t="shared" si="12"/>
        <v>Mencapai kompetensi dengan baik dalam hal</v>
      </c>
      <c r="AO30" s="75">
        <f t="shared" si="18"/>
        <v>75</v>
      </c>
      <c r="AP30" s="82">
        <v>77</v>
      </c>
      <c r="AQ30" s="83" t="str">
        <f t="shared" si="13"/>
        <v>Mencapai kompetensi dengan baik dalam hal</v>
      </c>
      <c r="AR30" s="82">
        <v>75</v>
      </c>
      <c r="AS30" s="83" t="str">
        <f t="shared" si="14"/>
        <v>Mencapai kompetensi dengan baik dalam hal</v>
      </c>
      <c r="AT30" s="86">
        <v>1</v>
      </c>
      <c r="AU30" s="86" t="s">
        <v>81</v>
      </c>
      <c r="AV30" s="86" t="s">
        <v>81</v>
      </c>
      <c r="AW30" s="82">
        <v>1</v>
      </c>
      <c r="AX30" s="82" t="s">
        <v>82</v>
      </c>
      <c r="AY30" s="83" t="s">
        <v>83</v>
      </c>
      <c r="AZ30" s="82" t="s">
        <v>84</v>
      </c>
      <c r="BA30" s="83" t="str">
        <f t="shared" si="15"/>
        <v>Baik</v>
      </c>
      <c r="BB30" s="82">
        <v>2</v>
      </c>
      <c r="BC30" s="83" t="s">
        <v>103</v>
      </c>
      <c r="BD30" s="83" t="s">
        <v>83</v>
      </c>
      <c r="BE30" s="82" t="s">
        <v>104</v>
      </c>
      <c r="BF30" s="83" t="str">
        <f t="shared" si="16"/>
        <v>Cukup</v>
      </c>
      <c r="BG30" s="82"/>
      <c r="BH30" s="82"/>
      <c r="BI30" s="82"/>
      <c r="BJ30" s="82"/>
      <c r="BK30" s="83"/>
      <c r="BM30" s="81"/>
      <c r="BN30" s="81"/>
      <c r="BO30" s="81"/>
      <c r="BP30" s="81"/>
      <c r="BQ30" s="81"/>
      <c r="BR30" s="81"/>
      <c r="BT30" s="81">
        <f t="shared" si="17"/>
        <v>0</v>
      </c>
    </row>
    <row r="31" spans="1:72" ht="23.25" customHeight="1" x14ac:dyDescent="0.25">
      <c r="A31" s="82">
        <v>30</v>
      </c>
      <c r="B31" s="82">
        <v>2525899</v>
      </c>
      <c r="C31" s="82" t="s">
        <v>590</v>
      </c>
      <c r="D31" s="83" t="s">
        <v>591</v>
      </c>
      <c r="E31" s="82" t="s">
        <v>529</v>
      </c>
      <c r="F31" s="82" t="s">
        <v>530</v>
      </c>
      <c r="G31" s="82" t="s">
        <v>531</v>
      </c>
      <c r="H31" s="82" t="s">
        <v>532</v>
      </c>
      <c r="I31" s="84" t="s">
        <v>76</v>
      </c>
      <c r="J31" s="85" t="s">
        <v>77</v>
      </c>
      <c r="K31" s="85" t="s">
        <v>78</v>
      </c>
      <c r="L31" s="85" t="s">
        <v>79</v>
      </c>
      <c r="M31" s="82">
        <v>76</v>
      </c>
      <c r="N31" s="83" t="str">
        <f t="shared" si="0"/>
        <v>Mencapai kompetensi dengan baik dalam hal</v>
      </c>
      <c r="O31" s="82">
        <v>75</v>
      </c>
      <c r="P31" s="83" t="str">
        <f t="shared" si="0"/>
        <v>Mencapai kompetensi dengan baik dalam hal</v>
      </c>
      <c r="Q31" s="82">
        <v>75</v>
      </c>
      <c r="R31" s="83" t="str">
        <f t="shared" si="1"/>
        <v>Mencapai kompetensi dengan baik dalam hal</v>
      </c>
      <c r="S31" s="82">
        <v>82</v>
      </c>
      <c r="T31" s="83" t="str">
        <f t="shared" si="2"/>
        <v>Mencapai kompetensi dengan baik dalam hal</v>
      </c>
      <c r="U31" s="82">
        <v>77</v>
      </c>
      <c r="V31" s="83" t="str">
        <f t="shared" si="3"/>
        <v>Mencapai kompetensi dengan baik dalam hal</v>
      </c>
      <c r="W31" s="82">
        <v>77</v>
      </c>
      <c r="X31" s="83" t="str">
        <f t="shared" si="4"/>
        <v>Mencapai kompetensi dengan baik dalam hal</v>
      </c>
      <c r="Y31" s="82">
        <v>78</v>
      </c>
      <c r="Z31" s="83" t="str">
        <f t="shared" si="5"/>
        <v>Mencapai kompetensi dengan baik dalam hal</v>
      </c>
      <c r="AA31" s="82">
        <v>76</v>
      </c>
      <c r="AB31" s="83" t="str">
        <f t="shared" si="6"/>
        <v>Mencapai kompetensi dengan baik dalam hal</v>
      </c>
      <c r="AC31" s="82">
        <v>76</v>
      </c>
      <c r="AD31" s="83" t="str">
        <f t="shared" si="7"/>
        <v>Mencapai kompetensi dengan baik dalam hal</v>
      </c>
      <c r="AE31" s="82">
        <v>78</v>
      </c>
      <c r="AF31" s="83" t="str">
        <f t="shared" si="8"/>
        <v>Mencapai kompetensi dengan baik dalam hal</v>
      </c>
      <c r="AG31" s="82">
        <v>75</v>
      </c>
      <c r="AH31" s="83" t="str">
        <f t="shared" si="9"/>
        <v>Mencapai kompetensi dengan baik dalam hal</v>
      </c>
      <c r="AI31" s="82">
        <v>75</v>
      </c>
      <c r="AJ31" s="83" t="str">
        <f t="shared" si="10"/>
        <v>Mencapai kompetensi dengan baik dalam hal</v>
      </c>
      <c r="AK31" s="82">
        <v>75</v>
      </c>
      <c r="AL31" s="83" t="str">
        <f t="shared" si="11"/>
        <v>Mencapai kompetensi dengan baik dalam hal</v>
      </c>
      <c r="AM31" s="82">
        <v>75</v>
      </c>
      <c r="AN31" s="83" t="str">
        <f t="shared" si="12"/>
        <v>Mencapai kompetensi dengan baik dalam hal</v>
      </c>
      <c r="AO31" s="75">
        <f t="shared" si="18"/>
        <v>75</v>
      </c>
      <c r="AP31" s="82">
        <v>76</v>
      </c>
      <c r="AQ31" s="83" t="str">
        <f t="shared" si="13"/>
        <v>Mencapai kompetensi dengan baik dalam hal</v>
      </c>
      <c r="AR31" s="82">
        <v>75</v>
      </c>
      <c r="AS31" s="83" t="str">
        <f t="shared" si="14"/>
        <v>Mencapai kompetensi dengan baik dalam hal</v>
      </c>
      <c r="AT31" s="86">
        <v>6</v>
      </c>
      <c r="AU31" s="86" t="s">
        <v>81</v>
      </c>
      <c r="AV31" s="86" t="s">
        <v>81</v>
      </c>
      <c r="AW31" s="82">
        <v>1</v>
      </c>
      <c r="AX31" s="82" t="s">
        <v>82</v>
      </c>
      <c r="AY31" s="83" t="s">
        <v>83</v>
      </c>
      <c r="AZ31" s="82" t="s">
        <v>84</v>
      </c>
      <c r="BA31" s="83" t="str">
        <f t="shared" si="15"/>
        <v>Baik</v>
      </c>
      <c r="BB31" s="82">
        <v>2</v>
      </c>
      <c r="BC31" s="83" t="s">
        <v>103</v>
      </c>
      <c r="BD31" s="83" t="s">
        <v>83</v>
      </c>
      <c r="BE31" s="82" t="s">
        <v>104</v>
      </c>
      <c r="BF31" s="83" t="str">
        <f t="shared" si="16"/>
        <v>Cukup</v>
      </c>
      <c r="BG31" s="82"/>
      <c r="BH31" s="82"/>
      <c r="BI31" s="82"/>
      <c r="BJ31" s="82"/>
      <c r="BK31" s="83"/>
      <c r="BM31" s="81"/>
      <c r="BN31" s="81"/>
      <c r="BO31" s="81"/>
      <c r="BP31" s="81"/>
      <c r="BQ31" s="81"/>
      <c r="BR31" s="81"/>
      <c r="BT31" s="81">
        <f t="shared" si="17"/>
        <v>0</v>
      </c>
    </row>
    <row r="32" spans="1:72" ht="23.25" customHeight="1" x14ac:dyDescent="0.25">
      <c r="A32" s="82">
        <v>31</v>
      </c>
      <c r="B32" s="82">
        <v>2525900</v>
      </c>
      <c r="C32" s="82" t="s">
        <v>592</v>
      </c>
      <c r="D32" s="83" t="s">
        <v>593</v>
      </c>
      <c r="E32" s="82" t="s">
        <v>529</v>
      </c>
      <c r="F32" s="82" t="s">
        <v>530</v>
      </c>
      <c r="G32" s="82" t="s">
        <v>531</v>
      </c>
      <c r="H32" s="82" t="s">
        <v>532</v>
      </c>
      <c r="I32" s="84" t="s">
        <v>76</v>
      </c>
      <c r="J32" s="85" t="s">
        <v>77</v>
      </c>
      <c r="K32" s="85" t="s">
        <v>78</v>
      </c>
      <c r="L32" s="85" t="s">
        <v>79</v>
      </c>
      <c r="M32" s="82">
        <v>81</v>
      </c>
      <c r="N32" s="83" t="str">
        <f t="shared" si="0"/>
        <v>Mencapai kompetensi dengan baik dalam hal</v>
      </c>
      <c r="O32" s="82">
        <v>76</v>
      </c>
      <c r="P32" s="83" t="str">
        <f t="shared" si="0"/>
        <v>Mencapai kompetensi dengan baik dalam hal</v>
      </c>
      <c r="Q32" s="82">
        <v>76</v>
      </c>
      <c r="R32" s="83" t="str">
        <f t="shared" si="1"/>
        <v>Mencapai kompetensi dengan baik dalam hal</v>
      </c>
      <c r="S32" s="82">
        <v>82</v>
      </c>
      <c r="T32" s="83" t="str">
        <f t="shared" si="2"/>
        <v>Mencapai kompetensi dengan baik dalam hal</v>
      </c>
      <c r="U32" s="82">
        <v>78</v>
      </c>
      <c r="V32" s="83" t="str">
        <f t="shared" si="3"/>
        <v>Mencapai kompetensi dengan baik dalam hal</v>
      </c>
      <c r="W32" s="82">
        <v>79</v>
      </c>
      <c r="X32" s="83" t="str">
        <f t="shared" si="4"/>
        <v>Mencapai kompetensi dengan baik dalam hal</v>
      </c>
      <c r="Y32" s="82">
        <v>79</v>
      </c>
      <c r="Z32" s="83" t="str">
        <f t="shared" si="5"/>
        <v>Mencapai kompetensi dengan baik dalam hal</v>
      </c>
      <c r="AA32" s="82">
        <v>78</v>
      </c>
      <c r="AB32" s="83" t="str">
        <f t="shared" si="6"/>
        <v>Mencapai kompetensi dengan baik dalam hal</v>
      </c>
      <c r="AC32" s="82">
        <v>78</v>
      </c>
      <c r="AD32" s="83" t="str">
        <f t="shared" si="7"/>
        <v>Mencapai kompetensi dengan baik dalam hal</v>
      </c>
      <c r="AE32" s="82">
        <v>82</v>
      </c>
      <c r="AF32" s="83" t="str">
        <f t="shared" si="8"/>
        <v>Mencapai kompetensi dengan baik dalam hal</v>
      </c>
      <c r="AG32" s="82">
        <v>88</v>
      </c>
      <c r="AH32" s="83" t="str">
        <f t="shared" si="9"/>
        <v>Mencapai kompetensi dengan baik dalam hal</v>
      </c>
      <c r="AI32" s="82">
        <v>88</v>
      </c>
      <c r="AJ32" s="83" t="str">
        <f t="shared" si="10"/>
        <v>Mencapai kompetensi dengan baik dalam hal</v>
      </c>
      <c r="AK32" s="82">
        <v>88</v>
      </c>
      <c r="AL32" s="83" t="str">
        <f t="shared" si="11"/>
        <v>Mencapai kompetensi dengan baik dalam hal</v>
      </c>
      <c r="AM32" s="82">
        <v>88</v>
      </c>
      <c r="AN32" s="83" t="str">
        <f t="shared" si="12"/>
        <v>Mencapai kompetensi dengan baik dalam hal</v>
      </c>
      <c r="AO32" s="75">
        <f t="shared" si="18"/>
        <v>88</v>
      </c>
      <c r="AP32" s="82">
        <v>78</v>
      </c>
      <c r="AQ32" s="83" t="str">
        <f t="shared" si="13"/>
        <v>Mencapai kompetensi dengan baik dalam hal</v>
      </c>
      <c r="AR32" s="82">
        <v>80</v>
      </c>
      <c r="AS32" s="83" t="str">
        <f t="shared" si="14"/>
        <v>Mencapai kompetensi dengan baik dalam hal</v>
      </c>
      <c r="AT32" s="86" t="s">
        <v>81</v>
      </c>
      <c r="AU32" s="86" t="s">
        <v>81</v>
      </c>
      <c r="AV32" s="86">
        <v>1</v>
      </c>
      <c r="AW32" s="82">
        <v>1</v>
      </c>
      <c r="AX32" s="82" t="s">
        <v>82</v>
      </c>
      <c r="AY32" s="83" t="s">
        <v>83</v>
      </c>
      <c r="AZ32" s="82" t="s">
        <v>84</v>
      </c>
      <c r="BA32" s="83" t="str">
        <f t="shared" si="15"/>
        <v>Baik</v>
      </c>
      <c r="BB32" s="82">
        <v>2</v>
      </c>
      <c r="BC32" s="83" t="s">
        <v>325</v>
      </c>
      <c r="BD32" s="83" t="s">
        <v>83</v>
      </c>
      <c r="BE32" s="82" t="s">
        <v>84</v>
      </c>
      <c r="BF32" s="83" t="str">
        <f t="shared" si="16"/>
        <v>Baik</v>
      </c>
      <c r="BG32" s="82"/>
      <c r="BH32" s="82"/>
      <c r="BI32" s="82"/>
      <c r="BJ32" s="82"/>
      <c r="BK32" s="83"/>
      <c r="BM32" s="81"/>
      <c r="BN32" s="81"/>
      <c r="BO32" s="81"/>
      <c r="BP32" s="81"/>
      <c r="BQ32" s="81"/>
      <c r="BR32" s="81"/>
      <c r="BT32" s="81">
        <f t="shared" si="17"/>
        <v>0</v>
      </c>
    </row>
    <row r="33" spans="1:72" ht="23.25" customHeight="1" x14ac:dyDescent="0.25">
      <c r="A33" s="82">
        <v>32</v>
      </c>
      <c r="B33" s="82">
        <v>2525901</v>
      </c>
      <c r="C33" s="82" t="s">
        <v>594</v>
      </c>
      <c r="D33" s="83" t="s">
        <v>595</v>
      </c>
      <c r="E33" s="82" t="s">
        <v>529</v>
      </c>
      <c r="F33" s="82" t="s">
        <v>530</v>
      </c>
      <c r="G33" s="82" t="s">
        <v>531</v>
      </c>
      <c r="H33" s="82" t="s">
        <v>532</v>
      </c>
      <c r="I33" s="84" t="s">
        <v>76</v>
      </c>
      <c r="J33" s="85" t="s">
        <v>77</v>
      </c>
      <c r="K33" s="85" t="s">
        <v>78</v>
      </c>
      <c r="L33" s="85" t="s">
        <v>79</v>
      </c>
      <c r="M33" s="82">
        <v>78</v>
      </c>
      <c r="N33" s="83" t="str">
        <f t="shared" si="0"/>
        <v>Mencapai kompetensi dengan baik dalam hal</v>
      </c>
      <c r="O33" s="82">
        <v>76</v>
      </c>
      <c r="P33" s="83" t="str">
        <f t="shared" si="0"/>
        <v>Mencapai kompetensi dengan baik dalam hal</v>
      </c>
      <c r="Q33" s="82">
        <v>75</v>
      </c>
      <c r="R33" s="83" t="str">
        <f t="shared" si="1"/>
        <v>Mencapai kompetensi dengan baik dalam hal</v>
      </c>
      <c r="S33" s="82">
        <v>84</v>
      </c>
      <c r="T33" s="83" t="str">
        <f t="shared" si="2"/>
        <v>Mencapai kompetensi dengan baik dalam hal</v>
      </c>
      <c r="U33" s="82">
        <v>78</v>
      </c>
      <c r="V33" s="83" t="str">
        <f t="shared" si="3"/>
        <v>Mencapai kompetensi dengan baik dalam hal</v>
      </c>
      <c r="W33" s="82">
        <v>75</v>
      </c>
      <c r="X33" s="83" t="str">
        <f t="shared" si="4"/>
        <v>Mencapai kompetensi dengan baik dalam hal</v>
      </c>
      <c r="Y33" s="82">
        <v>79</v>
      </c>
      <c r="Z33" s="83" t="str">
        <f t="shared" si="5"/>
        <v>Mencapai kompetensi dengan baik dalam hal</v>
      </c>
      <c r="AA33" s="82">
        <v>77</v>
      </c>
      <c r="AB33" s="83" t="str">
        <f t="shared" si="6"/>
        <v>Mencapai kompetensi dengan baik dalam hal</v>
      </c>
      <c r="AC33" s="82">
        <v>78</v>
      </c>
      <c r="AD33" s="83" t="str">
        <f t="shared" si="7"/>
        <v>Mencapai kompetensi dengan baik dalam hal</v>
      </c>
      <c r="AE33" s="82">
        <v>82</v>
      </c>
      <c r="AF33" s="83" t="str">
        <f t="shared" si="8"/>
        <v>Mencapai kompetensi dengan baik dalam hal</v>
      </c>
      <c r="AG33" s="82">
        <v>80</v>
      </c>
      <c r="AH33" s="83" t="str">
        <f t="shared" si="9"/>
        <v>Mencapai kompetensi dengan baik dalam hal</v>
      </c>
      <c r="AI33" s="82">
        <v>80</v>
      </c>
      <c r="AJ33" s="83" t="str">
        <f t="shared" si="10"/>
        <v>Mencapai kompetensi dengan baik dalam hal</v>
      </c>
      <c r="AK33" s="82">
        <v>80</v>
      </c>
      <c r="AL33" s="83" t="str">
        <f t="shared" si="11"/>
        <v>Mencapai kompetensi dengan baik dalam hal</v>
      </c>
      <c r="AM33" s="82">
        <v>80</v>
      </c>
      <c r="AN33" s="83" t="str">
        <f t="shared" si="12"/>
        <v>Mencapai kompetensi dengan baik dalam hal</v>
      </c>
      <c r="AO33" s="75">
        <f t="shared" si="18"/>
        <v>80</v>
      </c>
      <c r="AP33" s="82">
        <v>78</v>
      </c>
      <c r="AQ33" s="83" t="str">
        <f t="shared" si="13"/>
        <v>Mencapai kompetensi dengan baik dalam hal</v>
      </c>
      <c r="AR33" s="82">
        <v>76</v>
      </c>
      <c r="AS33" s="83" t="str">
        <f t="shared" si="14"/>
        <v>Mencapai kompetensi dengan baik dalam hal</v>
      </c>
      <c r="AT33" s="86">
        <v>1</v>
      </c>
      <c r="AU33" s="86" t="s">
        <v>81</v>
      </c>
      <c r="AV33" s="86" t="s">
        <v>81</v>
      </c>
      <c r="AW33" s="82">
        <v>1</v>
      </c>
      <c r="AX33" s="82" t="s">
        <v>82</v>
      </c>
      <c r="AY33" s="83" t="s">
        <v>83</v>
      </c>
      <c r="AZ33" s="82" t="s">
        <v>84</v>
      </c>
      <c r="BA33" s="83" t="str">
        <f t="shared" si="15"/>
        <v>Baik</v>
      </c>
      <c r="BB33" s="82">
        <v>2</v>
      </c>
      <c r="BC33" s="83" t="s">
        <v>134</v>
      </c>
      <c r="BD33" s="83" t="s">
        <v>83</v>
      </c>
      <c r="BE33" s="82" t="s">
        <v>84</v>
      </c>
      <c r="BF33" s="83" t="str">
        <f t="shared" si="16"/>
        <v>Baik</v>
      </c>
      <c r="BG33" s="82"/>
      <c r="BH33" s="82"/>
      <c r="BI33" s="82"/>
      <c r="BJ33" s="82"/>
      <c r="BK33" s="83"/>
      <c r="BM33" s="81"/>
      <c r="BN33" s="81"/>
      <c r="BO33" s="81"/>
      <c r="BP33" s="81"/>
      <c r="BQ33" s="81"/>
      <c r="BR33" s="81"/>
      <c r="BT33" s="81">
        <f t="shared" si="17"/>
        <v>0</v>
      </c>
    </row>
    <row r="34" spans="1:72" ht="23.25" customHeight="1" x14ac:dyDescent="0.25">
      <c r="A34" s="82">
        <v>33</v>
      </c>
      <c r="B34" s="82">
        <v>2525902</v>
      </c>
      <c r="C34" s="82" t="s">
        <v>596</v>
      </c>
      <c r="D34" s="83" t="s">
        <v>597</v>
      </c>
      <c r="E34" s="82" t="s">
        <v>529</v>
      </c>
      <c r="F34" s="82" t="s">
        <v>530</v>
      </c>
      <c r="G34" s="82" t="s">
        <v>531</v>
      </c>
      <c r="H34" s="82" t="s">
        <v>532</v>
      </c>
      <c r="I34" s="84" t="s">
        <v>76</v>
      </c>
      <c r="J34" s="85" t="s">
        <v>77</v>
      </c>
      <c r="K34" s="85" t="s">
        <v>78</v>
      </c>
      <c r="L34" s="85" t="s">
        <v>79</v>
      </c>
      <c r="M34" s="82">
        <v>82</v>
      </c>
      <c r="N34" s="83" t="str">
        <f t="shared" si="0"/>
        <v>Mencapai kompetensi dengan baik dalam hal</v>
      </c>
      <c r="O34" s="82">
        <v>76</v>
      </c>
      <c r="P34" s="83" t="str">
        <f t="shared" si="0"/>
        <v>Mencapai kompetensi dengan baik dalam hal</v>
      </c>
      <c r="Q34" s="82">
        <v>75</v>
      </c>
      <c r="R34" s="83" t="str">
        <f t="shared" si="1"/>
        <v>Mencapai kompetensi dengan baik dalam hal</v>
      </c>
      <c r="S34" s="82">
        <v>82</v>
      </c>
      <c r="T34" s="83" t="str">
        <f t="shared" si="2"/>
        <v>Mencapai kompetensi dengan baik dalam hal</v>
      </c>
      <c r="U34" s="82">
        <v>77</v>
      </c>
      <c r="V34" s="83" t="str">
        <f t="shared" si="3"/>
        <v>Mencapai kompetensi dengan baik dalam hal</v>
      </c>
      <c r="W34" s="82">
        <v>75</v>
      </c>
      <c r="X34" s="83" t="str">
        <f t="shared" si="4"/>
        <v>Mencapai kompetensi dengan baik dalam hal</v>
      </c>
      <c r="Y34" s="82">
        <v>76</v>
      </c>
      <c r="Z34" s="83" t="str">
        <f t="shared" si="5"/>
        <v>Mencapai kompetensi dengan baik dalam hal</v>
      </c>
      <c r="AA34" s="82">
        <v>77</v>
      </c>
      <c r="AB34" s="83" t="str">
        <f t="shared" si="6"/>
        <v>Mencapai kompetensi dengan baik dalam hal</v>
      </c>
      <c r="AC34" s="82">
        <v>78</v>
      </c>
      <c r="AD34" s="83" t="str">
        <f t="shared" si="7"/>
        <v>Mencapai kompetensi dengan baik dalam hal</v>
      </c>
      <c r="AE34" s="82">
        <v>80</v>
      </c>
      <c r="AF34" s="83" t="str">
        <f t="shared" si="8"/>
        <v>Mencapai kompetensi dengan baik dalam hal</v>
      </c>
      <c r="AG34" s="82">
        <v>75</v>
      </c>
      <c r="AH34" s="83" t="str">
        <f t="shared" si="9"/>
        <v>Mencapai kompetensi dengan baik dalam hal</v>
      </c>
      <c r="AI34" s="82">
        <v>75</v>
      </c>
      <c r="AJ34" s="83" t="str">
        <f t="shared" si="10"/>
        <v>Mencapai kompetensi dengan baik dalam hal</v>
      </c>
      <c r="AK34" s="82">
        <v>75</v>
      </c>
      <c r="AL34" s="83" t="str">
        <f t="shared" si="11"/>
        <v>Mencapai kompetensi dengan baik dalam hal</v>
      </c>
      <c r="AM34" s="82">
        <v>75</v>
      </c>
      <c r="AN34" s="83" t="str">
        <f t="shared" si="12"/>
        <v>Mencapai kompetensi dengan baik dalam hal</v>
      </c>
      <c r="AO34" s="75">
        <f t="shared" si="18"/>
        <v>75</v>
      </c>
      <c r="AP34" s="82">
        <v>78</v>
      </c>
      <c r="AQ34" s="83" t="str">
        <f t="shared" si="13"/>
        <v>Mencapai kompetensi dengan baik dalam hal</v>
      </c>
      <c r="AR34" s="82">
        <v>76</v>
      </c>
      <c r="AS34" s="83" t="str">
        <f t="shared" si="14"/>
        <v>Mencapai kompetensi dengan baik dalam hal</v>
      </c>
      <c r="AT34" s="86">
        <v>2</v>
      </c>
      <c r="AU34" s="86" t="s">
        <v>81</v>
      </c>
      <c r="AV34" s="86" t="s">
        <v>81</v>
      </c>
      <c r="AW34" s="82">
        <v>1</v>
      </c>
      <c r="AX34" s="82" t="s">
        <v>82</v>
      </c>
      <c r="AY34" s="83" t="s">
        <v>83</v>
      </c>
      <c r="AZ34" s="82" t="s">
        <v>84</v>
      </c>
      <c r="BA34" s="83" t="str">
        <f t="shared" ref="BA34:BA65" si="19">VLOOKUP(AZ34,grades6,2,TRUE)</f>
        <v>Baik</v>
      </c>
      <c r="BB34" s="82">
        <v>2</v>
      </c>
      <c r="BC34" s="83" t="s">
        <v>325</v>
      </c>
      <c r="BD34" s="83" t="s">
        <v>83</v>
      </c>
      <c r="BE34" s="82" t="s">
        <v>84</v>
      </c>
      <c r="BF34" s="83" t="str">
        <f t="shared" ref="BF34:BF65" si="20">VLOOKUP(BE34,grades6,2,TRUE)</f>
        <v>Baik</v>
      </c>
      <c r="BG34" s="82"/>
      <c r="BH34" s="82"/>
      <c r="BI34" s="82"/>
      <c r="BJ34" s="82"/>
      <c r="BK34" s="83"/>
      <c r="BM34" s="81"/>
      <c r="BN34" s="81"/>
      <c r="BO34" s="81"/>
      <c r="BP34" s="81"/>
      <c r="BQ34" s="81"/>
      <c r="BR34" s="81"/>
      <c r="BT34" s="81">
        <f t="shared" si="17"/>
        <v>0</v>
      </c>
    </row>
    <row r="35" spans="1:72" ht="23.25" customHeight="1" x14ac:dyDescent="0.25">
      <c r="A35" s="82">
        <v>34</v>
      </c>
      <c r="B35" s="82">
        <v>2525903</v>
      </c>
      <c r="C35" s="82" t="s">
        <v>598</v>
      </c>
      <c r="D35" s="83" t="s">
        <v>599</v>
      </c>
      <c r="E35" s="82" t="s">
        <v>529</v>
      </c>
      <c r="F35" s="82" t="s">
        <v>530</v>
      </c>
      <c r="G35" s="82" t="s">
        <v>531</v>
      </c>
      <c r="H35" s="82" t="s">
        <v>532</v>
      </c>
      <c r="I35" s="84" t="s">
        <v>76</v>
      </c>
      <c r="J35" s="85" t="s">
        <v>77</v>
      </c>
      <c r="K35" s="85" t="s">
        <v>78</v>
      </c>
      <c r="L35" s="85" t="s">
        <v>79</v>
      </c>
      <c r="M35" s="82">
        <v>83</v>
      </c>
      <c r="N35" s="83" t="str">
        <f t="shared" si="0"/>
        <v>Mencapai kompetensi dengan baik dalam hal</v>
      </c>
      <c r="O35" s="82">
        <v>76</v>
      </c>
      <c r="P35" s="83" t="str">
        <f t="shared" si="0"/>
        <v>Mencapai kompetensi dengan baik dalam hal</v>
      </c>
      <c r="Q35" s="82">
        <v>75</v>
      </c>
      <c r="R35" s="83" t="str">
        <f t="shared" si="1"/>
        <v>Mencapai kompetensi dengan baik dalam hal</v>
      </c>
      <c r="S35" s="82">
        <v>82</v>
      </c>
      <c r="T35" s="83" t="str">
        <f t="shared" si="2"/>
        <v>Mencapai kompetensi dengan baik dalam hal</v>
      </c>
      <c r="U35" s="82">
        <v>78</v>
      </c>
      <c r="V35" s="83" t="str">
        <f t="shared" si="3"/>
        <v>Mencapai kompetensi dengan baik dalam hal</v>
      </c>
      <c r="W35" s="82">
        <v>78</v>
      </c>
      <c r="X35" s="83" t="str">
        <f t="shared" si="4"/>
        <v>Mencapai kompetensi dengan baik dalam hal</v>
      </c>
      <c r="Y35" s="82">
        <v>76</v>
      </c>
      <c r="Z35" s="83" t="str">
        <f t="shared" si="5"/>
        <v>Mencapai kompetensi dengan baik dalam hal</v>
      </c>
      <c r="AA35" s="82">
        <v>78</v>
      </c>
      <c r="AB35" s="83" t="str">
        <f t="shared" si="6"/>
        <v>Mencapai kompetensi dengan baik dalam hal</v>
      </c>
      <c r="AC35" s="82">
        <v>72</v>
      </c>
      <c r="AD35" s="83" t="str">
        <f t="shared" si="7"/>
        <v>Perlu peningkatan dalam hal</v>
      </c>
      <c r="AE35" s="82">
        <v>80</v>
      </c>
      <c r="AF35" s="83" t="str">
        <f t="shared" si="8"/>
        <v>Mencapai kompetensi dengan baik dalam hal</v>
      </c>
      <c r="AG35" s="82">
        <v>83</v>
      </c>
      <c r="AH35" s="83" t="str">
        <f t="shared" si="9"/>
        <v>Mencapai kompetensi dengan baik dalam hal</v>
      </c>
      <c r="AI35" s="82">
        <v>83</v>
      </c>
      <c r="AJ35" s="83" t="str">
        <f t="shared" si="10"/>
        <v>Mencapai kompetensi dengan baik dalam hal</v>
      </c>
      <c r="AK35" s="82">
        <v>83</v>
      </c>
      <c r="AL35" s="83" t="str">
        <f t="shared" si="11"/>
        <v>Mencapai kompetensi dengan baik dalam hal</v>
      </c>
      <c r="AM35" s="82">
        <v>83</v>
      </c>
      <c r="AN35" s="83" t="str">
        <f t="shared" si="12"/>
        <v>Mencapai kompetensi dengan baik dalam hal</v>
      </c>
      <c r="AO35" s="75">
        <f t="shared" si="18"/>
        <v>83</v>
      </c>
      <c r="AP35" s="82">
        <v>72</v>
      </c>
      <c r="AQ35" s="83" t="str">
        <f t="shared" si="13"/>
        <v>Perlu peningkatan dalam hal</v>
      </c>
      <c r="AR35" s="82">
        <v>78</v>
      </c>
      <c r="AS35" s="83" t="str">
        <f t="shared" si="14"/>
        <v>Mencapai kompetensi dengan baik dalam hal</v>
      </c>
      <c r="AT35" s="86" t="s">
        <v>81</v>
      </c>
      <c r="AU35" s="86" t="s">
        <v>81</v>
      </c>
      <c r="AV35" s="86" t="s">
        <v>81</v>
      </c>
      <c r="AW35" s="82">
        <v>1</v>
      </c>
      <c r="AX35" s="82" t="s">
        <v>82</v>
      </c>
      <c r="AY35" s="83" t="s">
        <v>83</v>
      </c>
      <c r="AZ35" s="82" t="s">
        <v>86</v>
      </c>
      <c r="BA35" s="83" t="str">
        <f t="shared" si="19"/>
        <v>Sangat baik</v>
      </c>
      <c r="BB35" s="82">
        <v>2</v>
      </c>
      <c r="BC35" s="83" t="s">
        <v>99</v>
      </c>
      <c r="BD35" s="83" t="s">
        <v>83</v>
      </c>
      <c r="BE35" s="82" t="s">
        <v>84</v>
      </c>
      <c r="BF35" s="83" t="str">
        <f t="shared" si="20"/>
        <v>Baik</v>
      </c>
      <c r="BG35" s="82"/>
      <c r="BH35" s="82"/>
      <c r="BI35" s="82"/>
      <c r="BJ35" s="82"/>
      <c r="BK35" s="83"/>
      <c r="BM35" s="81"/>
      <c r="BN35" s="81"/>
      <c r="BO35" s="81"/>
      <c r="BP35" s="81"/>
      <c r="BQ35" s="81"/>
      <c r="BR35" s="81"/>
      <c r="BT35" s="81">
        <f t="shared" si="17"/>
        <v>2</v>
      </c>
    </row>
    <row r="36" spans="1:72" ht="23.25" customHeight="1" x14ac:dyDescent="0.25">
      <c r="A36" s="82">
        <v>35</v>
      </c>
      <c r="B36" s="82">
        <v>2525904</v>
      </c>
      <c r="C36" s="82" t="s">
        <v>600</v>
      </c>
      <c r="D36" s="83" t="s">
        <v>601</v>
      </c>
      <c r="E36" s="82" t="s">
        <v>529</v>
      </c>
      <c r="F36" s="82" t="s">
        <v>530</v>
      </c>
      <c r="G36" s="82" t="s">
        <v>531</v>
      </c>
      <c r="H36" s="82" t="s">
        <v>532</v>
      </c>
      <c r="I36" s="84" t="s">
        <v>76</v>
      </c>
      <c r="J36" s="85" t="s">
        <v>77</v>
      </c>
      <c r="K36" s="85" t="s">
        <v>78</v>
      </c>
      <c r="L36" s="85" t="s">
        <v>79</v>
      </c>
      <c r="M36" s="82">
        <v>79</v>
      </c>
      <c r="N36" s="83" t="str">
        <f t="shared" si="0"/>
        <v>Mencapai kompetensi dengan baik dalam hal</v>
      </c>
      <c r="O36" s="82">
        <v>75</v>
      </c>
      <c r="P36" s="83" t="str">
        <f t="shared" si="0"/>
        <v>Mencapai kompetensi dengan baik dalam hal</v>
      </c>
      <c r="Q36" s="82">
        <v>75</v>
      </c>
      <c r="R36" s="83" t="str">
        <f t="shared" si="1"/>
        <v>Mencapai kompetensi dengan baik dalam hal</v>
      </c>
      <c r="S36" s="82">
        <v>84</v>
      </c>
      <c r="T36" s="83" t="str">
        <f t="shared" si="2"/>
        <v>Mencapai kompetensi dengan baik dalam hal</v>
      </c>
      <c r="U36" s="82">
        <v>76</v>
      </c>
      <c r="V36" s="83" t="str">
        <f t="shared" si="3"/>
        <v>Mencapai kompetensi dengan baik dalam hal</v>
      </c>
      <c r="W36" s="82">
        <v>75</v>
      </c>
      <c r="X36" s="83" t="str">
        <f t="shared" si="4"/>
        <v>Mencapai kompetensi dengan baik dalam hal</v>
      </c>
      <c r="Y36" s="82">
        <v>75</v>
      </c>
      <c r="Z36" s="83" t="str">
        <f t="shared" si="5"/>
        <v>Mencapai kompetensi dengan baik dalam hal</v>
      </c>
      <c r="AA36" s="82">
        <v>77</v>
      </c>
      <c r="AB36" s="83" t="str">
        <f t="shared" si="6"/>
        <v>Mencapai kompetensi dengan baik dalam hal</v>
      </c>
      <c r="AC36" s="82">
        <v>72</v>
      </c>
      <c r="AD36" s="83" t="str">
        <f t="shared" si="7"/>
        <v>Perlu peningkatan dalam hal</v>
      </c>
      <c r="AE36" s="82">
        <v>76</v>
      </c>
      <c r="AF36" s="83" t="str">
        <f t="shared" si="8"/>
        <v>Mencapai kompetensi dengan baik dalam hal</v>
      </c>
      <c r="AG36" s="82">
        <v>75</v>
      </c>
      <c r="AH36" s="83" t="str">
        <f t="shared" si="9"/>
        <v>Mencapai kompetensi dengan baik dalam hal</v>
      </c>
      <c r="AI36" s="82">
        <v>75</v>
      </c>
      <c r="AJ36" s="83" t="str">
        <f t="shared" si="10"/>
        <v>Mencapai kompetensi dengan baik dalam hal</v>
      </c>
      <c r="AK36" s="82">
        <v>75</v>
      </c>
      <c r="AL36" s="83" t="str">
        <f t="shared" si="11"/>
        <v>Mencapai kompetensi dengan baik dalam hal</v>
      </c>
      <c r="AM36" s="82">
        <v>75</v>
      </c>
      <c r="AN36" s="83" t="str">
        <f t="shared" si="12"/>
        <v>Mencapai kompetensi dengan baik dalam hal</v>
      </c>
      <c r="AO36" s="75">
        <f t="shared" si="18"/>
        <v>75</v>
      </c>
      <c r="AP36" s="82">
        <v>72</v>
      </c>
      <c r="AQ36" s="83" t="str">
        <f t="shared" si="13"/>
        <v>Perlu peningkatan dalam hal</v>
      </c>
      <c r="AR36" s="82">
        <v>75</v>
      </c>
      <c r="AS36" s="83" t="str">
        <f t="shared" si="14"/>
        <v>Mencapai kompetensi dengan baik dalam hal</v>
      </c>
      <c r="AT36" s="86">
        <v>4</v>
      </c>
      <c r="AU36" s="86" t="s">
        <v>81</v>
      </c>
      <c r="AV36" s="86" t="s">
        <v>81</v>
      </c>
      <c r="AW36" s="82">
        <v>1</v>
      </c>
      <c r="AX36" s="82" t="s">
        <v>82</v>
      </c>
      <c r="AY36" s="83" t="s">
        <v>83</v>
      </c>
      <c r="AZ36" s="82" t="s">
        <v>84</v>
      </c>
      <c r="BA36" s="83" t="str">
        <f t="shared" si="19"/>
        <v>Baik</v>
      </c>
      <c r="BB36" s="82">
        <v>2</v>
      </c>
      <c r="BC36" s="83" t="s">
        <v>99</v>
      </c>
      <c r="BD36" s="83" t="s">
        <v>83</v>
      </c>
      <c r="BE36" s="82" t="s">
        <v>84</v>
      </c>
      <c r="BF36" s="83" t="str">
        <f t="shared" si="20"/>
        <v>Baik</v>
      </c>
      <c r="BG36" s="82"/>
      <c r="BH36" s="82"/>
      <c r="BI36" s="82"/>
      <c r="BJ36" s="82"/>
      <c r="BK36" s="83"/>
      <c r="BM36" s="88"/>
      <c r="BN36" s="88"/>
      <c r="BO36" s="88"/>
      <c r="BP36" s="88"/>
      <c r="BQ36" s="88"/>
      <c r="BR36" s="88"/>
      <c r="BT36" s="81">
        <f t="shared" si="17"/>
        <v>2</v>
      </c>
    </row>
    <row r="37" spans="1:72" s="89" customFormat="1" ht="23.25" customHeight="1" x14ac:dyDescent="0.25">
      <c r="A37" s="82">
        <v>36</v>
      </c>
      <c r="B37" s="82">
        <v>2525905</v>
      </c>
      <c r="C37" s="82" t="s">
        <v>602</v>
      </c>
      <c r="D37" s="83" t="s">
        <v>603</v>
      </c>
      <c r="E37" s="82" t="s">
        <v>529</v>
      </c>
      <c r="F37" s="82" t="s">
        <v>530</v>
      </c>
      <c r="G37" s="82" t="s">
        <v>531</v>
      </c>
      <c r="H37" s="82" t="s">
        <v>532</v>
      </c>
      <c r="I37" s="84" t="s">
        <v>76</v>
      </c>
      <c r="J37" s="85" t="s">
        <v>77</v>
      </c>
      <c r="K37" s="85" t="s">
        <v>158</v>
      </c>
      <c r="L37" s="85" t="s">
        <v>159</v>
      </c>
      <c r="M37" s="82">
        <v>90</v>
      </c>
      <c r="N37" s="83" t="str">
        <f t="shared" si="0"/>
        <v>Mencapai kompetensi dengan sangat baik dalam hal</v>
      </c>
      <c r="O37" s="82">
        <v>76</v>
      </c>
      <c r="P37" s="83" t="str">
        <f t="shared" si="0"/>
        <v>Mencapai kompetensi dengan baik dalam hal</v>
      </c>
      <c r="Q37" s="82">
        <v>76</v>
      </c>
      <c r="R37" s="83" t="str">
        <f t="shared" si="1"/>
        <v>Mencapai kompetensi dengan baik dalam hal</v>
      </c>
      <c r="S37" s="82">
        <v>82</v>
      </c>
      <c r="T37" s="83" t="str">
        <f t="shared" si="2"/>
        <v>Mencapai kompetensi dengan baik dalam hal</v>
      </c>
      <c r="U37" s="82">
        <v>86</v>
      </c>
      <c r="V37" s="83" t="str">
        <f t="shared" si="3"/>
        <v>Mencapai kompetensi dengan baik dalam hal</v>
      </c>
      <c r="W37" s="82">
        <v>77</v>
      </c>
      <c r="X37" s="83" t="str">
        <f t="shared" si="4"/>
        <v>Mencapai kompetensi dengan baik dalam hal</v>
      </c>
      <c r="Y37" s="82">
        <v>80</v>
      </c>
      <c r="Z37" s="83" t="str">
        <f t="shared" si="5"/>
        <v>Mencapai kompetensi dengan baik dalam hal</v>
      </c>
      <c r="AA37" s="82">
        <v>79</v>
      </c>
      <c r="AB37" s="83" t="str">
        <f t="shared" si="6"/>
        <v>Mencapai kompetensi dengan baik dalam hal</v>
      </c>
      <c r="AC37" s="82">
        <v>78</v>
      </c>
      <c r="AD37" s="83" t="str">
        <f t="shared" si="7"/>
        <v>Mencapai kompetensi dengan baik dalam hal</v>
      </c>
      <c r="AE37" s="82">
        <v>80</v>
      </c>
      <c r="AF37" s="83" t="str">
        <f t="shared" si="8"/>
        <v>Mencapai kompetensi dengan baik dalam hal</v>
      </c>
      <c r="AG37" s="82">
        <v>83</v>
      </c>
      <c r="AH37" s="83" t="str">
        <f t="shared" si="9"/>
        <v>Mencapai kompetensi dengan baik dalam hal</v>
      </c>
      <c r="AI37" s="82">
        <v>83</v>
      </c>
      <c r="AJ37" s="83" t="str">
        <f t="shared" si="10"/>
        <v>Mencapai kompetensi dengan baik dalam hal</v>
      </c>
      <c r="AK37" s="82">
        <v>83</v>
      </c>
      <c r="AL37" s="83" t="str">
        <f t="shared" si="11"/>
        <v>Mencapai kompetensi dengan baik dalam hal</v>
      </c>
      <c r="AM37" s="82">
        <v>83</v>
      </c>
      <c r="AN37" s="83" t="str">
        <f t="shared" si="12"/>
        <v>Mencapai kompetensi dengan baik dalam hal</v>
      </c>
      <c r="AO37" s="75">
        <f t="shared" si="18"/>
        <v>83</v>
      </c>
      <c r="AP37" s="82">
        <v>78</v>
      </c>
      <c r="AQ37" s="83" t="str">
        <f t="shared" si="13"/>
        <v>Mencapai kompetensi dengan baik dalam hal</v>
      </c>
      <c r="AR37" s="82">
        <v>75</v>
      </c>
      <c r="AS37" s="83" t="str">
        <f t="shared" si="14"/>
        <v>Mencapai kompetensi dengan baik dalam hal</v>
      </c>
      <c r="AT37" s="86" t="s">
        <v>81</v>
      </c>
      <c r="AU37" s="86" t="s">
        <v>81</v>
      </c>
      <c r="AV37" s="86" t="s">
        <v>81</v>
      </c>
      <c r="AW37" s="82">
        <v>1</v>
      </c>
      <c r="AX37" s="82" t="s">
        <v>82</v>
      </c>
      <c r="AY37" s="83" t="s">
        <v>83</v>
      </c>
      <c r="AZ37" s="82" t="s">
        <v>84</v>
      </c>
      <c r="BA37" s="83" t="str">
        <f t="shared" si="19"/>
        <v>Baik</v>
      </c>
      <c r="BB37" s="82">
        <v>2</v>
      </c>
      <c r="BC37" s="83" t="s">
        <v>103</v>
      </c>
      <c r="BD37" s="83" t="s">
        <v>83</v>
      </c>
      <c r="BE37" s="82" t="s">
        <v>84</v>
      </c>
      <c r="BF37" s="83" t="str">
        <f t="shared" si="20"/>
        <v>Baik</v>
      </c>
      <c r="BG37" s="82"/>
      <c r="BH37" s="82"/>
      <c r="BI37" s="82"/>
      <c r="BJ37" s="82"/>
      <c r="BK37" s="83"/>
      <c r="BM37" s="90"/>
      <c r="BN37" s="90"/>
      <c r="BO37" s="90"/>
      <c r="BP37" s="90"/>
      <c r="BQ37" s="90"/>
      <c r="BR37" s="90"/>
      <c r="BT37" s="91">
        <f t="shared" si="17"/>
        <v>0</v>
      </c>
    </row>
    <row r="38" spans="1:72" ht="23.25" customHeight="1" x14ac:dyDescent="0.25">
      <c r="A38" s="82">
        <v>37</v>
      </c>
      <c r="B38" s="82">
        <v>2525906</v>
      </c>
      <c r="C38" s="82" t="s">
        <v>604</v>
      </c>
      <c r="D38" s="83" t="s">
        <v>605</v>
      </c>
      <c r="E38" s="82" t="s">
        <v>606</v>
      </c>
      <c r="F38" s="82" t="s">
        <v>530</v>
      </c>
      <c r="G38" s="82" t="s">
        <v>607</v>
      </c>
      <c r="H38" s="82" t="s">
        <v>608</v>
      </c>
      <c r="I38" s="84" t="s">
        <v>76</v>
      </c>
      <c r="J38" s="85" t="s">
        <v>77</v>
      </c>
      <c r="K38" s="85" t="s">
        <v>78</v>
      </c>
      <c r="L38" s="85" t="s">
        <v>79</v>
      </c>
      <c r="M38" s="82">
        <v>78</v>
      </c>
      <c r="N38" s="83" t="str">
        <f t="shared" si="0"/>
        <v>Mencapai kompetensi dengan baik dalam hal</v>
      </c>
      <c r="O38" s="82">
        <v>77</v>
      </c>
      <c r="P38" s="83" t="str">
        <f t="shared" si="0"/>
        <v>Mencapai kompetensi dengan baik dalam hal</v>
      </c>
      <c r="Q38" s="82">
        <v>75</v>
      </c>
      <c r="R38" s="83" t="str">
        <f t="shared" si="1"/>
        <v>Mencapai kompetensi dengan baik dalam hal</v>
      </c>
      <c r="S38" s="82">
        <v>81</v>
      </c>
      <c r="T38" s="83" t="str">
        <f t="shared" si="2"/>
        <v>Mencapai kompetensi dengan baik dalam hal</v>
      </c>
      <c r="U38" s="82">
        <v>75</v>
      </c>
      <c r="V38" s="83" t="str">
        <f t="shared" si="3"/>
        <v>Mencapai kompetensi dengan baik dalam hal</v>
      </c>
      <c r="W38" s="82">
        <v>75</v>
      </c>
      <c r="X38" s="83" t="str">
        <f t="shared" si="4"/>
        <v>Mencapai kompetensi dengan baik dalam hal</v>
      </c>
      <c r="Y38" s="82">
        <v>80</v>
      </c>
      <c r="Z38" s="83" t="str">
        <f t="shared" si="5"/>
        <v>Mencapai kompetensi dengan baik dalam hal</v>
      </c>
      <c r="AA38" s="82">
        <v>78</v>
      </c>
      <c r="AB38" s="83" t="str">
        <f t="shared" si="6"/>
        <v>Mencapai kompetensi dengan baik dalam hal</v>
      </c>
      <c r="AC38" s="82">
        <v>78</v>
      </c>
      <c r="AD38" s="83" t="str">
        <f t="shared" si="7"/>
        <v>Mencapai kompetensi dengan baik dalam hal</v>
      </c>
      <c r="AE38" s="82">
        <v>77</v>
      </c>
      <c r="AF38" s="83" t="str">
        <f t="shared" si="8"/>
        <v>Mencapai kompetensi dengan baik dalam hal</v>
      </c>
      <c r="AG38" s="82">
        <v>75</v>
      </c>
      <c r="AH38" s="83" t="str">
        <f t="shared" si="9"/>
        <v>Mencapai kompetensi dengan baik dalam hal</v>
      </c>
      <c r="AI38" s="82">
        <v>75</v>
      </c>
      <c r="AJ38" s="83" t="str">
        <f t="shared" si="10"/>
        <v>Mencapai kompetensi dengan baik dalam hal</v>
      </c>
      <c r="AK38" s="82">
        <v>75</v>
      </c>
      <c r="AL38" s="83" t="str">
        <f t="shared" si="11"/>
        <v>Mencapai kompetensi dengan baik dalam hal</v>
      </c>
      <c r="AM38" s="82">
        <v>75</v>
      </c>
      <c r="AN38" s="83" t="str">
        <f t="shared" si="12"/>
        <v>Mencapai kompetensi dengan baik dalam hal</v>
      </c>
      <c r="AO38" s="75">
        <f t="shared" si="18"/>
        <v>75</v>
      </c>
      <c r="AP38" s="82">
        <v>78</v>
      </c>
      <c r="AQ38" s="83" t="str">
        <f t="shared" si="13"/>
        <v>Mencapai kompetensi dengan baik dalam hal</v>
      </c>
      <c r="AR38" s="82">
        <v>75</v>
      </c>
      <c r="AS38" s="83" t="str">
        <f t="shared" si="14"/>
        <v>Mencapai kompetensi dengan baik dalam hal</v>
      </c>
      <c r="AT38" s="86">
        <v>1</v>
      </c>
      <c r="AU38" s="86" t="s">
        <v>81</v>
      </c>
      <c r="AV38" s="86">
        <v>1</v>
      </c>
      <c r="AW38" s="82">
        <v>1</v>
      </c>
      <c r="AX38" s="82" t="s">
        <v>82</v>
      </c>
      <c r="AY38" s="83" t="s">
        <v>83</v>
      </c>
      <c r="AZ38" s="82" t="s">
        <v>84</v>
      </c>
      <c r="BA38" s="83" t="str">
        <f t="shared" si="19"/>
        <v>Baik</v>
      </c>
      <c r="BB38" s="82">
        <v>2</v>
      </c>
      <c r="BC38" s="83" t="s">
        <v>103</v>
      </c>
      <c r="BD38" s="83" t="s">
        <v>83</v>
      </c>
      <c r="BE38" s="82" t="s">
        <v>84</v>
      </c>
      <c r="BF38" s="83" t="str">
        <f t="shared" si="20"/>
        <v>Baik</v>
      </c>
      <c r="BG38" s="82"/>
      <c r="BH38" s="82"/>
      <c r="BI38" s="82"/>
      <c r="BJ38" s="82"/>
      <c r="BK38" s="83"/>
      <c r="BM38" s="88"/>
      <c r="BN38" s="88"/>
      <c r="BO38" s="88"/>
      <c r="BP38" s="88"/>
      <c r="BQ38" s="88"/>
      <c r="BR38" s="88"/>
      <c r="BT38" s="81">
        <f t="shared" si="17"/>
        <v>0</v>
      </c>
    </row>
    <row r="39" spans="1:72" ht="23.25" customHeight="1" x14ac:dyDescent="0.25">
      <c r="A39" s="82">
        <v>38</v>
      </c>
      <c r="B39" s="82">
        <v>2525907</v>
      </c>
      <c r="C39" s="82" t="s">
        <v>609</v>
      </c>
      <c r="D39" s="83" t="s">
        <v>610</v>
      </c>
      <c r="E39" s="82" t="s">
        <v>606</v>
      </c>
      <c r="F39" s="82" t="s">
        <v>530</v>
      </c>
      <c r="G39" s="82" t="s">
        <v>607</v>
      </c>
      <c r="H39" s="82" t="s">
        <v>608</v>
      </c>
      <c r="I39" s="84" t="s">
        <v>76</v>
      </c>
      <c r="J39" s="85" t="s">
        <v>77</v>
      </c>
      <c r="K39" s="85" t="s">
        <v>78</v>
      </c>
      <c r="L39" s="85" t="s">
        <v>79</v>
      </c>
      <c r="M39" s="82">
        <v>81</v>
      </c>
      <c r="N39" s="83" t="str">
        <f t="shared" si="0"/>
        <v>Mencapai kompetensi dengan baik dalam hal</v>
      </c>
      <c r="O39" s="82">
        <v>77</v>
      </c>
      <c r="P39" s="83" t="str">
        <f t="shared" si="0"/>
        <v>Mencapai kompetensi dengan baik dalam hal</v>
      </c>
      <c r="Q39" s="82">
        <v>78</v>
      </c>
      <c r="R39" s="83" t="str">
        <f t="shared" si="1"/>
        <v>Mencapai kompetensi dengan baik dalam hal</v>
      </c>
      <c r="S39" s="82">
        <v>83</v>
      </c>
      <c r="T39" s="83" t="str">
        <f t="shared" si="2"/>
        <v>Mencapai kompetensi dengan baik dalam hal</v>
      </c>
      <c r="U39" s="82">
        <v>87</v>
      </c>
      <c r="V39" s="83" t="str">
        <f t="shared" si="3"/>
        <v>Mencapai kompetensi dengan baik dalam hal</v>
      </c>
      <c r="W39" s="82">
        <v>80</v>
      </c>
      <c r="X39" s="83" t="str">
        <f t="shared" si="4"/>
        <v>Mencapai kompetensi dengan baik dalam hal</v>
      </c>
      <c r="Y39" s="82">
        <v>80</v>
      </c>
      <c r="Z39" s="83" t="str">
        <f t="shared" si="5"/>
        <v>Mencapai kompetensi dengan baik dalam hal</v>
      </c>
      <c r="AA39" s="82">
        <v>77</v>
      </c>
      <c r="AB39" s="83" t="str">
        <f t="shared" si="6"/>
        <v>Mencapai kompetensi dengan baik dalam hal</v>
      </c>
      <c r="AC39" s="82">
        <v>78</v>
      </c>
      <c r="AD39" s="83" t="str">
        <f t="shared" si="7"/>
        <v>Mencapai kompetensi dengan baik dalam hal</v>
      </c>
      <c r="AE39" s="82">
        <v>78</v>
      </c>
      <c r="AF39" s="83" t="str">
        <f t="shared" si="8"/>
        <v>Mencapai kompetensi dengan baik dalam hal</v>
      </c>
      <c r="AG39" s="82">
        <v>80</v>
      </c>
      <c r="AH39" s="83" t="str">
        <f t="shared" si="9"/>
        <v>Mencapai kompetensi dengan baik dalam hal</v>
      </c>
      <c r="AI39" s="82">
        <v>80</v>
      </c>
      <c r="AJ39" s="83" t="str">
        <f t="shared" si="10"/>
        <v>Mencapai kompetensi dengan baik dalam hal</v>
      </c>
      <c r="AK39" s="82">
        <v>80</v>
      </c>
      <c r="AL39" s="83" t="str">
        <f t="shared" si="11"/>
        <v>Mencapai kompetensi dengan baik dalam hal</v>
      </c>
      <c r="AM39" s="82">
        <v>80</v>
      </c>
      <c r="AN39" s="83" t="str">
        <f t="shared" si="12"/>
        <v>Mencapai kompetensi dengan baik dalam hal</v>
      </c>
      <c r="AO39" s="75">
        <f t="shared" si="18"/>
        <v>80</v>
      </c>
      <c r="AP39" s="82">
        <v>78</v>
      </c>
      <c r="AQ39" s="83" t="str">
        <f t="shared" si="13"/>
        <v>Mencapai kompetensi dengan baik dalam hal</v>
      </c>
      <c r="AR39" s="82">
        <v>76</v>
      </c>
      <c r="AS39" s="83" t="str">
        <f t="shared" si="14"/>
        <v>Mencapai kompetensi dengan baik dalam hal</v>
      </c>
      <c r="AT39" s="86">
        <v>2</v>
      </c>
      <c r="AU39" s="86" t="s">
        <v>81</v>
      </c>
      <c r="AV39" s="86" t="s">
        <v>81</v>
      </c>
      <c r="AW39" s="82">
        <v>1</v>
      </c>
      <c r="AX39" s="82" t="s">
        <v>82</v>
      </c>
      <c r="AY39" s="83" t="s">
        <v>83</v>
      </c>
      <c r="AZ39" s="82" t="s">
        <v>86</v>
      </c>
      <c r="BA39" s="83" t="str">
        <f t="shared" si="19"/>
        <v>Sangat baik</v>
      </c>
      <c r="BB39" s="82">
        <v>2</v>
      </c>
      <c r="BC39" s="83" t="s">
        <v>103</v>
      </c>
      <c r="BD39" s="83" t="s">
        <v>83</v>
      </c>
      <c r="BE39" s="82" t="s">
        <v>84</v>
      </c>
      <c r="BF39" s="83" t="str">
        <f t="shared" si="20"/>
        <v>Baik</v>
      </c>
      <c r="BG39" s="82"/>
      <c r="BH39" s="82"/>
      <c r="BI39" s="82"/>
      <c r="BJ39" s="82"/>
      <c r="BK39" s="83"/>
      <c r="BM39" s="88"/>
      <c r="BN39" s="88"/>
      <c r="BO39" s="88"/>
      <c r="BP39" s="88"/>
      <c r="BQ39" s="88"/>
      <c r="BR39" s="88"/>
      <c r="BT39" s="81">
        <f t="shared" si="17"/>
        <v>0</v>
      </c>
    </row>
    <row r="40" spans="1:72" ht="23.25" customHeight="1" x14ac:dyDescent="0.25">
      <c r="A40" s="82">
        <v>39</v>
      </c>
      <c r="B40" s="82">
        <v>2525908</v>
      </c>
      <c r="C40" s="82" t="s">
        <v>611</v>
      </c>
      <c r="D40" s="83" t="s">
        <v>612</v>
      </c>
      <c r="E40" s="82" t="s">
        <v>606</v>
      </c>
      <c r="F40" s="82" t="s">
        <v>530</v>
      </c>
      <c r="G40" s="82" t="s">
        <v>607</v>
      </c>
      <c r="H40" s="82" t="s">
        <v>608</v>
      </c>
      <c r="I40" s="84" t="s">
        <v>76</v>
      </c>
      <c r="J40" s="85" t="s">
        <v>77</v>
      </c>
      <c r="K40" s="85" t="s">
        <v>78</v>
      </c>
      <c r="L40" s="85" t="s">
        <v>79</v>
      </c>
      <c r="M40" s="82">
        <v>81</v>
      </c>
      <c r="N40" s="83" t="str">
        <f t="shared" si="0"/>
        <v>Mencapai kompetensi dengan baik dalam hal</v>
      </c>
      <c r="O40" s="82">
        <v>77</v>
      </c>
      <c r="P40" s="83" t="str">
        <f t="shared" si="0"/>
        <v>Mencapai kompetensi dengan baik dalam hal</v>
      </c>
      <c r="Q40" s="82">
        <v>80</v>
      </c>
      <c r="R40" s="83" t="str">
        <f t="shared" si="1"/>
        <v>Mencapai kompetensi dengan baik dalam hal</v>
      </c>
      <c r="S40" s="82">
        <v>86</v>
      </c>
      <c r="T40" s="83" t="str">
        <f t="shared" si="2"/>
        <v>Mencapai kompetensi dengan baik dalam hal</v>
      </c>
      <c r="U40" s="82">
        <v>83</v>
      </c>
      <c r="V40" s="83" t="str">
        <f t="shared" si="3"/>
        <v>Mencapai kompetensi dengan baik dalam hal</v>
      </c>
      <c r="W40" s="82">
        <v>78</v>
      </c>
      <c r="X40" s="83" t="str">
        <f t="shared" si="4"/>
        <v>Mencapai kompetensi dengan baik dalam hal</v>
      </c>
      <c r="Y40" s="82">
        <v>88</v>
      </c>
      <c r="Z40" s="83" t="str">
        <f t="shared" si="5"/>
        <v>Mencapai kompetensi dengan baik dalam hal</v>
      </c>
      <c r="AA40" s="82">
        <v>76</v>
      </c>
      <c r="AB40" s="83" t="str">
        <f t="shared" si="6"/>
        <v>Mencapai kompetensi dengan baik dalam hal</v>
      </c>
      <c r="AC40" s="82">
        <v>78</v>
      </c>
      <c r="AD40" s="83" t="str">
        <f t="shared" si="7"/>
        <v>Mencapai kompetensi dengan baik dalam hal</v>
      </c>
      <c r="AE40" s="82">
        <v>78</v>
      </c>
      <c r="AF40" s="83" t="str">
        <f t="shared" si="8"/>
        <v>Mencapai kompetensi dengan baik dalam hal</v>
      </c>
      <c r="AG40" s="82">
        <v>75</v>
      </c>
      <c r="AH40" s="83" t="str">
        <f t="shared" si="9"/>
        <v>Mencapai kompetensi dengan baik dalam hal</v>
      </c>
      <c r="AI40" s="82">
        <v>75</v>
      </c>
      <c r="AJ40" s="83" t="str">
        <f t="shared" si="10"/>
        <v>Mencapai kompetensi dengan baik dalam hal</v>
      </c>
      <c r="AK40" s="82">
        <v>75</v>
      </c>
      <c r="AL40" s="83" t="str">
        <f t="shared" si="11"/>
        <v>Mencapai kompetensi dengan baik dalam hal</v>
      </c>
      <c r="AM40" s="82">
        <v>75</v>
      </c>
      <c r="AN40" s="83" t="str">
        <f t="shared" si="12"/>
        <v>Mencapai kompetensi dengan baik dalam hal</v>
      </c>
      <c r="AO40" s="75">
        <f t="shared" si="18"/>
        <v>75</v>
      </c>
      <c r="AP40" s="82">
        <v>78</v>
      </c>
      <c r="AQ40" s="83" t="str">
        <f t="shared" si="13"/>
        <v>Mencapai kompetensi dengan baik dalam hal</v>
      </c>
      <c r="AR40" s="82">
        <v>76</v>
      </c>
      <c r="AS40" s="83" t="str">
        <f t="shared" si="14"/>
        <v>Mencapai kompetensi dengan baik dalam hal</v>
      </c>
      <c r="AT40" s="86" t="s">
        <v>81</v>
      </c>
      <c r="AU40" s="86" t="s">
        <v>81</v>
      </c>
      <c r="AV40" s="86">
        <v>2</v>
      </c>
      <c r="AW40" s="82">
        <v>1</v>
      </c>
      <c r="AX40" s="82" t="s">
        <v>82</v>
      </c>
      <c r="AY40" s="83" t="s">
        <v>83</v>
      </c>
      <c r="AZ40" s="82" t="s">
        <v>84</v>
      </c>
      <c r="BA40" s="83" t="str">
        <f t="shared" si="19"/>
        <v>Baik</v>
      </c>
      <c r="BB40" s="82">
        <v>2</v>
      </c>
      <c r="BC40" s="83" t="s">
        <v>103</v>
      </c>
      <c r="BD40" s="83" t="s">
        <v>83</v>
      </c>
      <c r="BE40" s="82" t="s">
        <v>84</v>
      </c>
      <c r="BF40" s="83" t="str">
        <f t="shared" si="20"/>
        <v>Baik</v>
      </c>
      <c r="BG40" s="82"/>
      <c r="BH40" s="82"/>
      <c r="BI40" s="82"/>
      <c r="BJ40" s="82"/>
      <c r="BK40" s="83"/>
      <c r="BM40" s="81"/>
      <c r="BN40" s="81"/>
      <c r="BO40" s="81"/>
      <c r="BP40" s="81"/>
      <c r="BQ40" s="81"/>
      <c r="BR40" s="81"/>
      <c r="BT40" s="81">
        <f t="shared" si="17"/>
        <v>0</v>
      </c>
    </row>
    <row r="41" spans="1:72" ht="23.25" customHeight="1" x14ac:dyDescent="0.25">
      <c r="A41" s="82">
        <v>40</v>
      </c>
      <c r="B41" s="82">
        <v>2525909</v>
      </c>
      <c r="C41" s="82" t="s">
        <v>613</v>
      </c>
      <c r="D41" s="83" t="s">
        <v>614</v>
      </c>
      <c r="E41" s="82" t="s">
        <v>606</v>
      </c>
      <c r="F41" s="82" t="s">
        <v>530</v>
      </c>
      <c r="G41" s="82" t="s">
        <v>607</v>
      </c>
      <c r="H41" s="82" t="s">
        <v>608</v>
      </c>
      <c r="I41" s="84" t="s">
        <v>76</v>
      </c>
      <c r="J41" s="85" t="s">
        <v>77</v>
      </c>
      <c r="K41" s="85" t="s">
        <v>78</v>
      </c>
      <c r="L41" s="85" t="s">
        <v>79</v>
      </c>
      <c r="M41" s="82">
        <v>83</v>
      </c>
      <c r="N41" s="83" t="str">
        <f t="shared" si="0"/>
        <v>Mencapai kompetensi dengan baik dalam hal</v>
      </c>
      <c r="O41" s="82">
        <v>77</v>
      </c>
      <c r="P41" s="83" t="str">
        <f t="shared" si="0"/>
        <v>Mencapai kompetensi dengan baik dalam hal</v>
      </c>
      <c r="Q41" s="82">
        <v>75</v>
      </c>
      <c r="R41" s="83" t="str">
        <f t="shared" si="1"/>
        <v>Mencapai kompetensi dengan baik dalam hal</v>
      </c>
      <c r="S41" s="82">
        <v>86</v>
      </c>
      <c r="T41" s="83" t="str">
        <f t="shared" si="2"/>
        <v>Mencapai kompetensi dengan baik dalam hal</v>
      </c>
      <c r="U41" s="82">
        <v>82</v>
      </c>
      <c r="V41" s="83" t="str">
        <f t="shared" si="3"/>
        <v>Mencapai kompetensi dengan baik dalam hal</v>
      </c>
      <c r="W41" s="82">
        <v>75</v>
      </c>
      <c r="X41" s="83" t="str">
        <f t="shared" si="4"/>
        <v>Mencapai kompetensi dengan baik dalam hal</v>
      </c>
      <c r="Y41" s="82">
        <v>75</v>
      </c>
      <c r="Z41" s="83" t="str">
        <f t="shared" si="5"/>
        <v>Mencapai kompetensi dengan baik dalam hal</v>
      </c>
      <c r="AA41" s="82">
        <v>76</v>
      </c>
      <c r="AB41" s="83" t="str">
        <f t="shared" si="6"/>
        <v>Mencapai kompetensi dengan baik dalam hal</v>
      </c>
      <c r="AC41" s="82">
        <v>86</v>
      </c>
      <c r="AD41" s="83" t="str">
        <f t="shared" si="7"/>
        <v>Mencapai kompetensi dengan baik dalam hal</v>
      </c>
      <c r="AE41" s="82">
        <v>80</v>
      </c>
      <c r="AF41" s="83" t="str">
        <f t="shared" si="8"/>
        <v>Mencapai kompetensi dengan baik dalam hal</v>
      </c>
      <c r="AG41" s="82">
        <v>80</v>
      </c>
      <c r="AH41" s="83" t="str">
        <f t="shared" si="9"/>
        <v>Mencapai kompetensi dengan baik dalam hal</v>
      </c>
      <c r="AI41" s="82">
        <v>80</v>
      </c>
      <c r="AJ41" s="83" t="str">
        <f t="shared" si="10"/>
        <v>Mencapai kompetensi dengan baik dalam hal</v>
      </c>
      <c r="AK41" s="82">
        <v>80</v>
      </c>
      <c r="AL41" s="83" t="str">
        <f t="shared" si="11"/>
        <v>Mencapai kompetensi dengan baik dalam hal</v>
      </c>
      <c r="AM41" s="82">
        <v>80</v>
      </c>
      <c r="AN41" s="83" t="str">
        <f t="shared" si="12"/>
        <v>Mencapai kompetensi dengan baik dalam hal</v>
      </c>
      <c r="AO41" s="75">
        <f t="shared" si="18"/>
        <v>80</v>
      </c>
      <c r="AP41" s="82">
        <v>86</v>
      </c>
      <c r="AQ41" s="83" t="str">
        <f t="shared" si="13"/>
        <v>Mencapai kompetensi dengan baik dalam hal</v>
      </c>
      <c r="AR41" s="82">
        <v>76</v>
      </c>
      <c r="AS41" s="83" t="str">
        <f t="shared" si="14"/>
        <v>Mencapai kompetensi dengan baik dalam hal</v>
      </c>
      <c r="AT41" s="86" t="s">
        <v>81</v>
      </c>
      <c r="AU41" s="86" t="s">
        <v>81</v>
      </c>
      <c r="AV41" s="86" t="s">
        <v>81</v>
      </c>
      <c r="AW41" s="82">
        <v>1</v>
      </c>
      <c r="AX41" s="82" t="s">
        <v>82</v>
      </c>
      <c r="AY41" s="83" t="s">
        <v>83</v>
      </c>
      <c r="AZ41" s="82" t="s">
        <v>84</v>
      </c>
      <c r="BA41" s="83" t="str">
        <f t="shared" si="19"/>
        <v>Baik</v>
      </c>
      <c r="BB41" s="82">
        <v>2</v>
      </c>
      <c r="BC41" s="83" t="s">
        <v>429</v>
      </c>
      <c r="BD41" s="83" t="s">
        <v>83</v>
      </c>
      <c r="BE41" s="82" t="s">
        <v>84</v>
      </c>
      <c r="BF41" s="83" t="str">
        <f t="shared" si="20"/>
        <v>Baik</v>
      </c>
      <c r="BG41" s="82"/>
      <c r="BH41" s="82"/>
      <c r="BI41" s="82"/>
      <c r="BJ41" s="82"/>
      <c r="BK41" s="83"/>
      <c r="BM41" s="81"/>
      <c r="BN41" s="81"/>
      <c r="BO41" s="81"/>
      <c r="BP41" s="81"/>
      <c r="BQ41" s="81"/>
      <c r="BR41" s="81"/>
      <c r="BT41" s="81">
        <f t="shared" si="17"/>
        <v>0</v>
      </c>
    </row>
    <row r="42" spans="1:72" ht="23.25" customHeight="1" x14ac:dyDescent="0.25">
      <c r="A42" s="82">
        <v>41</v>
      </c>
      <c r="B42" s="82">
        <v>2525910</v>
      </c>
      <c r="C42" s="82" t="s">
        <v>615</v>
      </c>
      <c r="D42" s="83" t="s">
        <v>616</v>
      </c>
      <c r="E42" s="82" t="s">
        <v>606</v>
      </c>
      <c r="F42" s="82" t="s">
        <v>530</v>
      </c>
      <c r="G42" s="82" t="s">
        <v>607</v>
      </c>
      <c r="H42" s="82" t="s">
        <v>608</v>
      </c>
      <c r="I42" s="84" t="s">
        <v>76</v>
      </c>
      <c r="J42" s="85" t="s">
        <v>77</v>
      </c>
      <c r="K42" s="85" t="s">
        <v>78</v>
      </c>
      <c r="L42" s="85" t="s">
        <v>79</v>
      </c>
      <c r="M42" s="82">
        <v>83</v>
      </c>
      <c r="N42" s="83" t="str">
        <f t="shared" si="0"/>
        <v>Mencapai kompetensi dengan baik dalam hal</v>
      </c>
      <c r="O42" s="82">
        <v>77</v>
      </c>
      <c r="P42" s="83" t="str">
        <f t="shared" si="0"/>
        <v>Mencapai kompetensi dengan baik dalam hal</v>
      </c>
      <c r="Q42" s="82">
        <v>80</v>
      </c>
      <c r="R42" s="83" t="str">
        <f t="shared" si="1"/>
        <v>Mencapai kompetensi dengan baik dalam hal</v>
      </c>
      <c r="S42" s="82">
        <v>87</v>
      </c>
      <c r="T42" s="83" t="str">
        <f t="shared" si="2"/>
        <v>Mencapai kompetensi dengan baik dalam hal</v>
      </c>
      <c r="U42" s="82">
        <v>86</v>
      </c>
      <c r="V42" s="83" t="str">
        <f t="shared" si="3"/>
        <v>Mencapai kompetensi dengan baik dalam hal</v>
      </c>
      <c r="W42" s="82">
        <v>75</v>
      </c>
      <c r="X42" s="83" t="str">
        <f t="shared" si="4"/>
        <v>Mencapai kompetensi dengan baik dalam hal</v>
      </c>
      <c r="Y42" s="82">
        <v>76</v>
      </c>
      <c r="Z42" s="83" t="str">
        <f t="shared" si="5"/>
        <v>Mencapai kompetensi dengan baik dalam hal</v>
      </c>
      <c r="AA42" s="82">
        <v>78</v>
      </c>
      <c r="AB42" s="83" t="str">
        <f t="shared" si="6"/>
        <v>Mencapai kompetensi dengan baik dalam hal</v>
      </c>
      <c r="AC42" s="82">
        <v>78</v>
      </c>
      <c r="AD42" s="83" t="str">
        <f t="shared" si="7"/>
        <v>Mencapai kompetensi dengan baik dalam hal</v>
      </c>
      <c r="AE42" s="82">
        <v>80</v>
      </c>
      <c r="AF42" s="83" t="str">
        <f t="shared" si="8"/>
        <v>Mencapai kompetensi dengan baik dalam hal</v>
      </c>
      <c r="AG42" s="82">
        <v>77</v>
      </c>
      <c r="AH42" s="83" t="str">
        <f t="shared" si="9"/>
        <v>Mencapai kompetensi dengan baik dalam hal</v>
      </c>
      <c r="AI42" s="82">
        <v>77</v>
      </c>
      <c r="AJ42" s="83" t="str">
        <f t="shared" si="10"/>
        <v>Mencapai kompetensi dengan baik dalam hal</v>
      </c>
      <c r="AK42" s="82">
        <v>77</v>
      </c>
      <c r="AL42" s="83" t="str">
        <f t="shared" si="11"/>
        <v>Mencapai kompetensi dengan baik dalam hal</v>
      </c>
      <c r="AM42" s="82">
        <v>77</v>
      </c>
      <c r="AN42" s="83" t="str">
        <f t="shared" si="12"/>
        <v>Mencapai kompetensi dengan baik dalam hal</v>
      </c>
      <c r="AO42" s="75">
        <f t="shared" si="18"/>
        <v>77</v>
      </c>
      <c r="AP42" s="82">
        <v>78</v>
      </c>
      <c r="AQ42" s="83" t="str">
        <f t="shared" si="13"/>
        <v>Mencapai kompetensi dengan baik dalam hal</v>
      </c>
      <c r="AR42" s="82">
        <v>76</v>
      </c>
      <c r="AS42" s="83" t="str">
        <f t="shared" si="14"/>
        <v>Mencapai kompetensi dengan baik dalam hal</v>
      </c>
      <c r="AT42" s="86" t="s">
        <v>81</v>
      </c>
      <c r="AU42" s="86" t="s">
        <v>81</v>
      </c>
      <c r="AV42" s="86" t="s">
        <v>81</v>
      </c>
      <c r="AW42" s="82">
        <v>1</v>
      </c>
      <c r="AX42" s="82" t="s">
        <v>82</v>
      </c>
      <c r="AY42" s="83" t="s">
        <v>83</v>
      </c>
      <c r="AZ42" s="82" t="s">
        <v>84</v>
      </c>
      <c r="BA42" s="83" t="str">
        <f t="shared" si="19"/>
        <v>Baik</v>
      </c>
      <c r="BB42" s="82">
        <v>2</v>
      </c>
      <c r="BC42" s="83" t="s">
        <v>99</v>
      </c>
      <c r="BD42" s="83" t="s">
        <v>83</v>
      </c>
      <c r="BE42" s="82" t="s">
        <v>86</v>
      </c>
      <c r="BF42" s="83" t="str">
        <f t="shared" si="20"/>
        <v>Sangat baik</v>
      </c>
      <c r="BG42" s="82"/>
      <c r="BH42" s="82"/>
      <c r="BI42" s="82"/>
      <c r="BJ42" s="82"/>
      <c r="BK42" s="83"/>
      <c r="BM42" s="81"/>
      <c r="BN42" s="81"/>
      <c r="BO42" s="81"/>
      <c r="BP42" s="81"/>
      <c r="BQ42" s="81"/>
      <c r="BR42" s="81"/>
      <c r="BT42" s="81">
        <f t="shared" si="17"/>
        <v>0</v>
      </c>
    </row>
    <row r="43" spans="1:72" s="92" customFormat="1" ht="23.25" customHeight="1" x14ac:dyDescent="0.25">
      <c r="A43" s="82">
        <v>42</v>
      </c>
      <c r="B43" s="82">
        <v>2525911</v>
      </c>
      <c r="C43" s="82" t="s">
        <v>617</v>
      </c>
      <c r="D43" s="83" t="s">
        <v>618</v>
      </c>
      <c r="E43" s="82" t="s">
        <v>606</v>
      </c>
      <c r="F43" s="82" t="s">
        <v>530</v>
      </c>
      <c r="G43" s="82" t="s">
        <v>607</v>
      </c>
      <c r="H43" s="82" t="s">
        <v>608</v>
      </c>
      <c r="I43" s="84" t="s">
        <v>76</v>
      </c>
      <c r="J43" s="85" t="s">
        <v>77</v>
      </c>
      <c r="K43" s="85" t="s">
        <v>309</v>
      </c>
      <c r="L43" s="85" t="s">
        <v>310</v>
      </c>
      <c r="M43" s="82">
        <v>77</v>
      </c>
      <c r="N43" s="83" t="str">
        <f t="shared" si="0"/>
        <v>Mencapai kompetensi dengan baik dalam hal</v>
      </c>
      <c r="O43" s="82">
        <v>76</v>
      </c>
      <c r="P43" s="83" t="str">
        <f t="shared" si="0"/>
        <v>Mencapai kompetensi dengan baik dalam hal</v>
      </c>
      <c r="Q43" s="82">
        <v>75</v>
      </c>
      <c r="R43" s="83" t="str">
        <f t="shared" si="1"/>
        <v>Mencapai kompetensi dengan baik dalam hal</v>
      </c>
      <c r="S43" s="82">
        <v>81</v>
      </c>
      <c r="T43" s="83" t="str">
        <f t="shared" si="2"/>
        <v>Mencapai kompetensi dengan baik dalam hal</v>
      </c>
      <c r="U43" s="82">
        <v>83</v>
      </c>
      <c r="V43" s="83" t="str">
        <f t="shared" si="3"/>
        <v>Mencapai kompetensi dengan baik dalam hal</v>
      </c>
      <c r="W43" s="82">
        <v>75</v>
      </c>
      <c r="X43" s="83" t="str">
        <f t="shared" si="4"/>
        <v>Mencapai kompetensi dengan baik dalam hal</v>
      </c>
      <c r="Y43" s="82">
        <v>83</v>
      </c>
      <c r="Z43" s="83" t="str">
        <f t="shared" si="5"/>
        <v>Mencapai kompetensi dengan baik dalam hal</v>
      </c>
      <c r="AA43" s="82">
        <v>76</v>
      </c>
      <c r="AB43" s="83" t="str">
        <f t="shared" si="6"/>
        <v>Mencapai kompetensi dengan baik dalam hal</v>
      </c>
      <c r="AC43" s="82">
        <v>78</v>
      </c>
      <c r="AD43" s="83" t="str">
        <f t="shared" si="7"/>
        <v>Mencapai kompetensi dengan baik dalam hal</v>
      </c>
      <c r="AE43" s="82">
        <v>80</v>
      </c>
      <c r="AF43" s="83" t="str">
        <f t="shared" si="8"/>
        <v>Mencapai kompetensi dengan baik dalam hal</v>
      </c>
      <c r="AG43" s="82">
        <v>75</v>
      </c>
      <c r="AH43" s="83" t="str">
        <f t="shared" si="9"/>
        <v>Mencapai kompetensi dengan baik dalam hal</v>
      </c>
      <c r="AI43" s="82">
        <v>75</v>
      </c>
      <c r="AJ43" s="83" t="str">
        <f t="shared" si="10"/>
        <v>Mencapai kompetensi dengan baik dalam hal</v>
      </c>
      <c r="AK43" s="82">
        <v>75</v>
      </c>
      <c r="AL43" s="83" t="str">
        <f t="shared" si="11"/>
        <v>Mencapai kompetensi dengan baik dalam hal</v>
      </c>
      <c r="AM43" s="82">
        <v>75</v>
      </c>
      <c r="AN43" s="83" t="str">
        <f t="shared" si="12"/>
        <v>Mencapai kompetensi dengan baik dalam hal</v>
      </c>
      <c r="AO43" s="75">
        <f t="shared" si="18"/>
        <v>75</v>
      </c>
      <c r="AP43" s="82">
        <v>78</v>
      </c>
      <c r="AQ43" s="83" t="str">
        <f t="shared" si="13"/>
        <v>Mencapai kompetensi dengan baik dalam hal</v>
      </c>
      <c r="AR43" s="82">
        <v>76</v>
      </c>
      <c r="AS43" s="83" t="str">
        <f t="shared" si="14"/>
        <v>Mencapai kompetensi dengan baik dalam hal</v>
      </c>
      <c r="AT43" s="86" t="s">
        <v>81</v>
      </c>
      <c r="AU43" s="86" t="s">
        <v>81</v>
      </c>
      <c r="AV43" s="86" t="s">
        <v>81</v>
      </c>
      <c r="AW43" s="82">
        <v>1</v>
      </c>
      <c r="AX43" s="82" t="s">
        <v>82</v>
      </c>
      <c r="AY43" s="83" t="s">
        <v>83</v>
      </c>
      <c r="AZ43" s="82" t="s">
        <v>104</v>
      </c>
      <c r="BA43" s="83" t="str">
        <f t="shared" si="19"/>
        <v>Cukup</v>
      </c>
      <c r="BB43" s="82">
        <v>2</v>
      </c>
      <c r="BC43" s="83" t="s">
        <v>170</v>
      </c>
      <c r="BD43" s="83" t="s">
        <v>83</v>
      </c>
      <c r="BE43" s="82" t="s">
        <v>104</v>
      </c>
      <c r="BF43" s="83" t="str">
        <f t="shared" si="20"/>
        <v>Cukup</v>
      </c>
      <c r="BG43" s="82"/>
      <c r="BH43" s="82"/>
      <c r="BI43" s="82"/>
      <c r="BJ43" s="82"/>
      <c r="BK43" s="83"/>
      <c r="BM43" s="93"/>
      <c r="BN43" s="93"/>
      <c r="BO43" s="93"/>
      <c r="BP43" s="93"/>
      <c r="BQ43" s="93"/>
      <c r="BR43" s="93"/>
      <c r="BT43" s="93">
        <f t="shared" si="17"/>
        <v>0</v>
      </c>
    </row>
    <row r="44" spans="1:72" ht="23.25" customHeight="1" x14ac:dyDescent="0.25">
      <c r="A44" s="82">
        <v>43</v>
      </c>
      <c r="B44" s="82">
        <v>2525912</v>
      </c>
      <c r="C44" s="82" t="s">
        <v>619</v>
      </c>
      <c r="D44" s="83" t="s">
        <v>620</v>
      </c>
      <c r="E44" s="82" t="s">
        <v>606</v>
      </c>
      <c r="F44" s="82" t="s">
        <v>530</v>
      </c>
      <c r="G44" s="82" t="s">
        <v>607</v>
      </c>
      <c r="H44" s="82" t="s">
        <v>608</v>
      </c>
      <c r="I44" s="84" t="s">
        <v>76</v>
      </c>
      <c r="J44" s="85" t="s">
        <v>77</v>
      </c>
      <c r="K44" s="85" t="s">
        <v>78</v>
      </c>
      <c r="L44" s="85" t="s">
        <v>79</v>
      </c>
      <c r="M44" s="82">
        <v>80</v>
      </c>
      <c r="N44" s="83" t="str">
        <f t="shared" si="0"/>
        <v>Mencapai kompetensi dengan baik dalam hal</v>
      </c>
      <c r="O44" s="82">
        <v>76</v>
      </c>
      <c r="P44" s="83" t="str">
        <f t="shared" si="0"/>
        <v>Mencapai kompetensi dengan baik dalam hal</v>
      </c>
      <c r="Q44" s="82">
        <v>78</v>
      </c>
      <c r="R44" s="83" t="str">
        <f t="shared" si="1"/>
        <v>Mencapai kompetensi dengan baik dalam hal</v>
      </c>
      <c r="S44" s="82">
        <v>81</v>
      </c>
      <c r="T44" s="83" t="str">
        <f t="shared" si="2"/>
        <v>Mencapai kompetensi dengan baik dalam hal</v>
      </c>
      <c r="U44" s="82">
        <v>80</v>
      </c>
      <c r="V44" s="83" t="str">
        <f t="shared" si="3"/>
        <v>Mencapai kompetensi dengan baik dalam hal</v>
      </c>
      <c r="W44" s="82">
        <v>75</v>
      </c>
      <c r="X44" s="83" t="str">
        <f t="shared" si="4"/>
        <v>Mencapai kompetensi dengan baik dalam hal</v>
      </c>
      <c r="Y44" s="82">
        <v>79</v>
      </c>
      <c r="Z44" s="83" t="str">
        <f t="shared" si="5"/>
        <v>Mencapai kompetensi dengan baik dalam hal</v>
      </c>
      <c r="AA44" s="82">
        <v>78</v>
      </c>
      <c r="AB44" s="83" t="str">
        <f t="shared" si="6"/>
        <v>Mencapai kompetensi dengan baik dalam hal</v>
      </c>
      <c r="AC44" s="82">
        <v>81</v>
      </c>
      <c r="AD44" s="83" t="str">
        <f t="shared" si="7"/>
        <v>Mencapai kompetensi dengan baik dalam hal</v>
      </c>
      <c r="AE44" s="82">
        <v>80</v>
      </c>
      <c r="AF44" s="83" t="str">
        <f t="shared" si="8"/>
        <v>Mencapai kompetensi dengan baik dalam hal</v>
      </c>
      <c r="AG44" s="82">
        <v>80</v>
      </c>
      <c r="AH44" s="83" t="str">
        <f t="shared" si="9"/>
        <v>Mencapai kompetensi dengan baik dalam hal</v>
      </c>
      <c r="AI44" s="82">
        <v>80</v>
      </c>
      <c r="AJ44" s="83" t="str">
        <f t="shared" si="10"/>
        <v>Mencapai kompetensi dengan baik dalam hal</v>
      </c>
      <c r="AK44" s="82">
        <v>80</v>
      </c>
      <c r="AL44" s="83" t="str">
        <f t="shared" si="11"/>
        <v>Mencapai kompetensi dengan baik dalam hal</v>
      </c>
      <c r="AM44" s="82">
        <v>80</v>
      </c>
      <c r="AN44" s="83" t="str">
        <f t="shared" si="12"/>
        <v>Mencapai kompetensi dengan baik dalam hal</v>
      </c>
      <c r="AO44" s="75">
        <f t="shared" si="18"/>
        <v>80</v>
      </c>
      <c r="AP44" s="82">
        <v>81</v>
      </c>
      <c r="AQ44" s="83" t="str">
        <f t="shared" si="13"/>
        <v>Mencapai kompetensi dengan baik dalam hal</v>
      </c>
      <c r="AR44" s="82">
        <v>77</v>
      </c>
      <c r="AS44" s="83" t="str">
        <f t="shared" si="14"/>
        <v>Mencapai kompetensi dengan baik dalam hal</v>
      </c>
      <c r="AT44" s="86">
        <v>4</v>
      </c>
      <c r="AU44" s="86" t="s">
        <v>81</v>
      </c>
      <c r="AV44" s="86" t="s">
        <v>81</v>
      </c>
      <c r="AW44" s="82">
        <v>1</v>
      </c>
      <c r="AX44" s="82" t="s">
        <v>82</v>
      </c>
      <c r="AY44" s="83" t="s">
        <v>83</v>
      </c>
      <c r="AZ44" s="82" t="s">
        <v>86</v>
      </c>
      <c r="BA44" s="83" t="str">
        <f t="shared" si="19"/>
        <v>Sangat baik</v>
      </c>
      <c r="BB44" s="82">
        <v>2</v>
      </c>
      <c r="BC44" s="83" t="s">
        <v>170</v>
      </c>
      <c r="BD44" s="83" t="s">
        <v>83</v>
      </c>
      <c r="BE44" s="82" t="s">
        <v>84</v>
      </c>
      <c r="BF44" s="83" t="str">
        <f t="shared" si="20"/>
        <v>Baik</v>
      </c>
      <c r="BG44" s="82"/>
      <c r="BH44" s="82"/>
      <c r="BI44" s="82"/>
      <c r="BJ44" s="82"/>
      <c r="BK44" s="83"/>
      <c r="BM44" s="81"/>
      <c r="BN44" s="81"/>
      <c r="BO44" s="81"/>
      <c r="BP44" s="81"/>
      <c r="BQ44" s="81"/>
      <c r="BR44" s="81"/>
      <c r="BT44" s="81">
        <f t="shared" si="17"/>
        <v>0</v>
      </c>
    </row>
    <row r="45" spans="1:72" ht="23.25" customHeight="1" x14ac:dyDescent="0.25">
      <c r="A45" s="82">
        <v>44</v>
      </c>
      <c r="B45" s="82">
        <v>2525913</v>
      </c>
      <c r="C45" s="82" t="s">
        <v>621</v>
      </c>
      <c r="D45" s="83" t="s">
        <v>622</v>
      </c>
      <c r="E45" s="82" t="s">
        <v>606</v>
      </c>
      <c r="F45" s="82" t="s">
        <v>530</v>
      </c>
      <c r="G45" s="82" t="s">
        <v>607</v>
      </c>
      <c r="H45" s="82" t="s">
        <v>608</v>
      </c>
      <c r="I45" s="84" t="s">
        <v>76</v>
      </c>
      <c r="J45" s="85" t="s">
        <v>77</v>
      </c>
      <c r="K45" s="85" t="s">
        <v>78</v>
      </c>
      <c r="L45" s="85" t="s">
        <v>79</v>
      </c>
      <c r="M45" s="82">
        <v>83</v>
      </c>
      <c r="N45" s="83" t="str">
        <f t="shared" si="0"/>
        <v>Mencapai kompetensi dengan baik dalam hal</v>
      </c>
      <c r="O45" s="82">
        <v>79</v>
      </c>
      <c r="P45" s="83" t="str">
        <f t="shared" si="0"/>
        <v>Mencapai kompetensi dengan baik dalam hal</v>
      </c>
      <c r="Q45" s="82">
        <v>80</v>
      </c>
      <c r="R45" s="83" t="str">
        <f t="shared" si="1"/>
        <v>Mencapai kompetensi dengan baik dalam hal</v>
      </c>
      <c r="S45" s="82">
        <v>86</v>
      </c>
      <c r="T45" s="83" t="str">
        <f t="shared" si="2"/>
        <v>Mencapai kompetensi dengan baik dalam hal</v>
      </c>
      <c r="U45" s="82">
        <v>87</v>
      </c>
      <c r="V45" s="83" t="str">
        <f t="shared" si="3"/>
        <v>Mencapai kompetensi dengan baik dalam hal</v>
      </c>
      <c r="W45" s="82">
        <v>78</v>
      </c>
      <c r="X45" s="83" t="str">
        <f t="shared" si="4"/>
        <v>Mencapai kompetensi dengan baik dalam hal</v>
      </c>
      <c r="Y45" s="82">
        <v>80</v>
      </c>
      <c r="Z45" s="83" t="str">
        <f t="shared" si="5"/>
        <v>Mencapai kompetensi dengan baik dalam hal</v>
      </c>
      <c r="AA45" s="82">
        <v>78</v>
      </c>
      <c r="AB45" s="83" t="str">
        <f t="shared" si="6"/>
        <v>Mencapai kompetensi dengan baik dalam hal</v>
      </c>
      <c r="AC45" s="82">
        <v>80</v>
      </c>
      <c r="AD45" s="83" t="str">
        <f t="shared" si="7"/>
        <v>Mencapai kompetensi dengan baik dalam hal</v>
      </c>
      <c r="AE45" s="82">
        <v>85</v>
      </c>
      <c r="AF45" s="83" t="str">
        <f t="shared" si="8"/>
        <v>Mencapai kompetensi dengan baik dalam hal</v>
      </c>
      <c r="AG45" s="82">
        <v>85</v>
      </c>
      <c r="AH45" s="83" t="str">
        <f t="shared" si="9"/>
        <v>Mencapai kompetensi dengan baik dalam hal</v>
      </c>
      <c r="AI45" s="82">
        <v>85</v>
      </c>
      <c r="AJ45" s="83" t="str">
        <f t="shared" si="10"/>
        <v>Mencapai kompetensi dengan baik dalam hal</v>
      </c>
      <c r="AK45" s="82">
        <v>85</v>
      </c>
      <c r="AL45" s="83" t="str">
        <f t="shared" si="11"/>
        <v>Mencapai kompetensi dengan baik dalam hal</v>
      </c>
      <c r="AM45" s="82">
        <v>85</v>
      </c>
      <c r="AN45" s="83" t="str">
        <f t="shared" si="12"/>
        <v>Mencapai kompetensi dengan baik dalam hal</v>
      </c>
      <c r="AO45" s="75">
        <f t="shared" si="18"/>
        <v>85</v>
      </c>
      <c r="AP45" s="82">
        <v>80</v>
      </c>
      <c r="AQ45" s="83" t="str">
        <f t="shared" si="13"/>
        <v>Mencapai kompetensi dengan baik dalam hal</v>
      </c>
      <c r="AR45" s="82">
        <v>76</v>
      </c>
      <c r="AS45" s="83" t="str">
        <f t="shared" si="14"/>
        <v>Mencapai kompetensi dengan baik dalam hal</v>
      </c>
      <c r="AT45" s="86" t="s">
        <v>81</v>
      </c>
      <c r="AU45" s="86" t="s">
        <v>81</v>
      </c>
      <c r="AV45" s="86">
        <v>1</v>
      </c>
      <c r="AW45" s="82">
        <v>1</v>
      </c>
      <c r="AX45" s="82" t="s">
        <v>82</v>
      </c>
      <c r="AY45" s="83" t="s">
        <v>83</v>
      </c>
      <c r="AZ45" s="82" t="s">
        <v>86</v>
      </c>
      <c r="BA45" s="83" t="str">
        <f t="shared" si="19"/>
        <v>Sangat baik</v>
      </c>
      <c r="BB45" s="82">
        <v>2</v>
      </c>
      <c r="BC45" s="83" t="s">
        <v>134</v>
      </c>
      <c r="BD45" s="83" t="s">
        <v>83</v>
      </c>
      <c r="BE45" s="82" t="s">
        <v>104</v>
      </c>
      <c r="BF45" s="83" t="str">
        <f t="shared" si="20"/>
        <v>Cukup</v>
      </c>
      <c r="BG45" s="82"/>
      <c r="BH45" s="82"/>
      <c r="BI45" s="82"/>
      <c r="BJ45" s="82"/>
      <c r="BK45" s="83"/>
      <c r="BM45" s="81"/>
      <c r="BN45" s="81"/>
      <c r="BO45" s="81"/>
      <c r="BP45" s="81"/>
      <c r="BQ45" s="81"/>
      <c r="BR45" s="81"/>
      <c r="BT45" s="81">
        <f t="shared" si="17"/>
        <v>0</v>
      </c>
    </row>
    <row r="46" spans="1:72" ht="23.25" customHeight="1" x14ac:dyDescent="0.25">
      <c r="A46" s="82">
        <v>45</v>
      </c>
      <c r="B46" s="82">
        <v>2525914</v>
      </c>
      <c r="C46" s="82" t="s">
        <v>623</v>
      </c>
      <c r="D46" s="83" t="s">
        <v>624</v>
      </c>
      <c r="E46" s="82" t="s">
        <v>606</v>
      </c>
      <c r="F46" s="82" t="s">
        <v>530</v>
      </c>
      <c r="G46" s="82" t="s">
        <v>607</v>
      </c>
      <c r="H46" s="82" t="s">
        <v>608</v>
      </c>
      <c r="I46" s="84" t="s">
        <v>76</v>
      </c>
      <c r="J46" s="85" t="s">
        <v>77</v>
      </c>
      <c r="K46" s="85" t="s">
        <v>78</v>
      </c>
      <c r="L46" s="85" t="s">
        <v>79</v>
      </c>
      <c r="M46" s="82">
        <v>78</v>
      </c>
      <c r="N46" s="83" t="str">
        <f t="shared" si="0"/>
        <v>Mencapai kompetensi dengan baik dalam hal</v>
      </c>
      <c r="O46" s="82">
        <v>75</v>
      </c>
      <c r="P46" s="83" t="str">
        <f t="shared" si="0"/>
        <v>Mencapai kompetensi dengan baik dalam hal</v>
      </c>
      <c r="Q46" s="82">
        <v>75</v>
      </c>
      <c r="R46" s="83" t="str">
        <f t="shared" si="1"/>
        <v>Mencapai kompetensi dengan baik dalam hal</v>
      </c>
      <c r="S46" s="82">
        <v>84</v>
      </c>
      <c r="T46" s="83" t="str">
        <f t="shared" si="2"/>
        <v>Mencapai kompetensi dengan baik dalam hal</v>
      </c>
      <c r="U46" s="82">
        <v>85</v>
      </c>
      <c r="V46" s="83" t="str">
        <f t="shared" si="3"/>
        <v>Mencapai kompetensi dengan baik dalam hal</v>
      </c>
      <c r="W46" s="82">
        <v>75</v>
      </c>
      <c r="X46" s="83" t="str">
        <f t="shared" si="4"/>
        <v>Mencapai kompetensi dengan baik dalam hal</v>
      </c>
      <c r="Y46" s="82">
        <v>83</v>
      </c>
      <c r="Z46" s="83" t="str">
        <f t="shared" si="5"/>
        <v>Mencapai kompetensi dengan baik dalam hal</v>
      </c>
      <c r="AA46" s="82">
        <v>77</v>
      </c>
      <c r="AB46" s="83" t="str">
        <f t="shared" si="6"/>
        <v>Mencapai kompetensi dengan baik dalam hal</v>
      </c>
      <c r="AC46" s="82">
        <v>78</v>
      </c>
      <c r="AD46" s="83" t="str">
        <f t="shared" si="7"/>
        <v>Mencapai kompetensi dengan baik dalam hal</v>
      </c>
      <c r="AE46" s="82">
        <v>80</v>
      </c>
      <c r="AF46" s="83" t="str">
        <f t="shared" si="8"/>
        <v>Mencapai kompetensi dengan baik dalam hal</v>
      </c>
      <c r="AG46" s="82">
        <v>75</v>
      </c>
      <c r="AH46" s="83" t="str">
        <f t="shared" si="9"/>
        <v>Mencapai kompetensi dengan baik dalam hal</v>
      </c>
      <c r="AI46" s="82">
        <v>75</v>
      </c>
      <c r="AJ46" s="83" t="str">
        <f t="shared" si="10"/>
        <v>Mencapai kompetensi dengan baik dalam hal</v>
      </c>
      <c r="AK46" s="82">
        <v>75</v>
      </c>
      <c r="AL46" s="83" t="str">
        <f t="shared" si="11"/>
        <v>Mencapai kompetensi dengan baik dalam hal</v>
      </c>
      <c r="AM46" s="82">
        <v>75</v>
      </c>
      <c r="AN46" s="83" t="str">
        <f t="shared" si="12"/>
        <v>Mencapai kompetensi dengan baik dalam hal</v>
      </c>
      <c r="AO46" s="75">
        <f t="shared" si="18"/>
        <v>75</v>
      </c>
      <c r="AP46" s="82">
        <v>78</v>
      </c>
      <c r="AQ46" s="83" t="str">
        <f t="shared" si="13"/>
        <v>Mencapai kompetensi dengan baik dalam hal</v>
      </c>
      <c r="AR46" s="82">
        <v>75</v>
      </c>
      <c r="AS46" s="83" t="str">
        <f t="shared" si="14"/>
        <v>Mencapai kompetensi dengan baik dalam hal</v>
      </c>
      <c r="AT46" s="86" t="s">
        <v>81</v>
      </c>
      <c r="AU46" s="86" t="s">
        <v>81</v>
      </c>
      <c r="AV46" s="86" t="s">
        <v>81</v>
      </c>
      <c r="AW46" s="82">
        <v>1</v>
      </c>
      <c r="AX46" s="82" t="s">
        <v>82</v>
      </c>
      <c r="AY46" s="83" t="s">
        <v>83</v>
      </c>
      <c r="AZ46" s="82" t="s">
        <v>84</v>
      </c>
      <c r="BA46" s="83" t="str">
        <f t="shared" si="19"/>
        <v>Baik</v>
      </c>
      <c r="BB46" s="82">
        <v>2</v>
      </c>
      <c r="BC46" s="83" t="s">
        <v>236</v>
      </c>
      <c r="BD46" s="83" t="s">
        <v>83</v>
      </c>
      <c r="BE46" s="82" t="s">
        <v>104</v>
      </c>
      <c r="BF46" s="83" t="str">
        <f t="shared" si="20"/>
        <v>Cukup</v>
      </c>
      <c r="BG46" s="82"/>
      <c r="BH46" s="82"/>
      <c r="BI46" s="82"/>
      <c r="BJ46" s="82"/>
      <c r="BK46" s="83"/>
      <c r="BM46" s="81"/>
      <c r="BN46" s="81"/>
      <c r="BO46" s="81"/>
      <c r="BP46" s="81"/>
      <c r="BQ46" s="81"/>
      <c r="BR46" s="81"/>
      <c r="BT46" s="81">
        <f t="shared" si="17"/>
        <v>0</v>
      </c>
    </row>
    <row r="47" spans="1:72" ht="23.25" customHeight="1" x14ac:dyDescent="0.25">
      <c r="A47" s="82">
        <v>46</v>
      </c>
      <c r="B47" s="82">
        <v>2525915</v>
      </c>
      <c r="C47" s="82" t="s">
        <v>625</v>
      </c>
      <c r="D47" s="83" t="s">
        <v>626</v>
      </c>
      <c r="E47" s="82" t="s">
        <v>606</v>
      </c>
      <c r="F47" s="82" t="s">
        <v>530</v>
      </c>
      <c r="G47" s="82" t="s">
        <v>607</v>
      </c>
      <c r="H47" s="82" t="s">
        <v>608</v>
      </c>
      <c r="I47" s="84" t="s">
        <v>76</v>
      </c>
      <c r="J47" s="85" t="s">
        <v>77</v>
      </c>
      <c r="K47" s="85" t="s">
        <v>78</v>
      </c>
      <c r="L47" s="85" t="s">
        <v>79</v>
      </c>
      <c r="M47" s="82">
        <v>81</v>
      </c>
      <c r="N47" s="83" t="str">
        <f t="shared" si="0"/>
        <v>Mencapai kompetensi dengan baik dalam hal</v>
      </c>
      <c r="O47" s="82">
        <v>78</v>
      </c>
      <c r="P47" s="83" t="str">
        <f t="shared" si="0"/>
        <v>Mencapai kompetensi dengan baik dalam hal</v>
      </c>
      <c r="Q47" s="82">
        <v>78</v>
      </c>
      <c r="R47" s="83" t="str">
        <f t="shared" si="1"/>
        <v>Mencapai kompetensi dengan baik dalam hal</v>
      </c>
      <c r="S47" s="82">
        <v>86</v>
      </c>
      <c r="T47" s="83" t="str">
        <f t="shared" si="2"/>
        <v>Mencapai kompetensi dengan baik dalam hal</v>
      </c>
      <c r="U47" s="82">
        <v>87</v>
      </c>
      <c r="V47" s="83" t="str">
        <f t="shared" si="3"/>
        <v>Mencapai kompetensi dengan baik dalam hal</v>
      </c>
      <c r="W47" s="82">
        <v>80</v>
      </c>
      <c r="X47" s="83" t="str">
        <f t="shared" si="4"/>
        <v>Mencapai kompetensi dengan baik dalam hal</v>
      </c>
      <c r="Y47" s="82">
        <v>90</v>
      </c>
      <c r="Z47" s="83" t="str">
        <f t="shared" si="5"/>
        <v>Mencapai kompetensi dengan sangat baik dalam hal</v>
      </c>
      <c r="AA47" s="82">
        <v>78</v>
      </c>
      <c r="AB47" s="83" t="str">
        <f t="shared" si="6"/>
        <v>Mencapai kompetensi dengan baik dalam hal</v>
      </c>
      <c r="AC47" s="82">
        <v>85</v>
      </c>
      <c r="AD47" s="83" t="str">
        <f t="shared" si="7"/>
        <v>Mencapai kompetensi dengan baik dalam hal</v>
      </c>
      <c r="AE47" s="82">
        <v>86</v>
      </c>
      <c r="AF47" s="83" t="str">
        <f t="shared" si="8"/>
        <v>Mencapai kompetensi dengan baik dalam hal</v>
      </c>
      <c r="AG47" s="82">
        <v>88</v>
      </c>
      <c r="AH47" s="83" t="str">
        <f t="shared" si="9"/>
        <v>Mencapai kompetensi dengan baik dalam hal</v>
      </c>
      <c r="AI47" s="82">
        <v>88</v>
      </c>
      <c r="AJ47" s="83" t="str">
        <f t="shared" si="10"/>
        <v>Mencapai kompetensi dengan baik dalam hal</v>
      </c>
      <c r="AK47" s="82">
        <v>88</v>
      </c>
      <c r="AL47" s="83" t="str">
        <f t="shared" si="11"/>
        <v>Mencapai kompetensi dengan baik dalam hal</v>
      </c>
      <c r="AM47" s="82">
        <v>88</v>
      </c>
      <c r="AN47" s="83" t="str">
        <f t="shared" si="12"/>
        <v>Mencapai kompetensi dengan baik dalam hal</v>
      </c>
      <c r="AO47" s="75">
        <f t="shared" si="18"/>
        <v>88</v>
      </c>
      <c r="AP47" s="82">
        <v>85</v>
      </c>
      <c r="AQ47" s="83" t="str">
        <f t="shared" si="13"/>
        <v>Mencapai kompetensi dengan baik dalam hal</v>
      </c>
      <c r="AR47" s="82">
        <v>80</v>
      </c>
      <c r="AS47" s="83" t="str">
        <f t="shared" si="14"/>
        <v>Mencapai kompetensi dengan baik dalam hal</v>
      </c>
      <c r="AT47" s="86">
        <v>1</v>
      </c>
      <c r="AU47" s="86" t="s">
        <v>81</v>
      </c>
      <c r="AV47" s="86" t="s">
        <v>81</v>
      </c>
      <c r="AW47" s="82">
        <v>1</v>
      </c>
      <c r="AX47" s="82" t="s">
        <v>82</v>
      </c>
      <c r="AY47" s="83" t="s">
        <v>83</v>
      </c>
      <c r="AZ47" s="82" t="s">
        <v>84</v>
      </c>
      <c r="BA47" s="83" t="str">
        <f t="shared" si="19"/>
        <v>Baik</v>
      </c>
      <c r="BB47" s="82">
        <v>2</v>
      </c>
      <c r="BC47" s="83" t="s">
        <v>108</v>
      </c>
      <c r="BD47" s="83" t="s">
        <v>83</v>
      </c>
      <c r="BE47" s="82" t="s">
        <v>86</v>
      </c>
      <c r="BF47" s="83" t="str">
        <f t="shared" si="20"/>
        <v>Sangat baik</v>
      </c>
      <c r="BG47" s="82"/>
      <c r="BH47" s="82"/>
      <c r="BI47" s="82"/>
      <c r="BJ47" s="82"/>
      <c r="BK47" s="83"/>
      <c r="BM47" s="81"/>
      <c r="BN47" s="81"/>
      <c r="BO47" s="81"/>
      <c r="BP47" s="81"/>
      <c r="BQ47" s="81"/>
      <c r="BR47" s="81"/>
      <c r="BT47" s="81">
        <f t="shared" si="17"/>
        <v>0</v>
      </c>
    </row>
    <row r="48" spans="1:72" ht="23.25" customHeight="1" x14ac:dyDescent="0.25">
      <c r="A48" s="82">
        <v>47</v>
      </c>
      <c r="B48" s="82">
        <v>2525916</v>
      </c>
      <c r="C48" s="82" t="s">
        <v>627</v>
      </c>
      <c r="D48" s="83" t="s">
        <v>628</v>
      </c>
      <c r="E48" s="82" t="s">
        <v>606</v>
      </c>
      <c r="F48" s="82" t="s">
        <v>530</v>
      </c>
      <c r="G48" s="82" t="s">
        <v>607</v>
      </c>
      <c r="H48" s="82" t="s">
        <v>608</v>
      </c>
      <c r="I48" s="84" t="s">
        <v>76</v>
      </c>
      <c r="J48" s="85" t="s">
        <v>77</v>
      </c>
      <c r="K48" s="85" t="s">
        <v>78</v>
      </c>
      <c r="L48" s="85" t="s">
        <v>79</v>
      </c>
      <c r="M48" s="82">
        <v>76</v>
      </c>
      <c r="N48" s="83" t="str">
        <f t="shared" si="0"/>
        <v>Mencapai kompetensi dengan baik dalam hal</v>
      </c>
      <c r="O48" s="82">
        <v>75</v>
      </c>
      <c r="P48" s="83" t="str">
        <f t="shared" si="0"/>
        <v>Mencapai kompetensi dengan baik dalam hal</v>
      </c>
      <c r="Q48" s="82">
        <v>75</v>
      </c>
      <c r="R48" s="83" t="str">
        <f t="shared" si="1"/>
        <v>Mencapai kompetensi dengan baik dalam hal</v>
      </c>
      <c r="S48" s="82">
        <v>81</v>
      </c>
      <c r="T48" s="83" t="str">
        <f t="shared" si="2"/>
        <v>Mencapai kompetensi dengan baik dalam hal</v>
      </c>
      <c r="U48" s="82">
        <v>75</v>
      </c>
      <c r="V48" s="83" t="str">
        <f t="shared" si="3"/>
        <v>Mencapai kompetensi dengan baik dalam hal</v>
      </c>
      <c r="W48" s="82">
        <v>75</v>
      </c>
      <c r="X48" s="83" t="str">
        <f t="shared" si="4"/>
        <v>Mencapai kompetensi dengan baik dalam hal</v>
      </c>
      <c r="Y48" s="82">
        <v>75</v>
      </c>
      <c r="Z48" s="83" t="str">
        <f t="shared" si="5"/>
        <v>Mencapai kompetensi dengan baik dalam hal</v>
      </c>
      <c r="AA48" s="82">
        <v>76</v>
      </c>
      <c r="AB48" s="83" t="str">
        <f t="shared" si="6"/>
        <v>Mencapai kompetensi dengan baik dalam hal</v>
      </c>
      <c r="AC48" s="82">
        <v>75</v>
      </c>
      <c r="AD48" s="83" t="str">
        <f t="shared" si="7"/>
        <v>Mencapai kompetensi dengan baik dalam hal</v>
      </c>
      <c r="AE48" s="82">
        <v>72</v>
      </c>
      <c r="AF48" s="83" t="str">
        <f t="shared" si="8"/>
        <v>Perlu peningkatan dalam hal</v>
      </c>
      <c r="AG48" s="82">
        <v>75</v>
      </c>
      <c r="AH48" s="83" t="str">
        <f t="shared" si="9"/>
        <v>Mencapai kompetensi dengan baik dalam hal</v>
      </c>
      <c r="AI48" s="82">
        <v>75</v>
      </c>
      <c r="AJ48" s="83" t="str">
        <f t="shared" si="10"/>
        <v>Mencapai kompetensi dengan baik dalam hal</v>
      </c>
      <c r="AK48" s="82">
        <v>75</v>
      </c>
      <c r="AL48" s="83" t="str">
        <f t="shared" si="11"/>
        <v>Mencapai kompetensi dengan baik dalam hal</v>
      </c>
      <c r="AM48" s="82">
        <v>75</v>
      </c>
      <c r="AN48" s="83" t="str">
        <f t="shared" si="12"/>
        <v>Mencapai kompetensi dengan baik dalam hal</v>
      </c>
      <c r="AO48" s="75">
        <f t="shared" si="18"/>
        <v>75</v>
      </c>
      <c r="AP48" s="82">
        <v>75</v>
      </c>
      <c r="AQ48" s="83" t="str">
        <f t="shared" si="13"/>
        <v>Mencapai kompetensi dengan baik dalam hal</v>
      </c>
      <c r="AR48" s="82">
        <v>75</v>
      </c>
      <c r="AS48" s="83" t="str">
        <f t="shared" si="14"/>
        <v>Mencapai kompetensi dengan baik dalam hal</v>
      </c>
      <c r="AT48" s="86">
        <v>2</v>
      </c>
      <c r="AU48" s="86" t="s">
        <v>81</v>
      </c>
      <c r="AV48" s="86" t="s">
        <v>81</v>
      </c>
      <c r="AW48" s="82">
        <v>1</v>
      </c>
      <c r="AX48" s="82" t="s">
        <v>82</v>
      </c>
      <c r="AY48" s="83" t="s">
        <v>83</v>
      </c>
      <c r="AZ48" s="82" t="s">
        <v>104</v>
      </c>
      <c r="BA48" s="83" t="str">
        <f t="shared" si="19"/>
        <v>Cukup</v>
      </c>
      <c r="BB48" s="82">
        <v>2</v>
      </c>
      <c r="BC48" s="83" t="s">
        <v>170</v>
      </c>
      <c r="BD48" s="83" t="s">
        <v>83</v>
      </c>
      <c r="BE48" s="82" t="s">
        <v>110</v>
      </c>
      <c r="BF48" s="83" t="str">
        <f t="shared" si="20"/>
        <v>Kurang</v>
      </c>
      <c r="BG48" s="82"/>
      <c r="BH48" s="82"/>
      <c r="BI48" s="82"/>
      <c r="BJ48" s="82"/>
      <c r="BK48" s="83"/>
      <c r="BM48" s="81"/>
      <c r="BN48" s="81"/>
      <c r="BO48" s="81"/>
      <c r="BP48" s="81"/>
      <c r="BQ48" s="81"/>
      <c r="BR48" s="81"/>
      <c r="BT48" s="81">
        <f t="shared" si="17"/>
        <v>1</v>
      </c>
    </row>
    <row r="49" spans="1:73" ht="23.25" customHeight="1" x14ac:dyDescent="0.25">
      <c r="A49" s="82">
        <v>48</v>
      </c>
      <c r="B49" s="82">
        <v>2525917</v>
      </c>
      <c r="C49" s="82" t="s">
        <v>629</v>
      </c>
      <c r="D49" s="83" t="s">
        <v>630</v>
      </c>
      <c r="E49" s="82" t="s">
        <v>606</v>
      </c>
      <c r="F49" s="82" t="s">
        <v>530</v>
      </c>
      <c r="G49" s="82" t="s">
        <v>607</v>
      </c>
      <c r="H49" s="82" t="s">
        <v>608</v>
      </c>
      <c r="I49" s="84" t="s">
        <v>76</v>
      </c>
      <c r="J49" s="85" t="s">
        <v>77</v>
      </c>
      <c r="K49" s="85" t="s">
        <v>78</v>
      </c>
      <c r="L49" s="85" t="s">
        <v>79</v>
      </c>
      <c r="M49" s="82">
        <v>83</v>
      </c>
      <c r="N49" s="83" t="str">
        <f t="shared" si="0"/>
        <v>Mencapai kompetensi dengan baik dalam hal</v>
      </c>
      <c r="O49" s="82">
        <v>77</v>
      </c>
      <c r="P49" s="83" t="str">
        <f t="shared" si="0"/>
        <v>Mencapai kompetensi dengan baik dalam hal</v>
      </c>
      <c r="Q49" s="82">
        <v>75</v>
      </c>
      <c r="R49" s="83" t="str">
        <f t="shared" si="1"/>
        <v>Mencapai kompetensi dengan baik dalam hal</v>
      </c>
      <c r="S49" s="82">
        <v>85</v>
      </c>
      <c r="T49" s="83" t="str">
        <f t="shared" si="2"/>
        <v>Mencapai kompetensi dengan baik dalam hal</v>
      </c>
      <c r="U49" s="82">
        <v>79</v>
      </c>
      <c r="V49" s="83" t="str">
        <f t="shared" si="3"/>
        <v>Mencapai kompetensi dengan baik dalam hal</v>
      </c>
      <c r="W49" s="82">
        <v>75</v>
      </c>
      <c r="X49" s="83" t="str">
        <f t="shared" si="4"/>
        <v>Mencapai kompetensi dengan baik dalam hal</v>
      </c>
      <c r="Y49" s="82">
        <v>90</v>
      </c>
      <c r="Z49" s="83" t="str">
        <f t="shared" si="5"/>
        <v>Mencapai kompetensi dengan sangat baik dalam hal</v>
      </c>
      <c r="AA49" s="82">
        <v>78</v>
      </c>
      <c r="AB49" s="83" t="str">
        <f t="shared" si="6"/>
        <v>Mencapai kompetensi dengan baik dalam hal</v>
      </c>
      <c r="AC49" s="82">
        <v>78</v>
      </c>
      <c r="AD49" s="83" t="str">
        <f t="shared" si="7"/>
        <v>Mencapai kompetensi dengan baik dalam hal</v>
      </c>
      <c r="AE49" s="82">
        <v>77</v>
      </c>
      <c r="AF49" s="83" t="str">
        <f t="shared" si="8"/>
        <v>Mencapai kompetensi dengan baik dalam hal</v>
      </c>
      <c r="AG49" s="82">
        <v>81</v>
      </c>
      <c r="AH49" s="83" t="str">
        <f t="shared" si="9"/>
        <v>Mencapai kompetensi dengan baik dalam hal</v>
      </c>
      <c r="AI49" s="82">
        <v>81</v>
      </c>
      <c r="AJ49" s="83" t="str">
        <f t="shared" si="10"/>
        <v>Mencapai kompetensi dengan baik dalam hal</v>
      </c>
      <c r="AK49" s="82">
        <v>81</v>
      </c>
      <c r="AL49" s="83" t="str">
        <f t="shared" si="11"/>
        <v>Mencapai kompetensi dengan baik dalam hal</v>
      </c>
      <c r="AM49" s="82">
        <v>81</v>
      </c>
      <c r="AN49" s="83" t="str">
        <f t="shared" si="12"/>
        <v>Mencapai kompetensi dengan baik dalam hal</v>
      </c>
      <c r="AO49" s="75">
        <f t="shared" si="18"/>
        <v>81</v>
      </c>
      <c r="AP49" s="82">
        <v>78</v>
      </c>
      <c r="AQ49" s="83" t="str">
        <f t="shared" si="13"/>
        <v>Mencapai kompetensi dengan baik dalam hal</v>
      </c>
      <c r="AR49" s="82">
        <v>77</v>
      </c>
      <c r="AS49" s="83" t="str">
        <f t="shared" si="14"/>
        <v>Mencapai kompetensi dengan baik dalam hal</v>
      </c>
      <c r="AT49" s="86">
        <v>1</v>
      </c>
      <c r="AU49" s="86" t="s">
        <v>81</v>
      </c>
      <c r="AV49" s="86" t="s">
        <v>81</v>
      </c>
      <c r="AW49" s="82">
        <v>1</v>
      </c>
      <c r="AX49" s="82" t="s">
        <v>82</v>
      </c>
      <c r="AY49" s="83" t="s">
        <v>83</v>
      </c>
      <c r="AZ49" s="82" t="s">
        <v>84</v>
      </c>
      <c r="BA49" s="83" t="str">
        <f t="shared" si="19"/>
        <v>Baik</v>
      </c>
      <c r="BB49" s="82">
        <v>2</v>
      </c>
      <c r="BC49" s="83" t="s">
        <v>103</v>
      </c>
      <c r="BD49" s="83" t="s">
        <v>83</v>
      </c>
      <c r="BE49" s="82" t="s">
        <v>86</v>
      </c>
      <c r="BF49" s="83" t="str">
        <f t="shared" si="20"/>
        <v>Sangat baik</v>
      </c>
      <c r="BG49" s="82"/>
      <c r="BH49" s="82"/>
      <c r="BI49" s="82"/>
      <c r="BJ49" s="82"/>
      <c r="BK49" s="83"/>
      <c r="BM49" s="88"/>
      <c r="BN49" s="88"/>
      <c r="BO49" s="88"/>
      <c r="BP49" s="88"/>
      <c r="BQ49" s="88"/>
      <c r="BR49" s="88"/>
      <c r="BT49" s="81">
        <f t="shared" si="17"/>
        <v>0</v>
      </c>
      <c r="BU49" s="77" t="s">
        <v>631</v>
      </c>
    </row>
    <row r="50" spans="1:73" ht="23.25" customHeight="1" x14ac:dyDescent="0.25">
      <c r="A50" s="82">
        <v>49</v>
      </c>
      <c r="B50" s="82">
        <v>2525918</v>
      </c>
      <c r="C50" s="82" t="s">
        <v>632</v>
      </c>
      <c r="D50" s="83" t="s">
        <v>633</v>
      </c>
      <c r="E50" s="82" t="s">
        <v>606</v>
      </c>
      <c r="F50" s="82" t="s">
        <v>530</v>
      </c>
      <c r="G50" s="82" t="s">
        <v>607</v>
      </c>
      <c r="H50" s="82" t="s">
        <v>608</v>
      </c>
      <c r="I50" s="84" t="s">
        <v>76</v>
      </c>
      <c r="J50" s="85" t="s">
        <v>77</v>
      </c>
      <c r="K50" s="85" t="s">
        <v>78</v>
      </c>
      <c r="L50" s="85" t="s">
        <v>79</v>
      </c>
      <c r="M50" s="82">
        <v>80</v>
      </c>
      <c r="N50" s="83" t="str">
        <f t="shared" si="0"/>
        <v>Mencapai kompetensi dengan baik dalam hal</v>
      </c>
      <c r="O50" s="82">
        <v>77</v>
      </c>
      <c r="P50" s="83" t="str">
        <f t="shared" si="0"/>
        <v>Mencapai kompetensi dengan baik dalam hal</v>
      </c>
      <c r="Q50" s="82">
        <v>80</v>
      </c>
      <c r="R50" s="83" t="str">
        <f t="shared" si="1"/>
        <v>Mencapai kompetensi dengan baik dalam hal</v>
      </c>
      <c r="S50" s="82">
        <v>86</v>
      </c>
      <c r="T50" s="83" t="str">
        <f t="shared" si="2"/>
        <v>Mencapai kompetensi dengan baik dalam hal</v>
      </c>
      <c r="U50" s="82">
        <v>87</v>
      </c>
      <c r="V50" s="83" t="str">
        <f t="shared" si="3"/>
        <v>Mencapai kompetensi dengan baik dalam hal</v>
      </c>
      <c r="W50" s="82">
        <v>77</v>
      </c>
      <c r="X50" s="83" t="str">
        <f t="shared" si="4"/>
        <v>Mencapai kompetensi dengan baik dalam hal</v>
      </c>
      <c r="Y50" s="82">
        <v>75</v>
      </c>
      <c r="Z50" s="83" t="str">
        <f t="shared" si="5"/>
        <v>Mencapai kompetensi dengan baik dalam hal</v>
      </c>
      <c r="AA50" s="82">
        <v>78</v>
      </c>
      <c r="AB50" s="83" t="str">
        <f t="shared" si="6"/>
        <v>Mencapai kompetensi dengan baik dalam hal</v>
      </c>
      <c r="AC50" s="82">
        <v>78</v>
      </c>
      <c r="AD50" s="83" t="str">
        <f t="shared" si="7"/>
        <v>Mencapai kompetensi dengan baik dalam hal</v>
      </c>
      <c r="AE50" s="82">
        <v>85</v>
      </c>
      <c r="AF50" s="83" t="str">
        <f t="shared" si="8"/>
        <v>Mencapai kompetensi dengan baik dalam hal</v>
      </c>
      <c r="AG50" s="82">
        <v>80</v>
      </c>
      <c r="AH50" s="83" t="str">
        <f t="shared" si="9"/>
        <v>Mencapai kompetensi dengan baik dalam hal</v>
      </c>
      <c r="AI50" s="82">
        <v>80</v>
      </c>
      <c r="AJ50" s="83" t="str">
        <f t="shared" si="10"/>
        <v>Mencapai kompetensi dengan baik dalam hal</v>
      </c>
      <c r="AK50" s="82">
        <v>80</v>
      </c>
      <c r="AL50" s="83" t="str">
        <f t="shared" si="11"/>
        <v>Mencapai kompetensi dengan baik dalam hal</v>
      </c>
      <c r="AM50" s="82">
        <v>80</v>
      </c>
      <c r="AN50" s="83" t="str">
        <f t="shared" si="12"/>
        <v>Mencapai kompetensi dengan baik dalam hal</v>
      </c>
      <c r="AO50" s="75">
        <f t="shared" si="18"/>
        <v>80</v>
      </c>
      <c r="AP50" s="82">
        <v>78</v>
      </c>
      <c r="AQ50" s="83" t="str">
        <f t="shared" si="13"/>
        <v>Mencapai kompetensi dengan baik dalam hal</v>
      </c>
      <c r="AR50" s="82">
        <v>75</v>
      </c>
      <c r="AS50" s="83" t="str">
        <f t="shared" si="14"/>
        <v>Mencapai kompetensi dengan baik dalam hal</v>
      </c>
      <c r="AT50" s="86">
        <v>2</v>
      </c>
      <c r="AU50" s="86" t="s">
        <v>81</v>
      </c>
      <c r="AV50" s="86" t="s">
        <v>81</v>
      </c>
      <c r="AW50" s="82">
        <v>1</v>
      </c>
      <c r="AX50" s="82" t="s">
        <v>82</v>
      </c>
      <c r="AY50" s="83" t="s">
        <v>83</v>
      </c>
      <c r="AZ50" s="82" t="s">
        <v>86</v>
      </c>
      <c r="BA50" s="83" t="str">
        <f t="shared" si="19"/>
        <v>Sangat baik</v>
      </c>
      <c r="BB50" s="82">
        <v>2</v>
      </c>
      <c r="BC50" s="83" t="s">
        <v>108</v>
      </c>
      <c r="BD50" s="83" t="s">
        <v>83</v>
      </c>
      <c r="BE50" s="82" t="s">
        <v>86</v>
      </c>
      <c r="BF50" s="83" t="str">
        <f t="shared" si="20"/>
        <v>Sangat baik</v>
      </c>
      <c r="BG50" s="82"/>
      <c r="BH50" s="82"/>
      <c r="BI50" s="82"/>
      <c r="BJ50" s="82"/>
      <c r="BK50" s="83"/>
      <c r="BM50" s="81"/>
      <c r="BN50" s="81"/>
      <c r="BO50" s="81"/>
      <c r="BP50" s="81"/>
      <c r="BQ50" s="81"/>
      <c r="BR50" s="81"/>
      <c r="BT50" s="81">
        <f t="shared" si="17"/>
        <v>0</v>
      </c>
    </row>
    <row r="51" spans="1:73" ht="23.25" customHeight="1" x14ac:dyDescent="0.25">
      <c r="A51" s="82">
        <v>50</v>
      </c>
      <c r="B51" s="82">
        <v>2525919</v>
      </c>
      <c r="C51" s="82" t="s">
        <v>634</v>
      </c>
      <c r="D51" s="83" t="s">
        <v>635</v>
      </c>
      <c r="E51" s="82" t="s">
        <v>606</v>
      </c>
      <c r="F51" s="82" t="s">
        <v>530</v>
      </c>
      <c r="G51" s="82" t="s">
        <v>607</v>
      </c>
      <c r="H51" s="82" t="s">
        <v>608</v>
      </c>
      <c r="I51" s="84" t="s">
        <v>76</v>
      </c>
      <c r="J51" s="85" t="s">
        <v>77</v>
      </c>
      <c r="K51" s="85" t="s">
        <v>78</v>
      </c>
      <c r="L51" s="85" t="s">
        <v>79</v>
      </c>
      <c r="M51" s="82">
        <v>75</v>
      </c>
      <c r="N51" s="83" t="str">
        <f t="shared" si="0"/>
        <v>Mencapai kompetensi dengan baik dalam hal</v>
      </c>
      <c r="O51" s="82">
        <v>75</v>
      </c>
      <c r="P51" s="83" t="str">
        <f t="shared" si="0"/>
        <v>Mencapai kompetensi dengan baik dalam hal</v>
      </c>
      <c r="Q51" s="82">
        <v>75</v>
      </c>
      <c r="R51" s="83" t="str">
        <f t="shared" si="1"/>
        <v>Mencapai kompetensi dengan baik dalam hal</v>
      </c>
      <c r="S51" s="82">
        <v>81</v>
      </c>
      <c r="T51" s="83" t="str">
        <f t="shared" si="2"/>
        <v>Mencapai kompetensi dengan baik dalam hal</v>
      </c>
      <c r="U51" s="82">
        <v>75</v>
      </c>
      <c r="V51" s="83" t="str">
        <f t="shared" si="3"/>
        <v>Mencapai kompetensi dengan baik dalam hal</v>
      </c>
      <c r="W51" s="82">
        <v>75</v>
      </c>
      <c r="X51" s="83" t="str">
        <f t="shared" si="4"/>
        <v>Mencapai kompetensi dengan baik dalam hal</v>
      </c>
      <c r="Y51" s="82">
        <v>75</v>
      </c>
      <c r="Z51" s="83" t="str">
        <f t="shared" si="5"/>
        <v>Mencapai kompetensi dengan baik dalam hal</v>
      </c>
      <c r="AA51" s="82">
        <v>76</v>
      </c>
      <c r="AB51" s="83" t="str">
        <f t="shared" si="6"/>
        <v>Mencapai kompetensi dengan baik dalam hal</v>
      </c>
      <c r="AC51" s="82">
        <v>72</v>
      </c>
      <c r="AD51" s="83" t="str">
        <f t="shared" si="7"/>
        <v>Perlu peningkatan dalam hal</v>
      </c>
      <c r="AE51" s="82">
        <v>76</v>
      </c>
      <c r="AF51" s="83" t="str">
        <f t="shared" si="8"/>
        <v>Mencapai kompetensi dengan baik dalam hal</v>
      </c>
      <c r="AG51" s="82">
        <v>75</v>
      </c>
      <c r="AH51" s="83" t="str">
        <f t="shared" si="9"/>
        <v>Mencapai kompetensi dengan baik dalam hal</v>
      </c>
      <c r="AI51" s="82">
        <v>75</v>
      </c>
      <c r="AJ51" s="83" t="str">
        <f t="shared" si="10"/>
        <v>Mencapai kompetensi dengan baik dalam hal</v>
      </c>
      <c r="AK51" s="82">
        <v>75</v>
      </c>
      <c r="AL51" s="83" t="str">
        <f t="shared" si="11"/>
        <v>Mencapai kompetensi dengan baik dalam hal</v>
      </c>
      <c r="AM51" s="82">
        <v>75</v>
      </c>
      <c r="AN51" s="83" t="str">
        <f t="shared" si="12"/>
        <v>Mencapai kompetensi dengan baik dalam hal</v>
      </c>
      <c r="AO51" s="75">
        <f t="shared" si="18"/>
        <v>75</v>
      </c>
      <c r="AP51" s="82">
        <v>72</v>
      </c>
      <c r="AQ51" s="83" t="str">
        <f t="shared" si="13"/>
        <v>Perlu peningkatan dalam hal</v>
      </c>
      <c r="AR51" s="82">
        <v>75</v>
      </c>
      <c r="AS51" s="83" t="str">
        <f t="shared" si="14"/>
        <v>Mencapai kompetensi dengan baik dalam hal</v>
      </c>
      <c r="AT51" s="86">
        <v>12</v>
      </c>
      <c r="AU51" s="86" t="s">
        <v>81</v>
      </c>
      <c r="AV51" s="86">
        <v>2</v>
      </c>
      <c r="AW51" s="82">
        <v>1</v>
      </c>
      <c r="AX51" s="82" t="s">
        <v>82</v>
      </c>
      <c r="AY51" s="83" t="s">
        <v>83</v>
      </c>
      <c r="AZ51" s="82" t="s">
        <v>84</v>
      </c>
      <c r="BA51" s="83" t="str">
        <f t="shared" si="19"/>
        <v>Baik</v>
      </c>
      <c r="BB51" s="82">
        <v>2</v>
      </c>
      <c r="BC51" s="83" t="s">
        <v>325</v>
      </c>
      <c r="BD51" s="83" t="s">
        <v>83</v>
      </c>
      <c r="BE51" s="82" t="s">
        <v>104</v>
      </c>
      <c r="BF51" s="83" t="str">
        <f t="shared" si="20"/>
        <v>Cukup</v>
      </c>
      <c r="BG51" s="82"/>
      <c r="BH51" s="82"/>
      <c r="BI51" s="82"/>
      <c r="BJ51" s="82"/>
      <c r="BK51" s="83"/>
      <c r="BM51" s="81"/>
      <c r="BN51" s="81"/>
      <c r="BO51" s="81"/>
      <c r="BP51" s="81"/>
      <c r="BQ51" s="81"/>
      <c r="BR51" s="81"/>
      <c r="BT51" s="81">
        <f t="shared" si="17"/>
        <v>2</v>
      </c>
    </row>
    <row r="52" spans="1:73" ht="23.25" customHeight="1" x14ac:dyDescent="0.25">
      <c r="A52" s="82">
        <v>51</v>
      </c>
      <c r="B52" s="82">
        <v>2525920</v>
      </c>
      <c r="C52" s="82" t="s">
        <v>636</v>
      </c>
      <c r="D52" s="83" t="s">
        <v>637</v>
      </c>
      <c r="E52" s="82" t="s">
        <v>606</v>
      </c>
      <c r="F52" s="82" t="s">
        <v>530</v>
      </c>
      <c r="G52" s="82" t="s">
        <v>607</v>
      </c>
      <c r="H52" s="82" t="s">
        <v>608</v>
      </c>
      <c r="I52" s="84" t="s">
        <v>76</v>
      </c>
      <c r="J52" s="85" t="s">
        <v>77</v>
      </c>
      <c r="K52" s="85" t="s">
        <v>78</v>
      </c>
      <c r="L52" s="85" t="s">
        <v>79</v>
      </c>
      <c r="M52" s="82">
        <v>78</v>
      </c>
      <c r="N52" s="83" t="str">
        <f t="shared" si="0"/>
        <v>Mencapai kompetensi dengan baik dalam hal</v>
      </c>
      <c r="O52" s="82">
        <v>76</v>
      </c>
      <c r="P52" s="83" t="str">
        <f t="shared" si="0"/>
        <v>Mencapai kompetensi dengan baik dalam hal</v>
      </c>
      <c r="Q52" s="82">
        <v>75</v>
      </c>
      <c r="R52" s="83" t="str">
        <f t="shared" si="1"/>
        <v>Mencapai kompetensi dengan baik dalam hal</v>
      </c>
      <c r="S52" s="82">
        <v>83</v>
      </c>
      <c r="T52" s="83" t="str">
        <f t="shared" si="2"/>
        <v>Mencapai kompetensi dengan baik dalam hal</v>
      </c>
      <c r="U52" s="82">
        <v>75</v>
      </c>
      <c r="V52" s="83" t="str">
        <f t="shared" si="3"/>
        <v>Mencapai kompetensi dengan baik dalam hal</v>
      </c>
      <c r="W52" s="82">
        <v>75</v>
      </c>
      <c r="X52" s="83" t="str">
        <f t="shared" si="4"/>
        <v>Mencapai kompetensi dengan baik dalam hal</v>
      </c>
      <c r="Y52" s="82">
        <v>76</v>
      </c>
      <c r="Z52" s="83" t="str">
        <f t="shared" si="5"/>
        <v>Mencapai kompetensi dengan baik dalam hal</v>
      </c>
      <c r="AA52" s="82">
        <v>78</v>
      </c>
      <c r="AB52" s="83" t="str">
        <f t="shared" si="6"/>
        <v>Mencapai kompetensi dengan baik dalam hal</v>
      </c>
      <c r="AC52" s="82">
        <v>78</v>
      </c>
      <c r="AD52" s="83" t="str">
        <f t="shared" si="7"/>
        <v>Mencapai kompetensi dengan baik dalam hal</v>
      </c>
      <c r="AE52" s="82">
        <v>78</v>
      </c>
      <c r="AF52" s="83" t="str">
        <f t="shared" si="8"/>
        <v>Mencapai kompetensi dengan baik dalam hal</v>
      </c>
      <c r="AG52" s="82">
        <v>75</v>
      </c>
      <c r="AH52" s="83" t="str">
        <f t="shared" si="9"/>
        <v>Mencapai kompetensi dengan baik dalam hal</v>
      </c>
      <c r="AI52" s="82">
        <v>75</v>
      </c>
      <c r="AJ52" s="83" t="str">
        <f t="shared" si="10"/>
        <v>Mencapai kompetensi dengan baik dalam hal</v>
      </c>
      <c r="AK52" s="82">
        <v>75</v>
      </c>
      <c r="AL52" s="83" t="str">
        <f t="shared" si="11"/>
        <v>Mencapai kompetensi dengan baik dalam hal</v>
      </c>
      <c r="AM52" s="82">
        <v>75</v>
      </c>
      <c r="AN52" s="83" t="str">
        <f t="shared" si="12"/>
        <v>Mencapai kompetensi dengan baik dalam hal</v>
      </c>
      <c r="AO52" s="75">
        <f t="shared" si="18"/>
        <v>75</v>
      </c>
      <c r="AP52" s="82">
        <v>78</v>
      </c>
      <c r="AQ52" s="83" t="str">
        <f t="shared" si="13"/>
        <v>Mencapai kompetensi dengan baik dalam hal</v>
      </c>
      <c r="AR52" s="82">
        <v>75</v>
      </c>
      <c r="AS52" s="83" t="str">
        <f t="shared" si="14"/>
        <v>Mencapai kompetensi dengan baik dalam hal</v>
      </c>
      <c r="AT52" s="86">
        <v>1</v>
      </c>
      <c r="AU52" s="86" t="s">
        <v>81</v>
      </c>
      <c r="AV52" s="86" t="s">
        <v>81</v>
      </c>
      <c r="AW52" s="82">
        <v>1</v>
      </c>
      <c r="AX52" s="82" t="s">
        <v>82</v>
      </c>
      <c r="AY52" s="83" t="s">
        <v>83</v>
      </c>
      <c r="AZ52" s="82" t="s">
        <v>84</v>
      </c>
      <c r="BA52" s="83" t="str">
        <f t="shared" si="19"/>
        <v>Baik</v>
      </c>
      <c r="BB52" s="82">
        <v>2</v>
      </c>
      <c r="BC52" s="83" t="s">
        <v>108</v>
      </c>
      <c r="BD52" s="83" t="s">
        <v>83</v>
      </c>
      <c r="BE52" s="82" t="s">
        <v>86</v>
      </c>
      <c r="BF52" s="83" t="str">
        <f t="shared" si="20"/>
        <v>Sangat baik</v>
      </c>
      <c r="BG52" s="82"/>
      <c r="BH52" s="82"/>
      <c r="BI52" s="82"/>
      <c r="BJ52" s="82"/>
      <c r="BK52" s="83"/>
      <c r="BM52" s="81"/>
      <c r="BN52" s="81"/>
      <c r="BO52" s="81"/>
      <c r="BP52" s="81"/>
      <c r="BQ52" s="81"/>
      <c r="BR52" s="81"/>
      <c r="BT52" s="81">
        <f t="shared" si="17"/>
        <v>0</v>
      </c>
    </row>
    <row r="53" spans="1:73" ht="23.25" customHeight="1" x14ac:dyDescent="0.25">
      <c r="A53" s="82">
        <v>52</v>
      </c>
      <c r="B53" s="82">
        <v>2525921</v>
      </c>
      <c r="C53" s="82" t="s">
        <v>638</v>
      </c>
      <c r="D53" s="83" t="s">
        <v>639</v>
      </c>
      <c r="E53" s="82" t="s">
        <v>606</v>
      </c>
      <c r="F53" s="82" t="s">
        <v>530</v>
      </c>
      <c r="G53" s="82" t="s">
        <v>607</v>
      </c>
      <c r="H53" s="82" t="s">
        <v>608</v>
      </c>
      <c r="I53" s="84" t="s">
        <v>76</v>
      </c>
      <c r="J53" s="85" t="s">
        <v>77</v>
      </c>
      <c r="K53" s="85" t="s">
        <v>78</v>
      </c>
      <c r="L53" s="85" t="s">
        <v>79</v>
      </c>
      <c r="M53" s="82">
        <v>81</v>
      </c>
      <c r="N53" s="83" t="str">
        <f t="shared" si="0"/>
        <v>Mencapai kompetensi dengan baik dalam hal</v>
      </c>
      <c r="O53" s="82">
        <v>75</v>
      </c>
      <c r="P53" s="83" t="str">
        <f t="shared" si="0"/>
        <v>Mencapai kompetensi dengan baik dalam hal</v>
      </c>
      <c r="Q53" s="82">
        <v>75</v>
      </c>
      <c r="R53" s="83" t="str">
        <f t="shared" si="1"/>
        <v>Mencapai kompetensi dengan baik dalam hal</v>
      </c>
      <c r="S53" s="82">
        <v>83</v>
      </c>
      <c r="T53" s="83" t="str">
        <f t="shared" si="2"/>
        <v>Mencapai kompetensi dengan baik dalam hal</v>
      </c>
      <c r="U53" s="82">
        <v>75</v>
      </c>
      <c r="V53" s="83" t="str">
        <f t="shared" si="3"/>
        <v>Mencapai kompetensi dengan baik dalam hal</v>
      </c>
      <c r="W53" s="82">
        <v>75</v>
      </c>
      <c r="X53" s="83" t="str">
        <f t="shared" si="4"/>
        <v>Mencapai kompetensi dengan baik dalam hal</v>
      </c>
      <c r="Y53" s="82">
        <v>75</v>
      </c>
      <c r="Z53" s="83" t="str">
        <f t="shared" si="5"/>
        <v>Mencapai kompetensi dengan baik dalam hal</v>
      </c>
      <c r="AA53" s="82">
        <v>77</v>
      </c>
      <c r="AB53" s="83" t="str">
        <f t="shared" si="6"/>
        <v>Mencapai kompetensi dengan baik dalam hal</v>
      </c>
      <c r="AC53" s="82">
        <v>78</v>
      </c>
      <c r="AD53" s="83" t="str">
        <f t="shared" si="7"/>
        <v>Mencapai kompetensi dengan baik dalam hal</v>
      </c>
      <c r="AE53" s="82">
        <v>78</v>
      </c>
      <c r="AF53" s="83" t="str">
        <f t="shared" si="8"/>
        <v>Mencapai kompetensi dengan baik dalam hal</v>
      </c>
      <c r="AG53" s="82">
        <v>78</v>
      </c>
      <c r="AH53" s="83" t="str">
        <f t="shared" si="9"/>
        <v>Mencapai kompetensi dengan baik dalam hal</v>
      </c>
      <c r="AI53" s="82">
        <v>78</v>
      </c>
      <c r="AJ53" s="83" t="str">
        <f t="shared" si="10"/>
        <v>Mencapai kompetensi dengan baik dalam hal</v>
      </c>
      <c r="AK53" s="82">
        <v>78</v>
      </c>
      <c r="AL53" s="83" t="str">
        <f t="shared" si="11"/>
        <v>Mencapai kompetensi dengan baik dalam hal</v>
      </c>
      <c r="AM53" s="82">
        <v>78</v>
      </c>
      <c r="AN53" s="83" t="str">
        <f t="shared" si="12"/>
        <v>Mencapai kompetensi dengan baik dalam hal</v>
      </c>
      <c r="AO53" s="75">
        <f t="shared" si="18"/>
        <v>78</v>
      </c>
      <c r="AP53" s="82">
        <v>78</v>
      </c>
      <c r="AQ53" s="83" t="str">
        <f t="shared" si="13"/>
        <v>Mencapai kompetensi dengan baik dalam hal</v>
      </c>
      <c r="AR53" s="82">
        <v>75</v>
      </c>
      <c r="AS53" s="83" t="str">
        <f t="shared" si="14"/>
        <v>Mencapai kompetensi dengan baik dalam hal</v>
      </c>
      <c r="AT53" s="86">
        <v>1</v>
      </c>
      <c r="AU53" s="86" t="s">
        <v>81</v>
      </c>
      <c r="AV53" s="86">
        <v>2</v>
      </c>
      <c r="AW53" s="82">
        <v>1</v>
      </c>
      <c r="AX53" s="82" t="s">
        <v>82</v>
      </c>
      <c r="AY53" s="83" t="s">
        <v>83</v>
      </c>
      <c r="AZ53" s="82" t="s">
        <v>84</v>
      </c>
      <c r="BA53" s="83" t="str">
        <f t="shared" si="19"/>
        <v>Baik</v>
      </c>
      <c r="BB53" s="82">
        <v>2</v>
      </c>
      <c r="BC53" s="83" t="s">
        <v>125</v>
      </c>
      <c r="BD53" s="83" t="s">
        <v>83</v>
      </c>
      <c r="BE53" s="82" t="s">
        <v>104</v>
      </c>
      <c r="BF53" s="83" t="str">
        <f t="shared" si="20"/>
        <v>Cukup</v>
      </c>
      <c r="BG53" s="82"/>
      <c r="BH53" s="82"/>
      <c r="BI53" s="82"/>
      <c r="BJ53" s="82"/>
      <c r="BK53" s="83"/>
      <c r="BM53" s="81"/>
      <c r="BN53" s="81"/>
      <c r="BO53" s="81"/>
      <c r="BP53" s="81"/>
      <c r="BQ53" s="81"/>
      <c r="BR53" s="81"/>
      <c r="BT53" s="81">
        <f t="shared" si="17"/>
        <v>0</v>
      </c>
    </row>
    <row r="54" spans="1:73" ht="23.25" customHeight="1" x14ac:dyDescent="0.25">
      <c r="A54" s="82">
        <v>53</v>
      </c>
      <c r="B54" s="82">
        <v>2525922</v>
      </c>
      <c r="C54" s="82" t="s">
        <v>640</v>
      </c>
      <c r="D54" s="83" t="s">
        <v>641</v>
      </c>
      <c r="E54" s="82" t="s">
        <v>606</v>
      </c>
      <c r="F54" s="82" t="s">
        <v>530</v>
      </c>
      <c r="G54" s="82" t="s">
        <v>607</v>
      </c>
      <c r="H54" s="82" t="s">
        <v>608</v>
      </c>
      <c r="I54" s="84" t="s">
        <v>76</v>
      </c>
      <c r="J54" s="85" t="s">
        <v>77</v>
      </c>
      <c r="K54" s="85" t="s">
        <v>78</v>
      </c>
      <c r="L54" s="85" t="s">
        <v>79</v>
      </c>
      <c r="M54" s="82">
        <v>79</v>
      </c>
      <c r="N54" s="83" t="str">
        <f t="shared" si="0"/>
        <v>Mencapai kompetensi dengan baik dalam hal</v>
      </c>
      <c r="O54" s="82">
        <v>77</v>
      </c>
      <c r="P54" s="83" t="str">
        <f t="shared" si="0"/>
        <v>Mencapai kompetensi dengan baik dalam hal</v>
      </c>
      <c r="Q54" s="82">
        <v>75</v>
      </c>
      <c r="R54" s="83" t="str">
        <f t="shared" si="1"/>
        <v>Mencapai kompetensi dengan baik dalam hal</v>
      </c>
      <c r="S54" s="82">
        <v>81</v>
      </c>
      <c r="T54" s="83" t="str">
        <f t="shared" si="2"/>
        <v>Mencapai kompetensi dengan baik dalam hal</v>
      </c>
      <c r="U54" s="82">
        <v>75</v>
      </c>
      <c r="V54" s="83" t="str">
        <f t="shared" si="3"/>
        <v>Mencapai kompetensi dengan baik dalam hal</v>
      </c>
      <c r="W54" s="82">
        <v>75</v>
      </c>
      <c r="X54" s="83" t="str">
        <f t="shared" si="4"/>
        <v>Mencapai kompetensi dengan baik dalam hal</v>
      </c>
      <c r="Y54" s="82">
        <v>76</v>
      </c>
      <c r="Z54" s="83" t="str">
        <f t="shared" si="5"/>
        <v>Mencapai kompetensi dengan baik dalam hal</v>
      </c>
      <c r="AA54" s="82">
        <v>77</v>
      </c>
      <c r="AB54" s="83" t="str">
        <f t="shared" si="6"/>
        <v>Mencapai kompetensi dengan baik dalam hal</v>
      </c>
      <c r="AC54" s="82">
        <v>78</v>
      </c>
      <c r="AD54" s="83" t="str">
        <f t="shared" si="7"/>
        <v>Mencapai kompetensi dengan baik dalam hal</v>
      </c>
      <c r="AE54" s="82">
        <v>80</v>
      </c>
      <c r="AF54" s="83" t="str">
        <f t="shared" si="8"/>
        <v>Mencapai kompetensi dengan baik dalam hal</v>
      </c>
      <c r="AG54" s="82">
        <v>76</v>
      </c>
      <c r="AH54" s="83" t="str">
        <f t="shared" si="9"/>
        <v>Mencapai kompetensi dengan baik dalam hal</v>
      </c>
      <c r="AI54" s="82">
        <v>76</v>
      </c>
      <c r="AJ54" s="83" t="str">
        <f t="shared" si="10"/>
        <v>Mencapai kompetensi dengan baik dalam hal</v>
      </c>
      <c r="AK54" s="82">
        <v>76</v>
      </c>
      <c r="AL54" s="83" t="str">
        <f t="shared" si="11"/>
        <v>Mencapai kompetensi dengan baik dalam hal</v>
      </c>
      <c r="AM54" s="82">
        <v>76</v>
      </c>
      <c r="AN54" s="83" t="str">
        <f t="shared" si="12"/>
        <v>Mencapai kompetensi dengan baik dalam hal</v>
      </c>
      <c r="AO54" s="75">
        <f t="shared" si="18"/>
        <v>76</v>
      </c>
      <c r="AP54" s="82">
        <v>78</v>
      </c>
      <c r="AQ54" s="83" t="str">
        <f t="shared" si="13"/>
        <v>Mencapai kompetensi dengan baik dalam hal</v>
      </c>
      <c r="AR54" s="82">
        <v>75</v>
      </c>
      <c r="AS54" s="83" t="str">
        <f t="shared" si="14"/>
        <v>Mencapai kompetensi dengan baik dalam hal</v>
      </c>
      <c r="AT54" s="86">
        <v>2</v>
      </c>
      <c r="AU54" s="86" t="s">
        <v>81</v>
      </c>
      <c r="AV54" s="86" t="s">
        <v>81</v>
      </c>
      <c r="AW54" s="82">
        <v>1</v>
      </c>
      <c r="AX54" s="82" t="s">
        <v>82</v>
      </c>
      <c r="AY54" s="83" t="s">
        <v>83</v>
      </c>
      <c r="AZ54" s="82" t="s">
        <v>86</v>
      </c>
      <c r="BA54" s="83" t="str">
        <f t="shared" si="19"/>
        <v>Sangat baik</v>
      </c>
      <c r="BB54" s="82">
        <v>2</v>
      </c>
      <c r="BC54" s="83" t="s">
        <v>236</v>
      </c>
      <c r="BD54" s="83" t="s">
        <v>83</v>
      </c>
      <c r="BE54" s="82" t="s">
        <v>84</v>
      </c>
      <c r="BF54" s="83" t="str">
        <f t="shared" si="20"/>
        <v>Baik</v>
      </c>
      <c r="BG54" s="82"/>
      <c r="BH54" s="82"/>
      <c r="BI54" s="82"/>
      <c r="BJ54" s="82"/>
      <c r="BK54" s="83"/>
      <c r="BM54" s="81"/>
      <c r="BN54" s="81"/>
      <c r="BO54" s="81"/>
      <c r="BP54" s="81"/>
      <c r="BQ54" s="81"/>
      <c r="BR54" s="81"/>
      <c r="BT54" s="81">
        <f t="shared" si="17"/>
        <v>0</v>
      </c>
    </row>
    <row r="55" spans="1:73" ht="23.25" customHeight="1" x14ac:dyDescent="0.25">
      <c r="A55" s="82">
        <v>54</v>
      </c>
      <c r="B55" s="82">
        <v>2525923</v>
      </c>
      <c r="C55" s="82" t="s">
        <v>642</v>
      </c>
      <c r="D55" s="83" t="s">
        <v>643</v>
      </c>
      <c r="E55" s="82" t="s">
        <v>606</v>
      </c>
      <c r="F55" s="82" t="s">
        <v>530</v>
      </c>
      <c r="G55" s="82" t="s">
        <v>607</v>
      </c>
      <c r="H55" s="82" t="s">
        <v>608</v>
      </c>
      <c r="I55" s="84" t="s">
        <v>76</v>
      </c>
      <c r="J55" s="85" t="s">
        <v>77</v>
      </c>
      <c r="K55" s="85" t="s">
        <v>78</v>
      </c>
      <c r="L55" s="85" t="s">
        <v>79</v>
      </c>
      <c r="M55" s="82">
        <v>81</v>
      </c>
      <c r="N55" s="83" t="str">
        <f t="shared" si="0"/>
        <v>Mencapai kompetensi dengan baik dalam hal</v>
      </c>
      <c r="O55" s="82">
        <v>77</v>
      </c>
      <c r="P55" s="83" t="str">
        <f t="shared" si="0"/>
        <v>Mencapai kompetensi dengan baik dalam hal</v>
      </c>
      <c r="Q55" s="82">
        <v>75</v>
      </c>
      <c r="R55" s="83" t="str">
        <f t="shared" si="1"/>
        <v>Mencapai kompetensi dengan baik dalam hal</v>
      </c>
      <c r="S55" s="82">
        <v>81</v>
      </c>
      <c r="T55" s="83" t="str">
        <f t="shared" si="2"/>
        <v>Mencapai kompetensi dengan baik dalam hal</v>
      </c>
      <c r="U55" s="82">
        <v>77</v>
      </c>
      <c r="V55" s="83" t="str">
        <f t="shared" si="3"/>
        <v>Mencapai kompetensi dengan baik dalam hal</v>
      </c>
      <c r="W55" s="82">
        <v>75</v>
      </c>
      <c r="X55" s="83" t="str">
        <f t="shared" si="4"/>
        <v>Mencapai kompetensi dengan baik dalam hal</v>
      </c>
      <c r="Y55" s="82">
        <v>83</v>
      </c>
      <c r="Z55" s="83" t="str">
        <f t="shared" si="5"/>
        <v>Mencapai kompetensi dengan baik dalam hal</v>
      </c>
      <c r="AA55" s="82">
        <v>78</v>
      </c>
      <c r="AB55" s="83" t="str">
        <f t="shared" si="6"/>
        <v>Mencapai kompetensi dengan baik dalam hal</v>
      </c>
      <c r="AC55" s="82">
        <v>78</v>
      </c>
      <c r="AD55" s="83" t="str">
        <f t="shared" si="7"/>
        <v>Mencapai kompetensi dengan baik dalam hal</v>
      </c>
      <c r="AE55" s="82">
        <v>82</v>
      </c>
      <c r="AF55" s="83" t="str">
        <f t="shared" si="8"/>
        <v>Mencapai kompetensi dengan baik dalam hal</v>
      </c>
      <c r="AG55" s="82">
        <v>83</v>
      </c>
      <c r="AH55" s="83" t="str">
        <f t="shared" si="9"/>
        <v>Mencapai kompetensi dengan baik dalam hal</v>
      </c>
      <c r="AI55" s="82">
        <v>83</v>
      </c>
      <c r="AJ55" s="83" t="str">
        <f t="shared" si="10"/>
        <v>Mencapai kompetensi dengan baik dalam hal</v>
      </c>
      <c r="AK55" s="82">
        <v>83</v>
      </c>
      <c r="AL55" s="83" t="str">
        <f t="shared" si="11"/>
        <v>Mencapai kompetensi dengan baik dalam hal</v>
      </c>
      <c r="AM55" s="82">
        <v>83</v>
      </c>
      <c r="AN55" s="83" t="str">
        <f t="shared" si="12"/>
        <v>Mencapai kompetensi dengan baik dalam hal</v>
      </c>
      <c r="AO55" s="75">
        <f t="shared" si="18"/>
        <v>83</v>
      </c>
      <c r="AP55" s="82">
        <v>78</v>
      </c>
      <c r="AQ55" s="83" t="str">
        <f t="shared" si="13"/>
        <v>Mencapai kompetensi dengan baik dalam hal</v>
      </c>
      <c r="AR55" s="82">
        <v>78</v>
      </c>
      <c r="AS55" s="83" t="str">
        <f t="shared" si="14"/>
        <v>Mencapai kompetensi dengan baik dalam hal</v>
      </c>
      <c r="AT55" s="86">
        <v>2</v>
      </c>
      <c r="AU55" s="86" t="s">
        <v>81</v>
      </c>
      <c r="AV55" s="86" t="s">
        <v>81</v>
      </c>
      <c r="AW55" s="82">
        <v>1</v>
      </c>
      <c r="AX55" s="82" t="s">
        <v>82</v>
      </c>
      <c r="AY55" s="83" t="s">
        <v>83</v>
      </c>
      <c r="AZ55" s="82" t="s">
        <v>84</v>
      </c>
      <c r="BA55" s="83" t="str">
        <f t="shared" si="19"/>
        <v>Baik</v>
      </c>
      <c r="BB55" s="82">
        <v>2</v>
      </c>
      <c r="BC55" s="83" t="s">
        <v>170</v>
      </c>
      <c r="BD55" s="83" t="s">
        <v>83</v>
      </c>
      <c r="BE55" s="82" t="s">
        <v>84</v>
      </c>
      <c r="BF55" s="83" t="str">
        <f t="shared" si="20"/>
        <v>Baik</v>
      </c>
      <c r="BG55" s="82"/>
      <c r="BH55" s="82"/>
      <c r="BI55" s="82"/>
      <c r="BJ55" s="82"/>
      <c r="BK55" s="83"/>
      <c r="BM55" s="81"/>
      <c r="BN55" s="81"/>
      <c r="BO55" s="81"/>
      <c r="BP55" s="81"/>
      <c r="BQ55" s="81"/>
      <c r="BR55" s="81"/>
      <c r="BT55" s="81">
        <f t="shared" si="17"/>
        <v>0</v>
      </c>
    </row>
    <row r="56" spans="1:73" ht="23.25" customHeight="1" x14ac:dyDescent="0.25">
      <c r="A56" s="82">
        <v>55</v>
      </c>
      <c r="B56" s="82">
        <v>2525924</v>
      </c>
      <c r="C56" s="82" t="s">
        <v>644</v>
      </c>
      <c r="D56" s="83" t="s">
        <v>645</v>
      </c>
      <c r="E56" s="82" t="s">
        <v>606</v>
      </c>
      <c r="F56" s="82" t="s">
        <v>530</v>
      </c>
      <c r="G56" s="82" t="s">
        <v>607</v>
      </c>
      <c r="H56" s="82" t="s">
        <v>608</v>
      </c>
      <c r="I56" s="84" t="s">
        <v>76</v>
      </c>
      <c r="J56" s="85" t="s">
        <v>77</v>
      </c>
      <c r="K56" s="85" t="s">
        <v>78</v>
      </c>
      <c r="L56" s="85" t="s">
        <v>79</v>
      </c>
      <c r="M56" s="82">
        <v>81</v>
      </c>
      <c r="N56" s="83" t="str">
        <f t="shared" si="0"/>
        <v>Mencapai kompetensi dengan baik dalam hal</v>
      </c>
      <c r="O56" s="82">
        <v>76</v>
      </c>
      <c r="P56" s="83" t="str">
        <f t="shared" si="0"/>
        <v>Mencapai kompetensi dengan baik dalam hal</v>
      </c>
      <c r="Q56" s="82">
        <v>75</v>
      </c>
      <c r="R56" s="83" t="str">
        <f t="shared" si="1"/>
        <v>Mencapai kompetensi dengan baik dalam hal</v>
      </c>
      <c r="S56" s="82">
        <v>81</v>
      </c>
      <c r="T56" s="83" t="str">
        <f t="shared" si="2"/>
        <v>Mencapai kompetensi dengan baik dalam hal</v>
      </c>
      <c r="U56" s="82">
        <v>75</v>
      </c>
      <c r="V56" s="83" t="str">
        <f t="shared" si="3"/>
        <v>Mencapai kompetensi dengan baik dalam hal</v>
      </c>
      <c r="W56" s="82">
        <v>75</v>
      </c>
      <c r="X56" s="83" t="str">
        <f t="shared" si="4"/>
        <v>Mencapai kompetensi dengan baik dalam hal</v>
      </c>
      <c r="Y56" s="82">
        <v>78</v>
      </c>
      <c r="Z56" s="83" t="str">
        <f t="shared" si="5"/>
        <v>Mencapai kompetensi dengan baik dalam hal</v>
      </c>
      <c r="AA56" s="82">
        <v>77</v>
      </c>
      <c r="AB56" s="83" t="str">
        <f t="shared" si="6"/>
        <v>Mencapai kompetensi dengan baik dalam hal</v>
      </c>
      <c r="AC56" s="82">
        <v>77</v>
      </c>
      <c r="AD56" s="83" t="str">
        <f t="shared" si="7"/>
        <v>Mencapai kompetensi dengan baik dalam hal</v>
      </c>
      <c r="AE56" s="82">
        <v>80</v>
      </c>
      <c r="AF56" s="83" t="str">
        <f t="shared" si="8"/>
        <v>Mencapai kompetensi dengan baik dalam hal</v>
      </c>
      <c r="AG56" s="82">
        <v>77</v>
      </c>
      <c r="AH56" s="83" t="str">
        <f t="shared" si="9"/>
        <v>Mencapai kompetensi dengan baik dalam hal</v>
      </c>
      <c r="AI56" s="82">
        <v>77</v>
      </c>
      <c r="AJ56" s="83" t="str">
        <f t="shared" si="10"/>
        <v>Mencapai kompetensi dengan baik dalam hal</v>
      </c>
      <c r="AK56" s="82">
        <v>77</v>
      </c>
      <c r="AL56" s="83" t="str">
        <f t="shared" si="11"/>
        <v>Mencapai kompetensi dengan baik dalam hal</v>
      </c>
      <c r="AM56" s="82">
        <v>77</v>
      </c>
      <c r="AN56" s="83" t="str">
        <f t="shared" si="12"/>
        <v>Mencapai kompetensi dengan baik dalam hal</v>
      </c>
      <c r="AO56" s="75">
        <f t="shared" si="18"/>
        <v>77</v>
      </c>
      <c r="AP56" s="82">
        <v>77</v>
      </c>
      <c r="AQ56" s="83" t="str">
        <f t="shared" si="13"/>
        <v>Mencapai kompetensi dengan baik dalam hal</v>
      </c>
      <c r="AR56" s="82">
        <v>75</v>
      </c>
      <c r="AS56" s="83" t="str">
        <f t="shared" si="14"/>
        <v>Mencapai kompetensi dengan baik dalam hal</v>
      </c>
      <c r="AT56" s="86">
        <v>2</v>
      </c>
      <c r="AU56" s="86" t="s">
        <v>81</v>
      </c>
      <c r="AV56" s="86" t="s">
        <v>81</v>
      </c>
      <c r="AW56" s="82">
        <v>1</v>
      </c>
      <c r="AX56" s="82" t="s">
        <v>82</v>
      </c>
      <c r="AY56" s="83" t="s">
        <v>83</v>
      </c>
      <c r="AZ56" s="82" t="s">
        <v>84</v>
      </c>
      <c r="BA56" s="83" t="str">
        <f t="shared" si="19"/>
        <v>Baik</v>
      </c>
      <c r="BB56" s="82">
        <v>2</v>
      </c>
      <c r="BC56" s="83" t="s">
        <v>298</v>
      </c>
      <c r="BD56" s="83" t="s">
        <v>83</v>
      </c>
      <c r="BE56" s="82" t="s">
        <v>84</v>
      </c>
      <c r="BF56" s="83" t="str">
        <f t="shared" si="20"/>
        <v>Baik</v>
      </c>
      <c r="BG56" s="82"/>
      <c r="BH56" s="82"/>
      <c r="BI56" s="82"/>
      <c r="BJ56" s="82"/>
      <c r="BK56" s="83"/>
      <c r="BM56" s="81"/>
      <c r="BN56" s="81"/>
      <c r="BO56" s="81"/>
      <c r="BP56" s="81"/>
      <c r="BQ56" s="81"/>
      <c r="BR56" s="81"/>
      <c r="BT56" s="81">
        <f t="shared" si="17"/>
        <v>0</v>
      </c>
    </row>
    <row r="57" spans="1:73" ht="23.25" customHeight="1" x14ac:dyDescent="0.25">
      <c r="A57" s="82">
        <v>56</v>
      </c>
      <c r="B57" s="82">
        <v>2525925</v>
      </c>
      <c r="C57" s="82" t="s">
        <v>646</v>
      </c>
      <c r="D57" s="83" t="s">
        <v>647</v>
      </c>
      <c r="E57" s="82" t="s">
        <v>606</v>
      </c>
      <c r="F57" s="82" t="s">
        <v>530</v>
      </c>
      <c r="G57" s="82" t="s">
        <v>607</v>
      </c>
      <c r="H57" s="82" t="s">
        <v>608</v>
      </c>
      <c r="I57" s="84" t="s">
        <v>76</v>
      </c>
      <c r="J57" s="85" t="s">
        <v>77</v>
      </c>
      <c r="K57" s="85" t="s">
        <v>78</v>
      </c>
      <c r="L57" s="85" t="s">
        <v>79</v>
      </c>
      <c r="M57" s="82">
        <v>81</v>
      </c>
      <c r="N57" s="83" t="str">
        <f t="shared" si="0"/>
        <v>Mencapai kompetensi dengan baik dalam hal</v>
      </c>
      <c r="O57" s="82">
        <v>80</v>
      </c>
      <c r="P57" s="83" t="str">
        <f t="shared" si="0"/>
        <v>Mencapai kompetensi dengan baik dalam hal</v>
      </c>
      <c r="Q57" s="82">
        <v>75</v>
      </c>
      <c r="R57" s="83" t="str">
        <f t="shared" si="1"/>
        <v>Mencapai kompetensi dengan baik dalam hal</v>
      </c>
      <c r="S57" s="82">
        <v>83</v>
      </c>
      <c r="T57" s="83" t="str">
        <f t="shared" si="2"/>
        <v>Mencapai kompetensi dengan baik dalam hal</v>
      </c>
      <c r="U57" s="82">
        <v>87</v>
      </c>
      <c r="V57" s="83" t="str">
        <f t="shared" si="3"/>
        <v>Mencapai kompetensi dengan baik dalam hal</v>
      </c>
      <c r="W57" s="82">
        <v>82</v>
      </c>
      <c r="X57" s="83" t="str">
        <f t="shared" si="4"/>
        <v>Mencapai kompetensi dengan baik dalam hal</v>
      </c>
      <c r="Y57" s="82">
        <v>90</v>
      </c>
      <c r="Z57" s="83" t="str">
        <f t="shared" si="5"/>
        <v>Mencapai kompetensi dengan sangat baik dalam hal</v>
      </c>
      <c r="AA57" s="82">
        <v>78</v>
      </c>
      <c r="AB57" s="83" t="str">
        <f t="shared" si="6"/>
        <v>Mencapai kompetensi dengan baik dalam hal</v>
      </c>
      <c r="AC57" s="82">
        <v>88</v>
      </c>
      <c r="AD57" s="83" t="str">
        <f t="shared" si="7"/>
        <v>Mencapai kompetensi dengan baik dalam hal</v>
      </c>
      <c r="AE57" s="82">
        <v>85</v>
      </c>
      <c r="AF57" s="83" t="str">
        <f t="shared" si="8"/>
        <v>Mencapai kompetensi dengan baik dalam hal</v>
      </c>
      <c r="AG57" s="82">
        <v>88</v>
      </c>
      <c r="AH57" s="83" t="str">
        <f t="shared" si="9"/>
        <v>Mencapai kompetensi dengan baik dalam hal</v>
      </c>
      <c r="AI57" s="82">
        <v>88</v>
      </c>
      <c r="AJ57" s="83" t="str">
        <f t="shared" si="10"/>
        <v>Mencapai kompetensi dengan baik dalam hal</v>
      </c>
      <c r="AK57" s="82">
        <v>88</v>
      </c>
      <c r="AL57" s="83" t="str">
        <f t="shared" si="11"/>
        <v>Mencapai kompetensi dengan baik dalam hal</v>
      </c>
      <c r="AM57" s="82">
        <v>88</v>
      </c>
      <c r="AN57" s="83" t="str">
        <f t="shared" si="12"/>
        <v>Mencapai kompetensi dengan baik dalam hal</v>
      </c>
      <c r="AO57" s="75">
        <f t="shared" si="18"/>
        <v>88</v>
      </c>
      <c r="AP57" s="82">
        <v>88</v>
      </c>
      <c r="AQ57" s="83" t="str">
        <f t="shared" si="13"/>
        <v>Mencapai kompetensi dengan baik dalam hal</v>
      </c>
      <c r="AR57" s="82">
        <v>81</v>
      </c>
      <c r="AS57" s="83" t="str">
        <f t="shared" si="14"/>
        <v>Mencapai kompetensi dengan baik dalam hal</v>
      </c>
      <c r="AT57" s="86">
        <v>1</v>
      </c>
      <c r="AU57" s="86" t="s">
        <v>81</v>
      </c>
      <c r="AV57" s="86">
        <v>1</v>
      </c>
      <c r="AW57" s="82">
        <v>1</v>
      </c>
      <c r="AX57" s="82" t="s">
        <v>82</v>
      </c>
      <c r="AY57" s="83" t="s">
        <v>83</v>
      </c>
      <c r="AZ57" s="82" t="s">
        <v>84</v>
      </c>
      <c r="BA57" s="83" t="str">
        <f t="shared" si="19"/>
        <v>Baik</v>
      </c>
      <c r="BB57" s="82">
        <v>2</v>
      </c>
      <c r="BC57" s="83" t="s">
        <v>579</v>
      </c>
      <c r="BD57" s="83" t="s">
        <v>83</v>
      </c>
      <c r="BE57" s="82" t="s">
        <v>86</v>
      </c>
      <c r="BF57" s="83" t="str">
        <f t="shared" si="20"/>
        <v>Sangat baik</v>
      </c>
      <c r="BG57" s="82"/>
      <c r="BH57" s="82"/>
      <c r="BI57" s="82"/>
      <c r="BJ57" s="82"/>
      <c r="BK57" s="83"/>
      <c r="BM57" s="81"/>
      <c r="BN57" s="81"/>
      <c r="BO57" s="81"/>
      <c r="BP57" s="81"/>
      <c r="BQ57" s="81"/>
      <c r="BR57" s="81"/>
      <c r="BT57" s="81">
        <f t="shared" si="17"/>
        <v>0</v>
      </c>
    </row>
    <row r="58" spans="1:73" ht="23.25" customHeight="1" x14ac:dyDescent="0.25">
      <c r="A58" s="82">
        <v>57</v>
      </c>
      <c r="B58" s="82">
        <v>2525926</v>
      </c>
      <c r="C58" s="82" t="s">
        <v>648</v>
      </c>
      <c r="D58" s="83" t="s">
        <v>649</v>
      </c>
      <c r="E58" s="82" t="s">
        <v>606</v>
      </c>
      <c r="F58" s="82" t="s">
        <v>530</v>
      </c>
      <c r="G58" s="82" t="s">
        <v>607</v>
      </c>
      <c r="H58" s="82" t="s">
        <v>608</v>
      </c>
      <c r="I58" s="84" t="s">
        <v>76</v>
      </c>
      <c r="J58" s="85" t="s">
        <v>77</v>
      </c>
      <c r="K58" s="85" t="s">
        <v>78</v>
      </c>
      <c r="L58" s="85" t="s">
        <v>79</v>
      </c>
      <c r="M58" s="82">
        <v>83</v>
      </c>
      <c r="N58" s="83" t="str">
        <f t="shared" si="0"/>
        <v>Mencapai kompetensi dengan baik dalam hal</v>
      </c>
      <c r="O58" s="82">
        <v>80</v>
      </c>
      <c r="P58" s="83" t="str">
        <f t="shared" si="0"/>
        <v>Mencapai kompetensi dengan baik dalam hal</v>
      </c>
      <c r="Q58" s="82">
        <v>80</v>
      </c>
      <c r="R58" s="83" t="str">
        <f t="shared" si="1"/>
        <v>Mencapai kompetensi dengan baik dalam hal</v>
      </c>
      <c r="S58" s="82">
        <v>86</v>
      </c>
      <c r="T58" s="83" t="str">
        <f t="shared" si="2"/>
        <v>Mencapai kompetensi dengan baik dalam hal</v>
      </c>
      <c r="U58" s="82">
        <v>87</v>
      </c>
      <c r="V58" s="83" t="str">
        <f t="shared" si="3"/>
        <v>Mencapai kompetensi dengan baik dalam hal</v>
      </c>
      <c r="W58" s="82">
        <v>75</v>
      </c>
      <c r="X58" s="83" t="str">
        <f t="shared" si="4"/>
        <v>Mencapai kompetensi dengan baik dalam hal</v>
      </c>
      <c r="Y58" s="82">
        <v>80</v>
      </c>
      <c r="Z58" s="83" t="str">
        <f t="shared" si="5"/>
        <v>Mencapai kompetensi dengan baik dalam hal</v>
      </c>
      <c r="AA58" s="82">
        <v>78</v>
      </c>
      <c r="AB58" s="83" t="str">
        <f t="shared" si="6"/>
        <v>Mencapai kompetensi dengan baik dalam hal</v>
      </c>
      <c r="AC58" s="82">
        <v>79</v>
      </c>
      <c r="AD58" s="83" t="str">
        <f t="shared" si="7"/>
        <v>Mencapai kompetensi dengan baik dalam hal</v>
      </c>
      <c r="AE58" s="82">
        <v>87</v>
      </c>
      <c r="AF58" s="83" t="str">
        <f t="shared" si="8"/>
        <v>Mencapai kompetensi dengan baik dalam hal</v>
      </c>
      <c r="AG58" s="82">
        <v>88</v>
      </c>
      <c r="AH58" s="83" t="str">
        <f t="shared" si="9"/>
        <v>Mencapai kompetensi dengan baik dalam hal</v>
      </c>
      <c r="AI58" s="82">
        <v>88</v>
      </c>
      <c r="AJ58" s="83" t="str">
        <f t="shared" si="10"/>
        <v>Mencapai kompetensi dengan baik dalam hal</v>
      </c>
      <c r="AK58" s="82">
        <v>88</v>
      </c>
      <c r="AL58" s="83" t="str">
        <f t="shared" si="11"/>
        <v>Mencapai kompetensi dengan baik dalam hal</v>
      </c>
      <c r="AM58" s="82">
        <v>88</v>
      </c>
      <c r="AN58" s="83" t="str">
        <f t="shared" si="12"/>
        <v>Mencapai kompetensi dengan baik dalam hal</v>
      </c>
      <c r="AO58" s="75">
        <f t="shared" si="18"/>
        <v>88</v>
      </c>
      <c r="AP58" s="82">
        <v>79</v>
      </c>
      <c r="AQ58" s="83" t="str">
        <f t="shared" si="13"/>
        <v>Mencapai kompetensi dengan baik dalam hal</v>
      </c>
      <c r="AR58" s="82">
        <v>77</v>
      </c>
      <c r="AS58" s="83" t="str">
        <f t="shared" si="14"/>
        <v>Mencapai kompetensi dengan baik dalam hal</v>
      </c>
      <c r="AT58" s="86" t="s">
        <v>81</v>
      </c>
      <c r="AU58" s="86" t="s">
        <v>81</v>
      </c>
      <c r="AV58" s="86" t="s">
        <v>81</v>
      </c>
      <c r="AW58" s="82">
        <v>1</v>
      </c>
      <c r="AX58" s="82" t="s">
        <v>82</v>
      </c>
      <c r="AY58" s="83" t="s">
        <v>83</v>
      </c>
      <c r="AZ58" s="82" t="s">
        <v>86</v>
      </c>
      <c r="BA58" s="83" t="str">
        <f t="shared" si="19"/>
        <v>Sangat baik</v>
      </c>
      <c r="BB58" s="82">
        <v>2</v>
      </c>
      <c r="BC58" s="83" t="s">
        <v>134</v>
      </c>
      <c r="BD58" s="83" t="s">
        <v>83</v>
      </c>
      <c r="BE58" s="82" t="s">
        <v>84</v>
      </c>
      <c r="BF58" s="83" t="str">
        <f t="shared" si="20"/>
        <v>Baik</v>
      </c>
      <c r="BG58" s="82"/>
      <c r="BH58" s="82"/>
      <c r="BI58" s="82"/>
      <c r="BJ58" s="82"/>
      <c r="BK58" s="83"/>
      <c r="BM58" s="81"/>
      <c r="BN58" s="81"/>
      <c r="BO58" s="81"/>
      <c r="BP58" s="81"/>
      <c r="BQ58" s="81"/>
      <c r="BR58" s="81"/>
      <c r="BT58" s="81">
        <f t="shared" si="17"/>
        <v>0</v>
      </c>
    </row>
    <row r="59" spans="1:73" ht="23.25" customHeight="1" x14ac:dyDescent="0.25">
      <c r="A59" s="82">
        <v>58</v>
      </c>
      <c r="B59" s="82">
        <v>2525927</v>
      </c>
      <c r="C59" s="82" t="s">
        <v>650</v>
      </c>
      <c r="D59" s="83" t="s">
        <v>651</v>
      </c>
      <c r="E59" s="82" t="s">
        <v>606</v>
      </c>
      <c r="F59" s="82" t="s">
        <v>530</v>
      </c>
      <c r="G59" s="82" t="s">
        <v>607</v>
      </c>
      <c r="H59" s="82" t="s">
        <v>608</v>
      </c>
      <c r="I59" s="84" t="s">
        <v>76</v>
      </c>
      <c r="J59" s="85" t="s">
        <v>77</v>
      </c>
      <c r="K59" s="85" t="s">
        <v>78</v>
      </c>
      <c r="L59" s="85" t="s">
        <v>79</v>
      </c>
      <c r="M59" s="82">
        <v>82</v>
      </c>
      <c r="N59" s="83" t="str">
        <f t="shared" si="0"/>
        <v>Mencapai kompetensi dengan baik dalam hal</v>
      </c>
      <c r="O59" s="82">
        <v>75</v>
      </c>
      <c r="P59" s="83" t="str">
        <f t="shared" si="0"/>
        <v>Mencapai kompetensi dengan baik dalam hal</v>
      </c>
      <c r="Q59" s="82">
        <v>78</v>
      </c>
      <c r="R59" s="83" t="str">
        <f t="shared" si="1"/>
        <v>Mencapai kompetensi dengan baik dalam hal</v>
      </c>
      <c r="S59" s="82">
        <v>85</v>
      </c>
      <c r="T59" s="83" t="str">
        <f t="shared" si="2"/>
        <v>Mencapai kompetensi dengan baik dalam hal</v>
      </c>
      <c r="U59" s="82">
        <v>76</v>
      </c>
      <c r="V59" s="83" t="str">
        <f t="shared" si="3"/>
        <v>Mencapai kompetensi dengan baik dalam hal</v>
      </c>
      <c r="W59" s="82">
        <v>75</v>
      </c>
      <c r="X59" s="83" t="str">
        <f t="shared" si="4"/>
        <v>Mencapai kompetensi dengan baik dalam hal</v>
      </c>
      <c r="Y59" s="82">
        <v>75</v>
      </c>
      <c r="Z59" s="83" t="str">
        <f t="shared" si="5"/>
        <v>Mencapai kompetensi dengan baik dalam hal</v>
      </c>
      <c r="AA59" s="82">
        <v>78</v>
      </c>
      <c r="AB59" s="83" t="str">
        <f t="shared" si="6"/>
        <v>Mencapai kompetensi dengan baik dalam hal</v>
      </c>
      <c r="AC59" s="82">
        <v>72</v>
      </c>
      <c r="AD59" s="83" t="str">
        <f t="shared" si="7"/>
        <v>Perlu peningkatan dalam hal</v>
      </c>
      <c r="AE59" s="82">
        <v>80</v>
      </c>
      <c r="AF59" s="83" t="str">
        <f t="shared" si="8"/>
        <v>Mencapai kompetensi dengan baik dalam hal</v>
      </c>
      <c r="AG59" s="82">
        <v>75</v>
      </c>
      <c r="AH59" s="83" t="str">
        <f t="shared" si="9"/>
        <v>Mencapai kompetensi dengan baik dalam hal</v>
      </c>
      <c r="AI59" s="82">
        <v>75</v>
      </c>
      <c r="AJ59" s="83" t="str">
        <f t="shared" si="10"/>
        <v>Mencapai kompetensi dengan baik dalam hal</v>
      </c>
      <c r="AK59" s="82">
        <v>75</v>
      </c>
      <c r="AL59" s="83" t="str">
        <f t="shared" si="11"/>
        <v>Mencapai kompetensi dengan baik dalam hal</v>
      </c>
      <c r="AM59" s="82">
        <v>75</v>
      </c>
      <c r="AN59" s="83" t="str">
        <f t="shared" si="12"/>
        <v>Mencapai kompetensi dengan baik dalam hal</v>
      </c>
      <c r="AO59" s="75">
        <f t="shared" si="18"/>
        <v>75</v>
      </c>
      <c r="AP59" s="82">
        <v>72</v>
      </c>
      <c r="AQ59" s="83" t="str">
        <f t="shared" si="13"/>
        <v>Perlu peningkatan dalam hal</v>
      </c>
      <c r="AR59" s="82">
        <v>75</v>
      </c>
      <c r="AS59" s="83" t="str">
        <f t="shared" si="14"/>
        <v>Mencapai kompetensi dengan baik dalam hal</v>
      </c>
      <c r="AT59" s="86">
        <v>5</v>
      </c>
      <c r="AU59" s="86" t="s">
        <v>81</v>
      </c>
      <c r="AV59" s="86" t="s">
        <v>81</v>
      </c>
      <c r="AW59" s="82">
        <v>1</v>
      </c>
      <c r="AX59" s="82" t="s">
        <v>82</v>
      </c>
      <c r="AY59" s="83" t="s">
        <v>83</v>
      </c>
      <c r="AZ59" s="82" t="s">
        <v>110</v>
      </c>
      <c r="BA59" s="83" t="str">
        <f t="shared" si="19"/>
        <v>Kurang</v>
      </c>
      <c r="BB59" s="82">
        <v>2</v>
      </c>
      <c r="BC59" s="83" t="s">
        <v>99</v>
      </c>
      <c r="BD59" s="83" t="s">
        <v>83</v>
      </c>
      <c r="BE59" s="82" t="s">
        <v>84</v>
      </c>
      <c r="BF59" s="83" t="str">
        <f t="shared" si="20"/>
        <v>Baik</v>
      </c>
      <c r="BG59" s="82"/>
      <c r="BH59" s="82"/>
      <c r="BI59" s="82"/>
      <c r="BJ59" s="82"/>
      <c r="BK59" s="83"/>
      <c r="BM59" s="81"/>
      <c r="BN59" s="81"/>
      <c r="BO59" s="81"/>
      <c r="BP59" s="81"/>
      <c r="BQ59" s="81"/>
      <c r="BR59" s="81"/>
      <c r="BT59" s="81">
        <f t="shared" si="17"/>
        <v>2</v>
      </c>
    </row>
    <row r="60" spans="1:73" ht="23.25" customHeight="1" x14ac:dyDescent="0.25">
      <c r="A60" s="82">
        <v>59</v>
      </c>
      <c r="B60" s="82">
        <v>2525928</v>
      </c>
      <c r="C60" s="82" t="s">
        <v>652</v>
      </c>
      <c r="D60" s="83" t="s">
        <v>653</v>
      </c>
      <c r="E60" s="82" t="s">
        <v>606</v>
      </c>
      <c r="F60" s="82" t="s">
        <v>530</v>
      </c>
      <c r="G60" s="82" t="s">
        <v>607</v>
      </c>
      <c r="H60" s="82" t="s">
        <v>608</v>
      </c>
      <c r="I60" s="84" t="s">
        <v>76</v>
      </c>
      <c r="J60" s="85" t="s">
        <v>77</v>
      </c>
      <c r="K60" s="85" t="s">
        <v>78</v>
      </c>
      <c r="L60" s="85" t="s">
        <v>79</v>
      </c>
      <c r="M60" s="82">
        <v>84</v>
      </c>
      <c r="N60" s="83" t="str">
        <f t="shared" ref="N60:N85" si="21">VLOOKUP(M60,grades1,2,TRUE)</f>
        <v>Mencapai kompetensi dengan baik dalam hal</v>
      </c>
      <c r="O60" s="82">
        <v>78</v>
      </c>
      <c r="P60" s="83" t="str">
        <f t="shared" ref="P60:P109" si="22">VLOOKUP(O60,grades1,2,TRUE)</f>
        <v>Mencapai kompetensi dengan baik dalam hal</v>
      </c>
      <c r="Q60" s="82">
        <v>80</v>
      </c>
      <c r="R60" s="83" t="str">
        <f t="shared" ref="R60:R85" si="23">VLOOKUP(Q60,grades1,2,TRUE)</f>
        <v>Mencapai kompetensi dengan baik dalam hal</v>
      </c>
      <c r="S60" s="82">
        <v>85</v>
      </c>
      <c r="T60" s="83" t="str">
        <f t="shared" ref="T60:T85" si="24">VLOOKUP(S60,grades1,2,TRUE)</f>
        <v>Mencapai kompetensi dengan baik dalam hal</v>
      </c>
      <c r="U60" s="82">
        <v>86</v>
      </c>
      <c r="V60" s="83" t="str">
        <f t="shared" ref="V60:V85" si="25">VLOOKUP(U60,grades1,2,TRUE)</f>
        <v>Mencapai kompetensi dengan baik dalam hal</v>
      </c>
      <c r="W60" s="82">
        <v>83</v>
      </c>
      <c r="X60" s="83" t="str">
        <f t="shared" ref="X60:X85" si="26">VLOOKUP(W60,grades1,2,TRUE)</f>
        <v>Mencapai kompetensi dengan baik dalam hal</v>
      </c>
      <c r="Y60" s="82">
        <v>88</v>
      </c>
      <c r="Z60" s="83" t="str">
        <f t="shared" ref="Z60:Z85" si="27">VLOOKUP(Y60,grades1,2,TRUE)</f>
        <v>Mencapai kompetensi dengan baik dalam hal</v>
      </c>
      <c r="AA60" s="82">
        <v>79</v>
      </c>
      <c r="AB60" s="83" t="str">
        <f t="shared" ref="AB60:AB85" si="28">VLOOKUP(AA60,grades1,2,TRUE)</f>
        <v>Mencapai kompetensi dengan baik dalam hal</v>
      </c>
      <c r="AC60" s="82">
        <v>89</v>
      </c>
      <c r="AD60" s="83" t="str">
        <f t="shared" ref="AD60:AD85" si="29">VLOOKUP(AC60,grades1,2,TRUE)</f>
        <v>Mencapai kompetensi dengan baik dalam hal</v>
      </c>
      <c r="AE60" s="82">
        <v>82</v>
      </c>
      <c r="AF60" s="83" t="str">
        <f t="shared" ref="AF60:AF85" si="30">VLOOKUP(AE60,grades1,2,TRUE)</f>
        <v>Mencapai kompetensi dengan baik dalam hal</v>
      </c>
      <c r="AG60" s="82">
        <v>92</v>
      </c>
      <c r="AH60" s="83" t="str">
        <f t="shared" ref="AH60:AH85" si="31">VLOOKUP(AG60,grades1,2,TRUE)</f>
        <v>Mencapai kompetensi dengan sangat baik dalam hal</v>
      </c>
      <c r="AI60" s="82">
        <v>92</v>
      </c>
      <c r="AJ60" s="83" t="str">
        <f t="shared" ref="AJ60:AJ85" si="32">VLOOKUP(AI60,grades1,2,TRUE)</f>
        <v>Mencapai kompetensi dengan sangat baik dalam hal</v>
      </c>
      <c r="AK60" s="82">
        <v>92</v>
      </c>
      <c r="AL60" s="83" t="str">
        <f t="shared" ref="AL60:AL85" si="33">VLOOKUP(AK60,grades1,2,TRUE)</f>
        <v>Mencapai kompetensi dengan sangat baik dalam hal</v>
      </c>
      <c r="AM60" s="82">
        <v>92</v>
      </c>
      <c r="AN60" s="83" t="str">
        <f t="shared" ref="AN60:AN85" si="34">VLOOKUP(AM60,grades1,2,TRUE)</f>
        <v>Mencapai kompetensi dengan sangat baik dalam hal</v>
      </c>
      <c r="AO60" s="75">
        <f t="shared" si="18"/>
        <v>92</v>
      </c>
      <c r="AP60" s="82">
        <v>89</v>
      </c>
      <c r="AQ60" s="83" t="str">
        <f t="shared" ref="AQ60:AQ85" si="35">VLOOKUP(AP60,grades1,2,TRUE)</f>
        <v>Mencapai kompetensi dengan baik dalam hal</v>
      </c>
      <c r="AR60" s="82">
        <v>78</v>
      </c>
      <c r="AS60" s="83" t="str">
        <f t="shared" ref="AS60:AS85" si="36">VLOOKUP(AR60,grades1,2,TRUE)</f>
        <v>Mencapai kompetensi dengan baik dalam hal</v>
      </c>
      <c r="AT60" s="86" t="s">
        <v>81</v>
      </c>
      <c r="AU60" s="86" t="s">
        <v>81</v>
      </c>
      <c r="AV60" s="86" t="s">
        <v>81</v>
      </c>
      <c r="AW60" s="82">
        <v>1</v>
      </c>
      <c r="AX60" s="82" t="s">
        <v>82</v>
      </c>
      <c r="AY60" s="83" t="s">
        <v>83</v>
      </c>
      <c r="AZ60" s="82" t="s">
        <v>84</v>
      </c>
      <c r="BA60" s="83" t="str">
        <f t="shared" si="19"/>
        <v>Baik</v>
      </c>
      <c r="BB60" s="82">
        <v>2</v>
      </c>
      <c r="BC60" s="83" t="s">
        <v>103</v>
      </c>
      <c r="BD60" s="83" t="s">
        <v>83</v>
      </c>
      <c r="BE60" s="82" t="s">
        <v>86</v>
      </c>
      <c r="BF60" s="83" t="str">
        <f t="shared" si="20"/>
        <v>Sangat baik</v>
      </c>
      <c r="BG60" s="82"/>
      <c r="BH60" s="82"/>
      <c r="BI60" s="82"/>
      <c r="BJ60" s="82"/>
      <c r="BK60" s="83"/>
      <c r="BM60" s="81"/>
      <c r="BN60" s="81"/>
      <c r="BO60" s="81"/>
      <c r="BP60" s="81"/>
      <c r="BQ60" s="81"/>
      <c r="BR60" s="81"/>
      <c r="BT60" s="81">
        <f t="shared" si="17"/>
        <v>0</v>
      </c>
    </row>
    <row r="61" spans="1:73" ht="23.25" customHeight="1" x14ac:dyDescent="0.25">
      <c r="A61" s="82">
        <v>60</v>
      </c>
      <c r="B61" s="82">
        <v>2525929</v>
      </c>
      <c r="C61" s="82" t="s">
        <v>654</v>
      </c>
      <c r="D61" s="83" t="s">
        <v>655</v>
      </c>
      <c r="E61" s="82" t="s">
        <v>606</v>
      </c>
      <c r="F61" s="82" t="s">
        <v>530</v>
      </c>
      <c r="G61" s="82" t="s">
        <v>607</v>
      </c>
      <c r="H61" s="82" t="s">
        <v>608</v>
      </c>
      <c r="I61" s="84" t="s">
        <v>76</v>
      </c>
      <c r="J61" s="85" t="s">
        <v>77</v>
      </c>
      <c r="K61" s="85" t="s">
        <v>78</v>
      </c>
      <c r="L61" s="85" t="s">
        <v>79</v>
      </c>
      <c r="M61" s="82">
        <v>81</v>
      </c>
      <c r="N61" s="83" t="str">
        <f t="shared" si="21"/>
        <v>Mencapai kompetensi dengan baik dalam hal</v>
      </c>
      <c r="O61" s="82">
        <v>75</v>
      </c>
      <c r="P61" s="83" t="str">
        <f t="shared" si="22"/>
        <v>Mencapai kompetensi dengan baik dalam hal</v>
      </c>
      <c r="Q61" s="82">
        <v>76</v>
      </c>
      <c r="R61" s="83" t="str">
        <f t="shared" si="23"/>
        <v>Mencapai kompetensi dengan baik dalam hal</v>
      </c>
      <c r="S61" s="82">
        <v>81</v>
      </c>
      <c r="T61" s="83" t="str">
        <f t="shared" si="24"/>
        <v>Mencapai kompetensi dengan baik dalam hal</v>
      </c>
      <c r="U61" s="82">
        <v>76</v>
      </c>
      <c r="V61" s="83" t="str">
        <f t="shared" si="25"/>
        <v>Mencapai kompetensi dengan baik dalam hal</v>
      </c>
      <c r="W61" s="82">
        <v>70</v>
      </c>
      <c r="X61" s="83" t="str">
        <f t="shared" si="26"/>
        <v>Perlu peningkatan dalam hal</v>
      </c>
      <c r="Y61" s="82">
        <v>75</v>
      </c>
      <c r="Z61" s="83" t="str">
        <f t="shared" si="27"/>
        <v>Mencapai kompetensi dengan baik dalam hal</v>
      </c>
      <c r="AA61" s="82">
        <v>77</v>
      </c>
      <c r="AB61" s="83" t="str">
        <f t="shared" si="28"/>
        <v>Mencapai kompetensi dengan baik dalam hal</v>
      </c>
      <c r="AC61" s="82">
        <v>78</v>
      </c>
      <c r="AD61" s="83" t="str">
        <f t="shared" si="29"/>
        <v>Mencapai kompetensi dengan baik dalam hal</v>
      </c>
      <c r="AE61" s="82">
        <v>78</v>
      </c>
      <c r="AF61" s="83" t="str">
        <f t="shared" si="30"/>
        <v>Mencapai kompetensi dengan baik dalam hal</v>
      </c>
      <c r="AG61" s="82">
        <v>77</v>
      </c>
      <c r="AH61" s="83" t="str">
        <f t="shared" si="31"/>
        <v>Mencapai kompetensi dengan baik dalam hal</v>
      </c>
      <c r="AI61" s="82">
        <v>77</v>
      </c>
      <c r="AJ61" s="83" t="str">
        <f t="shared" si="32"/>
        <v>Mencapai kompetensi dengan baik dalam hal</v>
      </c>
      <c r="AK61" s="82">
        <v>77</v>
      </c>
      <c r="AL61" s="83" t="str">
        <f t="shared" si="33"/>
        <v>Mencapai kompetensi dengan baik dalam hal</v>
      </c>
      <c r="AM61" s="82">
        <v>77</v>
      </c>
      <c r="AN61" s="83" t="str">
        <f t="shared" si="34"/>
        <v>Mencapai kompetensi dengan baik dalam hal</v>
      </c>
      <c r="AO61" s="75">
        <f t="shared" si="18"/>
        <v>77</v>
      </c>
      <c r="AP61" s="82">
        <v>78</v>
      </c>
      <c r="AQ61" s="83" t="str">
        <f t="shared" si="35"/>
        <v>Mencapai kompetensi dengan baik dalam hal</v>
      </c>
      <c r="AR61" s="82">
        <v>75</v>
      </c>
      <c r="AS61" s="83" t="str">
        <f t="shared" si="36"/>
        <v>Mencapai kompetensi dengan baik dalam hal</v>
      </c>
      <c r="AT61" s="86" t="s">
        <v>81</v>
      </c>
      <c r="AU61" s="86" t="s">
        <v>81</v>
      </c>
      <c r="AV61" s="86" t="s">
        <v>81</v>
      </c>
      <c r="AW61" s="82">
        <v>1</v>
      </c>
      <c r="AX61" s="82" t="s">
        <v>82</v>
      </c>
      <c r="AY61" s="83" t="s">
        <v>83</v>
      </c>
      <c r="AZ61" s="82" t="s">
        <v>84</v>
      </c>
      <c r="BA61" s="83" t="str">
        <f t="shared" si="19"/>
        <v>Baik</v>
      </c>
      <c r="BB61" s="82">
        <v>2</v>
      </c>
      <c r="BC61" s="83" t="s">
        <v>179</v>
      </c>
      <c r="BD61" s="83" t="s">
        <v>83</v>
      </c>
      <c r="BE61" s="82" t="s">
        <v>86</v>
      </c>
      <c r="BF61" s="83" t="str">
        <f t="shared" si="20"/>
        <v>Sangat baik</v>
      </c>
      <c r="BG61" s="82"/>
      <c r="BH61" s="82"/>
      <c r="BI61" s="82"/>
      <c r="BJ61" s="82"/>
      <c r="BK61" s="83"/>
      <c r="BM61" s="81"/>
      <c r="BN61" s="81"/>
      <c r="BO61" s="81"/>
      <c r="BP61" s="81"/>
      <c r="BQ61" s="81"/>
      <c r="BR61" s="81"/>
      <c r="BT61" s="81">
        <f t="shared" si="17"/>
        <v>1</v>
      </c>
    </row>
    <row r="62" spans="1:73" ht="23.25" customHeight="1" x14ac:dyDescent="0.25">
      <c r="A62" s="82">
        <v>61</v>
      </c>
      <c r="B62" s="82">
        <v>2525930</v>
      </c>
      <c r="C62" s="82" t="s">
        <v>656</v>
      </c>
      <c r="D62" s="83" t="s">
        <v>657</v>
      </c>
      <c r="E62" s="82" t="s">
        <v>606</v>
      </c>
      <c r="F62" s="82" t="s">
        <v>530</v>
      </c>
      <c r="G62" s="82" t="s">
        <v>607</v>
      </c>
      <c r="H62" s="82" t="s">
        <v>608</v>
      </c>
      <c r="I62" s="84" t="s">
        <v>76</v>
      </c>
      <c r="J62" s="85" t="s">
        <v>77</v>
      </c>
      <c r="K62" s="85" t="s">
        <v>78</v>
      </c>
      <c r="L62" s="85" t="s">
        <v>79</v>
      </c>
      <c r="M62" s="82">
        <v>77</v>
      </c>
      <c r="N62" s="83" t="str">
        <f t="shared" si="21"/>
        <v>Mencapai kompetensi dengan baik dalam hal</v>
      </c>
      <c r="O62" s="82">
        <v>75</v>
      </c>
      <c r="P62" s="83" t="str">
        <f t="shared" si="22"/>
        <v>Mencapai kompetensi dengan baik dalam hal</v>
      </c>
      <c r="Q62" s="82">
        <v>75</v>
      </c>
      <c r="R62" s="83" t="str">
        <f t="shared" si="23"/>
        <v>Mencapai kompetensi dengan baik dalam hal</v>
      </c>
      <c r="S62" s="82">
        <v>81</v>
      </c>
      <c r="T62" s="83" t="str">
        <f t="shared" si="24"/>
        <v>Mencapai kompetensi dengan baik dalam hal</v>
      </c>
      <c r="U62" s="82">
        <v>75</v>
      </c>
      <c r="V62" s="83" t="str">
        <f t="shared" si="25"/>
        <v>Mencapai kompetensi dengan baik dalam hal</v>
      </c>
      <c r="W62" s="82">
        <v>75</v>
      </c>
      <c r="X62" s="83" t="str">
        <f t="shared" si="26"/>
        <v>Mencapai kompetensi dengan baik dalam hal</v>
      </c>
      <c r="Y62" s="82">
        <v>83</v>
      </c>
      <c r="Z62" s="83" t="str">
        <f t="shared" si="27"/>
        <v>Mencapai kompetensi dengan baik dalam hal</v>
      </c>
      <c r="AA62" s="82">
        <v>77</v>
      </c>
      <c r="AB62" s="83" t="str">
        <f t="shared" si="28"/>
        <v>Mencapai kompetensi dengan baik dalam hal</v>
      </c>
      <c r="AC62" s="82">
        <v>72</v>
      </c>
      <c r="AD62" s="83" t="str">
        <f t="shared" si="29"/>
        <v>Perlu peningkatan dalam hal</v>
      </c>
      <c r="AE62" s="82">
        <v>77</v>
      </c>
      <c r="AF62" s="83" t="str">
        <f t="shared" si="30"/>
        <v>Mencapai kompetensi dengan baik dalam hal</v>
      </c>
      <c r="AG62" s="82">
        <v>75</v>
      </c>
      <c r="AH62" s="83" t="str">
        <f t="shared" si="31"/>
        <v>Mencapai kompetensi dengan baik dalam hal</v>
      </c>
      <c r="AI62" s="82">
        <v>75</v>
      </c>
      <c r="AJ62" s="83" t="str">
        <f t="shared" si="32"/>
        <v>Mencapai kompetensi dengan baik dalam hal</v>
      </c>
      <c r="AK62" s="82">
        <v>75</v>
      </c>
      <c r="AL62" s="83" t="str">
        <f t="shared" si="33"/>
        <v>Mencapai kompetensi dengan baik dalam hal</v>
      </c>
      <c r="AM62" s="82">
        <v>75</v>
      </c>
      <c r="AN62" s="83" t="str">
        <f t="shared" si="34"/>
        <v>Mencapai kompetensi dengan baik dalam hal</v>
      </c>
      <c r="AO62" s="75">
        <f t="shared" si="18"/>
        <v>75</v>
      </c>
      <c r="AP62" s="82">
        <v>72</v>
      </c>
      <c r="AQ62" s="83" t="str">
        <f t="shared" si="35"/>
        <v>Perlu peningkatan dalam hal</v>
      </c>
      <c r="AR62" s="82">
        <v>75</v>
      </c>
      <c r="AS62" s="83" t="str">
        <f t="shared" si="36"/>
        <v>Mencapai kompetensi dengan baik dalam hal</v>
      </c>
      <c r="AT62" s="86">
        <v>6</v>
      </c>
      <c r="AU62" s="86" t="s">
        <v>81</v>
      </c>
      <c r="AV62" s="86" t="s">
        <v>81</v>
      </c>
      <c r="AW62" s="82">
        <v>1</v>
      </c>
      <c r="AX62" s="82" t="s">
        <v>82</v>
      </c>
      <c r="AY62" s="83" t="s">
        <v>83</v>
      </c>
      <c r="AZ62" s="82" t="s">
        <v>84</v>
      </c>
      <c r="BA62" s="83" t="str">
        <f t="shared" si="19"/>
        <v>Baik</v>
      </c>
      <c r="BB62" s="82">
        <v>2</v>
      </c>
      <c r="BC62" s="83" t="s">
        <v>179</v>
      </c>
      <c r="BD62" s="83" t="s">
        <v>83</v>
      </c>
      <c r="BE62" s="82" t="s">
        <v>86</v>
      </c>
      <c r="BF62" s="83" t="str">
        <f t="shared" si="20"/>
        <v>Sangat baik</v>
      </c>
      <c r="BG62" s="82"/>
      <c r="BH62" s="82"/>
      <c r="BI62" s="82"/>
      <c r="BJ62" s="82"/>
      <c r="BK62" s="83"/>
      <c r="BM62" s="81"/>
      <c r="BN62" s="81"/>
      <c r="BO62" s="81"/>
      <c r="BP62" s="81"/>
      <c r="BQ62" s="81"/>
      <c r="BR62" s="81"/>
      <c r="BT62" s="81">
        <f t="shared" si="17"/>
        <v>2</v>
      </c>
    </row>
    <row r="63" spans="1:73" ht="23.25" customHeight="1" x14ac:dyDescent="0.25">
      <c r="A63" s="82">
        <v>62</v>
      </c>
      <c r="B63" s="82">
        <v>2525931</v>
      </c>
      <c r="C63" s="82" t="s">
        <v>658</v>
      </c>
      <c r="D63" s="83" t="s">
        <v>659</v>
      </c>
      <c r="E63" s="82" t="s">
        <v>606</v>
      </c>
      <c r="F63" s="82" t="s">
        <v>530</v>
      </c>
      <c r="G63" s="82" t="s">
        <v>607</v>
      </c>
      <c r="H63" s="82" t="s">
        <v>608</v>
      </c>
      <c r="I63" s="84" t="s">
        <v>76</v>
      </c>
      <c r="J63" s="85" t="s">
        <v>77</v>
      </c>
      <c r="K63" s="85" t="s">
        <v>78</v>
      </c>
      <c r="L63" s="85" t="s">
        <v>79</v>
      </c>
      <c r="M63" s="82">
        <v>82</v>
      </c>
      <c r="N63" s="83" t="str">
        <f t="shared" si="21"/>
        <v>Mencapai kompetensi dengan baik dalam hal</v>
      </c>
      <c r="O63" s="82">
        <v>77</v>
      </c>
      <c r="P63" s="83" t="str">
        <f t="shared" si="22"/>
        <v>Mencapai kompetensi dengan baik dalam hal</v>
      </c>
      <c r="Q63" s="82">
        <v>75</v>
      </c>
      <c r="R63" s="83" t="str">
        <f t="shared" si="23"/>
        <v>Mencapai kompetensi dengan baik dalam hal</v>
      </c>
      <c r="S63" s="82">
        <v>82</v>
      </c>
      <c r="T63" s="83" t="str">
        <f t="shared" si="24"/>
        <v>Mencapai kompetensi dengan baik dalam hal</v>
      </c>
      <c r="U63" s="82">
        <v>87</v>
      </c>
      <c r="V63" s="83" t="str">
        <f t="shared" si="25"/>
        <v>Mencapai kompetensi dengan baik dalam hal</v>
      </c>
      <c r="W63" s="82">
        <v>77</v>
      </c>
      <c r="X63" s="83" t="str">
        <f t="shared" si="26"/>
        <v>Mencapai kompetensi dengan baik dalam hal</v>
      </c>
      <c r="Y63" s="82">
        <v>90</v>
      </c>
      <c r="Z63" s="83" t="str">
        <f t="shared" si="27"/>
        <v>Mencapai kompetensi dengan sangat baik dalam hal</v>
      </c>
      <c r="AA63" s="82">
        <v>78</v>
      </c>
      <c r="AB63" s="83" t="str">
        <f t="shared" si="28"/>
        <v>Mencapai kompetensi dengan baik dalam hal</v>
      </c>
      <c r="AC63" s="82">
        <v>78</v>
      </c>
      <c r="AD63" s="83" t="str">
        <f t="shared" si="29"/>
        <v>Mencapai kompetensi dengan baik dalam hal</v>
      </c>
      <c r="AE63" s="82">
        <v>82</v>
      </c>
      <c r="AF63" s="83" t="str">
        <f t="shared" si="30"/>
        <v>Mencapai kompetensi dengan baik dalam hal</v>
      </c>
      <c r="AG63" s="82">
        <v>88</v>
      </c>
      <c r="AH63" s="83" t="str">
        <f t="shared" si="31"/>
        <v>Mencapai kompetensi dengan baik dalam hal</v>
      </c>
      <c r="AI63" s="82">
        <v>88</v>
      </c>
      <c r="AJ63" s="83" t="str">
        <f t="shared" si="32"/>
        <v>Mencapai kompetensi dengan baik dalam hal</v>
      </c>
      <c r="AK63" s="82">
        <v>88</v>
      </c>
      <c r="AL63" s="83" t="str">
        <f t="shared" si="33"/>
        <v>Mencapai kompetensi dengan baik dalam hal</v>
      </c>
      <c r="AM63" s="82">
        <v>88</v>
      </c>
      <c r="AN63" s="83" t="str">
        <f t="shared" si="34"/>
        <v>Mencapai kompetensi dengan baik dalam hal</v>
      </c>
      <c r="AO63" s="75">
        <f t="shared" si="18"/>
        <v>88</v>
      </c>
      <c r="AP63" s="82">
        <v>78</v>
      </c>
      <c r="AQ63" s="83" t="str">
        <f t="shared" si="35"/>
        <v>Mencapai kompetensi dengan baik dalam hal</v>
      </c>
      <c r="AR63" s="82">
        <v>76</v>
      </c>
      <c r="AS63" s="83" t="str">
        <f t="shared" si="36"/>
        <v>Mencapai kompetensi dengan baik dalam hal</v>
      </c>
      <c r="AT63" s="86">
        <v>1</v>
      </c>
      <c r="AU63" s="86" t="s">
        <v>81</v>
      </c>
      <c r="AV63" s="86">
        <v>1</v>
      </c>
      <c r="AW63" s="82">
        <v>1</v>
      </c>
      <c r="AX63" s="82" t="s">
        <v>82</v>
      </c>
      <c r="AY63" s="83" t="s">
        <v>83</v>
      </c>
      <c r="AZ63" s="82" t="s">
        <v>86</v>
      </c>
      <c r="BA63" s="83" t="str">
        <f t="shared" si="19"/>
        <v>Sangat baik</v>
      </c>
      <c r="BB63" s="82">
        <v>2</v>
      </c>
      <c r="BC63" s="83" t="s">
        <v>429</v>
      </c>
      <c r="BD63" s="83" t="s">
        <v>83</v>
      </c>
      <c r="BE63" s="82" t="s">
        <v>86</v>
      </c>
      <c r="BF63" s="83" t="str">
        <f t="shared" si="20"/>
        <v>Sangat baik</v>
      </c>
      <c r="BG63" s="82"/>
      <c r="BH63" s="82"/>
      <c r="BI63" s="82"/>
      <c r="BJ63" s="82"/>
      <c r="BK63" s="83"/>
      <c r="BM63" s="81"/>
      <c r="BN63" s="81"/>
      <c r="BO63" s="81"/>
      <c r="BP63" s="81"/>
      <c r="BQ63" s="81"/>
      <c r="BR63" s="81"/>
      <c r="BT63" s="81">
        <f t="shared" si="17"/>
        <v>0</v>
      </c>
    </row>
    <row r="64" spans="1:73" ht="23.25" customHeight="1" x14ac:dyDescent="0.25">
      <c r="A64" s="82">
        <v>63</v>
      </c>
      <c r="B64" s="82">
        <v>2525932</v>
      </c>
      <c r="C64" s="82" t="s">
        <v>660</v>
      </c>
      <c r="D64" s="83" t="s">
        <v>661</v>
      </c>
      <c r="E64" s="82" t="s">
        <v>606</v>
      </c>
      <c r="F64" s="82" t="s">
        <v>530</v>
      </c>
      <c r="G64" s="82" t="s">
        <v>607</v>
      </c>
      <c r="H64" s="82" t="s">
        <v>608</v>
      </c>
      <c r="I64" s="84" t="s">
        <v>76</v>
      </c>
      <c r="J64" s="85" t="s">
        <v>77</v>
      </c>
      <c r="K64" s="85" t="s">
        <v>78</v>
      </c>
      <c r="L64" s="85" t="s">
        <v>79</v>
      </c>
      <c r="M64" s="82">
        <v>79</v>
      </c>
      <c r="N64" s="83" t="str">
        <f t="shared" si="21"/>
        <v>Mencapai kompetensi dengan baik dalam hal</v>
      </c>
      <c r="O64" s="82">
        <v>77</v>
      </c>
      <c r="P64" s="83" t="str">
        <f t="shared" si="22"/>
        <v>Mencapai kompetensi dengan baik dalam hal</v>
      </c>
      <c r="Q64" s="82">
        <v>75</v>
      </c>
      <c r="R64" s="83" t="str">
        <f t="shared" si="23"/>
        <v>Mencapai kompetensi dengan baik dalam hal</v>
      </c>
      <c r="S64" s="82">
        <v>81</v>
      </c>
      <c r="T64" s="83" t="str">
        <f t="shared" si="24"/>
        <v>Mencapai kompetensi dengan baik dalam hal</v>
      </c>
      <c r="U64" s="82">
        <v>80</v>
      </c>
      <c r="V64" s="83" t="str">
        <f t="shared" si="25"/>
        <v>Mencapai kompetensi dengan baik dalam hal</v>
      </c>
      <c r="W64" s="82">
        <v>75</v>
      </c>
      <c r="X64" s="83" t="str">
        <f t="shared" si="26"/>
        <v>Mencapai kompetensi dengan baik dalam hal</v>
      </c>
      <c r="Y64" s="82">
        <v>76</v>
      </c>
      <c r="Z64" s="83" t="str">
        <f t="shared" si="27"/>
        <v>Mencapai kompetensi dengan baik dalam hal</v>
      </c>
      <c r="AA64" s="82">
        <v>77</v>
      </c>
      <c r="AB64" s="83" t="str">
        <f t="shared" si="28"/>
        <v>Mencapai kompetensi dengan baik dalam hal</v>
      </c>
      <c r="AC64" s="82">
        <v>75</v>
      </c>
      <c r="AD64" s="83" t="str">
        <f t="shared" si="29"/>
        <v>Mencapai kompetensi dengan baik dalam hal</v>
      </c>
      <c r="AE64" s="82">
        <v>77</v>
      </c>
      <c r="AF64" s="83" t="str">
        <f t="shared" si="30"/>
        <v>Mencapai kompetensi dengan baik dalam hal</v>
      </c>
      <c r="AG64" s="82">
        <v>80</v>
      </c>
      <c r="AH64" s="83" t="str">
        <f t="shared" si="31"/>
        <v>Mencapai kompetensi dengan baik dalam hal</v>
      </c>
      <c r="AI64" s="82">
        <v>80</v>
      </c>
      <c r="AJ64" s="83" t="str">
        <f t="shared" si="32"/>
        <v>Mencapai kompetensi dengan baik dalam hal</v>
      </c>
      <c r="AK64" s="82">
        <v>80</v>
      </c>
      <c r="AL64" s="83" t="str">
        <f t="shared" si="33"/>
        <v>Mencapai kompetensi dengan baik dalam hal</v>
      </c>
      <c r="AM64" s="82">
        <v>80</v>
      </c>
      <c r="AN64" s="83" t="str">
        <f t="shared" si="34"/>
        <v>Mencapai kompetensi dengan baik dalam hal</v>
      </c>
      <c r="AO64" s="75">
        <f t="shared" si="18"/>
        <v>80</v>
      </c>
      <c r="AP64" s="82">
        <v>75</v>
      </c>
      <c r="AQ64" s="83" t="str">
        <f t="shared" si="35"/>
        <v>Mencapai kompetensi dengan baik dalam hal</v>
      </c>
      <c r="AR64" s="82">
        <v>75</v>
      </c>
      <c r="AS64" s="83" t="str">
        <f t="shared" si="36"/>
        <v>Mencapai kompetensi dengan baik dalam hal</v>
      </c>
      <c r="AT64" s="86">
        <v>1</v>
      </c>
      <c r="AU64" s="86" t="s">
        <v>81</v>
      </c>
      <c r="AV64" s="86" t="s">
        <v>81</v>
      </c>
      <c r="AW64" s="82">
        <v>1</v>
      </c>
      <c r="AX64" s="82" t="s">
        <v>82</v>
      </c>
      <c r="AY64" s="83" t="s">
        <v>83</v>
      </c>
      <c r="AZ64" s="82" t="s">
        <v>84</v>
      </c>
      <c r="BA64" s="83" t="str">
        <f t="shared" si="19"/>
        <v>Baik</v>
      </c>
      <c r="BB64" s="82">
        <v>2</v>
      </c>
      <c r="BC64" s="83" t="s">
        <v>429</v>
      </c>
      <c r="BD64" s="83" t="s">
        <v>83</v>
      </c>
      <c r="BE64" s="82" t="s">
        <v>86</v>
      </c>
      <c r="BF64" s="83" t="str">
        <f t="shared" si="20"/>
        <v>Sangat baik</v>
      </c>
      <c r="BG64" s="82"/>
      <c r="BH64" s="82"/>
      <c r="BI64" s="82"/>
      <c r="BJ64" s="82"/>
      <c r="BK64" s="83"/>
      <c r="BM64" s="81"/>
      <c r="BN64" s="81"/>
      <c r="BO64" s="81"/>
      <c r="BP64" s="81"/>
      <c r="BQ64" s="81"/>
      <c r="BR64" s="81"/>
      <c r="BT64" s="81">
        <f t="shared" si="17"/>
        <v>0</v>
      </c>
    </row>
    <row r="65" spans="1:72" ht="23.25" customHeight="1" x14ac:dyDescent="0.25">
      <c r="A65" s="82">
        <v>64</v>
      </c>
      <c r="B65" s="82">
        <v>2525933</v>
      </c>
      <c r="C65" s="82" t="s">
        <v>662</v>
      </c>
      <c r="D65" s="83" t="s">
        <v>663</v>
      </c>
      <c r="E65" s="82" t="s">
        <v>606</v>
      </c>
      <c r="F65" s="82" t="s">
        <v>530</v>
      </c>
      <c r="G65" s="82" t="s">
        <v>607</v>
      </c>
      <c r="H65" s="82" t="s">
        <v>608</v>
      </c>
      <c r="I65" s="84" t="s">
        <v>76</v>
      </c>
      <c r="J65" s="85" t="s">
        <v>77</v>
      </c>
      <c r="K65" s="85" t="s">
        <v>78</v>
      </c>
      <c r="L65" s="85" t="s">
        <v>79</v>
      </c>
      <c r="M65" s="82">
        <v>80</v>
      </c>
      <c r="N65" s="83" t="str">
        <f t="shared" si="21"/>
        <v>Mencapai kompetensi dengan baik dalam hal</v>
      </c>
      <c r="O65" s="82">
        <v>75</v>
      </c>
      <c r="P65" s="83" t="str">
        <f t="shared" si="22"/>
        <v>Mencapai kompetensi dengan baik dalam hal</v>
      </c>
      <c r="Q65" s="82">
        <v>76</v>
      </c>
      <c r="R65" s="83" t="str">
        <f t="shared" si="23"/>
        <v>Mencapai kompetensi dengan baik dalam hal</v>
      </c>
      <c r="S65" s="82">
        <v>83</v>
      </c>
      <c r="T65" s="83" t="str">
        <f t="shared" si="24"/>
        <v>Mencapai kompetensi dengan baik dalam hal</v>
      </c>
      <c r="U65" s="82">
        <v>79</v>
      </c>
      <c r="V65" s="83" t="str">
        <f t="shared" si="25"/>
        <v>Mencapai kompetensi dengan baik dalam hal</v>
      </c>
      <c r="W65" s="82">
        <v>75</v>
      </c>
      <c r="X65" s="83" t="str">
        <f t="shared" si="26"/>
        <v>Mencapai kompetensi dengan baik dalam hal</v>
      </c>
      <c r="Y65" s="82">
        <v>75</v>
      </c>
      <c r="Z65" s="83" t="str">
        <f t="shared" si="27"/>
        <v>Mencapai kompetensi dengan baik dalam hal</v>
      </c>
      <c r="AA65" s="82">
        <v>77</v>
      </c>
      <c r="AB65" s="83" t="str">
        <f t="shared" si="28"/>
        <v>Mencapai kompetensi dengan baik dalam hal</v>
      </c>
      <c r="AC65" s="82">
        <v>78</v>
      </c>
      <c r="AD65" s="83" t="str">
        <f t="shared" si="29"/>
        <v>Mencapai kompetensi dengan baik dalam hal</v>
      </c>
      <c r="AE65" s="82">
        <v>80</v>
      </c>
      <c r="AF65" s="83" t="str">
        <f t="shared" si="30"/>
        <v>Mencapai kompetensi dengan baik dalam hal</v>
      </c>
      <c r="AG65" s="82">
        <v>80</v>
      </c>
      <c r="AH65" s="83" t="str">
        <f t="shared" si="31"/>
        <v>Mencapai kompetensi dengan baik dalam hal</v>
      </c>
      <c r="AI65" s="82">
        <v>80</v>
      </c>
      <c r="AJ65" s="83" t="str">
        <f t="shared" si="32"/>
        <v>Mencapai kompetensi dengan baik dalam hal</v>
      </c>
      <c r="AK65" s="82">
        <v>80</v>
      </c>
      <c r="AL65" s="83" t="str">
        <f t="shared" si="33"/>
        <v>Mencapai kompetensi dengan baik dalam hal</v>
      </c>
      <c r="AM65" s="82">
        <v>80</v>
      </c>
      <c r="AN65" s="83" t="str">
        <f t="shared" si="34"/>
        <v>Mencapai kompetensi dengan baik dalam hal</v>
      </c>
      <c r="AO65" s="75">
        <f t="shared" si="18"/>
        <v>80</v>
      </c>
      <c r="AP65" s="82">
        <v>78</v>
      </c>
      <c r="AQ65" s="83" t="str">
        <f t="shared" si="35"/>
        <v>Mencapai kompetensi dengan baik dalam hal</v>
      </c>
      <c r="AR65" s="82">
        <v>76</v>
      </c>
      <c r="AS65" s="83" t="str">
        <f t="shared" si="36"/>
        <v>Mencapai kompetensi dengan baik dalam hal</v>
      </c>
      <c r="AT65" s="86" t="s">
        <v>81</v>
      </c>
      <c r="AU65" s="86" t="s">
        <v>81</v>
      </c>
      <c r="AV65" s="86" t="s">
        <v>81</v>
      </c>
      <c r="AW65" s="82">
        <v>1</v>
      </c>
      <c r="AX65" s="82" t="s">
        <v>82</v>
      </c>
      <c r="AY65" s="83" t="s">
        <v>83</v>
      </c>
      <c r="AZ65" s="82" t="s">
        <v>86</v>
      </c>
      <c r="BA65" s="83" t="str">
        <f t="shared" si="19"/>
        <v>Sangat baik</v>
      </c>
      <c r="BB65" s="82">
        <v>2</v>
      </c>
      <c r="BC65" s="83" t="s">
        <v>298</v>
      </c>
      <c r="BD65" s="83" t="s">
        <v>83</v>
      </c>
      <c r="BE65" s="82" t="s">
        <v>84</v>
      </c>
      <c r="BF65" s="83" t="str">
        <f t="shared" si="20"/>
        <v>Baik</v>
      </c>
      <c r="BG65" s="82"/>
      <c r="BH65" s="82"/>
      <c r="BI65" s="82"/>
      <c r="BJ65" s="82"/>
      <c r="BK65" s="83"/>
      <c r="BM65" s="81"/>
      <c r="BN65" s="81"/>
      <c r="BO65" s="81"/>
      <c r="BP65" s="81"/>
      <c r="BQ65" s="81"/>
      <c r="BR65" s="81"/>
      <c r="BT65" s="81">
        <f t="shared" si="17"/>
        <v>0</v>
      </c>
    </row>
    <row r="66" spans="1:72" ht="23.25" customHeight="1" x14ac:dyDescent="0.25">
      <c r="A66" s="82">
        <v>65</v>
      </c>
      <c r="B66" s="82">
        <v>2525934</v>
      </c>
      <c r="C66" s="82" t="s">
        <v>664</v>
      </c>
      <c r="D66" s="83" t="s">
        <v>665</v>
      </c>
      <c r="E66" s="82" t="s">
        <v>606</v>
      </c>
      <c r="F66" s="82" t="s">
        <v>530</v>
      </c>
      <c r="G66" s="82" t="s">
        <v>607</v>
      </c>
      <c r="H66" s="82" t="s">
        <v>608</v>
      </c>
      <c r="I66" s="84" t="s">
        <v>76</v>
      </c>
      <c r="J66" s="85" t="s">
        <v>77</v>
      </c>
      <c r="K66" s="85" t="s">
        <v>78</v>
      </c>
      <c r="L66" s="85" t="s">
        <v>79</v>
      </c>
      <c r="M66" s="82">
        <v>80</v>
      </c>
      <c r="N66" s="83" t="str">
        <f t="shared" si="21"/>
        <v>Mencapai kompetensi dengan baik dalam hal</v>
      </c>
      <c r="O66" s="82">
        <v>76</v>
      </c>
      <c r="P66" s="83" t="str">
        <f t="shared" si="22"/>
        <v>Mencapai kompetensi dengan baik dalam hal</v>
      </c>
      <c r="Q66" s="82">
        <v>75</v>
      </c>
      <c r="R66" s="83" t="str">
        <f t="shared" si="23"/>
        <v>Mencapai kompetensi dengan baik dalam hal</v>
      </c>
      <c r="S66" s="82">
        <v>81</v>
      </c>
      <c r="T66" s="83" t="str">
        <f t="shared" si="24"/>
        <v>Mencapai kompetensi dengan baik dalam hal</v>
      </c>
      <c r="U66" s="82">
        <v>76</v>
      </c>
      <c r="V66" s="83" t="str">
        <f t="shared" si="25"/>
        <v>Mencapai kompetensi dengan baik dalam hal</v>
      </c>
      <c r="W66" s="82">
        <v>75</v>
      </c>
      <c r="X66" s="83" t="str">
        <f t="shared" si="26"/>
        <v>Mencapai kompetensi dengan baik dalam hal</v>
      </c>
      <c r="Y66" s="82">
        <v>78</v>
      </c>
      <c r="Z66" s="83" t="str">
        <f t="shared" si="27"/>
        <v>Mencapai kompetensi dengan baik dalam hal</v>
      </c>
      <c r="AA66" s="82">
        <v>76</v>
      </c>
      <c r="AB66" s="83" t="str">
        <f t="shared" si="28"/>
        <v>Mencapai kompetensi dengan baik dalam hal</v>
      </c>
      <c r="AC66" s="82">
        <v>78</v>
      </c>
      <c r="AD66" s="83" t="str">
        <f t="shared" si="29"/>
        <v>Mencapai kompetensi dengan baik dalam hal</v>
      </c>
      <c r="AE66" s="82">
        <v>77</v>
      </c>
      <c r="AF66" s="83" t="str">
        <f t="shared" si="30"/>
        <v>Mencapai kompetensi dengan baik dalam hal</v>
      </c>
      <c r="AG66" s="82">
        <v>75</v>
      </c>
      <c r="AH66" s="83" t="str">
        <f t="shared" si="31"/>
        <v>Mencapai kompetensi dengan baik dalam hal</v>
      </c>
      <c r="AI66" s="82">
        <v>75</v>
      </c>
      <c r="AJ66" s="83" t="str">
        <f t="shared" si="32"/>
        <v>Mencapai kompetensi dengan baik dalam hal</v>
      </c>
      <c r="AK66" s="82">
        <v>75</v>
      </c>
      <c r="AL66" s="83" t="str">
        <f t="shared" si="33"/>
        <v>Mencapai kompetensi dengan baik dalam hal</v>
      </c>
      <c r="AM66" s="82">
        <v>75</v>
      </c>
      <c r="AN66" s="83" t="str">
        <f t="shared" si="34"/>
        <v>Mencapai kompetensi dengan baik dalam hal</v>
      </c>
      <c r="AO66" s="75">
        <f t="shared" si="18"/>
        <v>75</v>
      </c>
      <c r="AP66" s="82">
        <v>78</v>
      </c>
      <c r="AQ66" s="83" t="str">
        <f t="shared" si="35"/>
        <v>Mencapai kompetensi dengan baik dalam hal</v>
      </c>
      <c r="AR66" s="82">
        <v>75</v>
      </c>
      <c r="AS66" s="83" t="str">
        <f t="shared" si="36"/>
        <v>Mencapai kompetensi dengan baik dalam hal</v>
      </c>
      <c r="AT66" s="86" t="s">
        <v>81</v>
      </c>
      <c r="AU66" s="86" t="s">
        <v>81</v>
      </c>
      <c r="AV66" s="86" t="s">
        <v>81</v>
      </c>
      <c r="AW66" s="82">
        <v>1</v>
      </c>
      <c r="AX66" s="82" t="s">
        <v>82</v>
      </c>
      <c r="AY66" s="83" t="s">
        <v>83</v>
      </c>
      <c r="AZ66" s="82" t="s">
        <v>84</v>
      </c>
      <c r="BA66" s="83" t="str">
        <f t="shared" ref="BA66:BA97" si="37">VLOOKUP(AZ66,grades6,2,TRUE)</f>
        <v>Baik</v>
      </c>
      <c r="BB66" s="82">
        <v>2</v>
      </c>
      <c r="BC66" s="83" t="s">
        <v>170</v>
      </c>
      <c r="BD66" s="83" t="s">
        <v>83</v>
      </c>
      <c r="BE66" s="82" t="s">
        <v>84</v>
      </c>
      <c r="BF66" s="83" t="str">
        <f t="shared" ref="BF66:BF97" si="38">VLOOKUP(BE66,grades6,2,TRUE)</f>
        <v>Baik</v>
      </c>
      <c r="BG66" s="82"/>
      <c r="BH66" s="82"/>
      <c r="BI66" s="82"/>
      <c r="BJ66" s="82"/>
      <c r="BK66" s="83"/>
      <c r="BM66" s="81"/>
      <c r="BN66" s="81"/>
      <c r="BO66" s="81"/>
      <c r="BP66" s="81"/>
      <c r="BQ66" s="81"/>
      <c r="BR66" s="81"/>
      <c r="BT66" s="81">
        <f t="shared" ref="BT66:BT103" si="39">COUNTIFS(M66:AR66,"&gt;=0",M66:AR66,"&lt;75")</f>
        <v>0</v>
      </c>
    </row>
    <row r="67" spans="1:72" ht="23.25" customHeight="1" x14ac:dyDescent="0.25">
      <c r="A67" s="82">
        <v>66</v>
      </c>
      <c r="B67" s="82">
        <v>2525935</v>
      </c>
      <c r="C67" s="82" t="s">
        <v>666</v>
      </c>
      <c r="D67" s="83" t="s">
        <v>667</v>
      </c>
      <c r="E67" s="82" t="s">
        <v>606</v>
      </c>
      <c r="F67" s="82" t="s">
        <v>530</v>
      </c>
      <c r="G67" s="82" t="s">
        <v>607</v>
      </c>
      <c r="H67" s="82" t="s">
        <v>608</v>
      </c>
      <c r="I67" s="84" t="s">
        <v>76</v>
      </c>
      <c r="J67" s="85" t="s">
        <v>77</v>
      </c>
      <c r="K67" s="85" t="s">
        <v>78</v>
      </c>
      <c r="L67" s="85" t="s">
        <v>79</v>
      </c>
      <c r="M67" s="82">
        <v>80</v>
      </c>
      <c r="N67" s="83" t="str">
        <f t="shared" si="21"/>
        <v>Mencapai kompetensi dengan baik dalam hal</v>
      </c>
      <c r="O67" s="82">
        <v>77</v>
      </c>
      <c r="P67" s="83" t="str">
        <f t="shared" si="22"/>
        <v>Mencapai kompetensi dengan baik dalam hal</v>
      </c>
      <c r="Q67" s="82">
        <v>75</v>
      </c>
      <c r="R67" s="83" t="str">
        <f t="shared" si="23"/>
        <v>Mencapai kompetensi dengan baik dalam hal</v>
      </c>
      <c r="S67" s="82">
        <v>83</v>
      </c>
      <c r="T67" s="83" t="str">
        <f t="shared" si="24"/>
        <v>Mencapai kompetensi dengan baik dalam hal</v>
      </c>
      <c r="U67" s="82">
        <v>81</v>
      </c>
      <c r="V67" s="83" t="str">
        <f t="shared" si="25"/>
        <v>Mencapai kompetensi dengan baik dalam hal</v>
      </c>
      <c r="W67" s="82">
        <v>75</v>
      </c>
      <c r="X67" s="83" t="str">
        <f t="shared" si="26"/>
        <v>Mencapai kompetensi dengan baik dalam hal</v>
      </c>
      <c r="Y67" s="82">
        <v>85</v>
      </c>
      <c r="Z67" s="83" t="str">
        <f t="shared" si="27"/>
        <v>Mencapai kompetensi dengan baik dalam hal</v>
      </c>
      <c r="AA67" s="82">
        <v>76</v>
      </c>
      <c r="AB67" s="83" t="str">
        <f t="shared" si="28"/>
        <v>Mencapai kompetensi dengan baik dalam hal</v>
      </c>
      <c r="AC67" s="82">
        <v>78</v>
      </c>
      <c r="AD67" s="83" t="str">
        <f t="shared" si="29"/>
        <v>Mencapai kompetensi dengan baik dalam hal</v>
      </c>
      <c r="AE67" s="82">
        <v>78</v>
      </c>
      <c r="AF67" s="83" t="str">
        <f t="shared" si="30"/>
        <v>Mencapai kompetensi dengan baik dalam hal</v>
      </c>
      <c r="AG67" s="82">
        <v>75</v>
      </c>
      <c r="AH67" s="83" t="str">
        <f t="shared" si="31"/>
        <v>Mencapai kompetensi dengan baik dalam hal</v>
      </c>
      <c r="AI67" s="82">
        <v>75</v>
      </c>
      <c r="AJ67" s="83" t="str">
        <f t="shared" si="32"/>
        <v>Mencapai kompetensi dengan baik dalam hal</v>
      </c>
      <c r="AK67" s="82">
        <v>75</v>
      </c>
      <c r="AL67" s="83" t="str">
        <f t="shared" si="33"/>
        <v>Mencapai kompetensi dengan baik dalam hal</v>
      </c>
      <c r="AM67" s="82">
        <v>75</v>
      </c>
      <c r="AN67" s="83" t="str">
        <f t="shared" si="34"/>
        <v>Mencapai kompetensi dengan baik dalam hal</v>
      </c>
      <c r="AO67" s="75">
        <f t="shared" ref="AO67:AO109" si="40">AVERAGE(AG67,AI67,AK67,AM67)</f>
        <v>75</v>
      </c>
      <c r="AP67" s="82">
        <v>78</v>
      </c>
      <c r="AQ67" s="83" t="str">
        <f t="shared" si="35"/>
        <v>Mencapai kompetensi dengan baik dalam hal</v>
      </c>
      <c r="AR67" s="82">
        <v>75</v>
      </c>
      <c r="AS67" s="83" t="str">
        <f t="shared" si="36"/>
        <v>Mencapai kompetensi dengan baik dalam hal</v>
      </c>
      <c r="AT67" s="86">
        <v>3</v>
      </c>
      <c r="AU67" s="86" t="s">
        <v>81</v>
      </c>
      <c r="AV67" s="86" t="s">
        <v>81</v>
      </c>
      <c r="AW67" s="82">
        <v>1</v>
      </c>
      <c r="AX67" s="82" t="s">
        <v>82</v>
      </c>
      <c r="AY67" s="83" t="s">
        <v>83</v>
      </c>
      <c r="AZ67" s="82" t="s">
        <v>86</v>
      </c>
      <c r="BA67" s="83" t="str">
        <f t="shared" si="37"/>
        <v>Sangat baik</v>
      </c>
      <c r="BB67" s="82">
        <v>2</v>
      </c>
      <c r="BC67" s="83" t="s">
        <v>170</v>
      </c>
      <c r="BD67" s="83" t="s">
        <v>83</v>
      </c>
      <c r="BE67" s="82" t="s">
        <v>104</v>
      </c>
      <c r="BF67" s="83" t="str">
        <f t="shared" si="38"/>
        <v>Cukup</v>
      </c>
      <c r="BG67" s="82"/>
      <c r="BH67" s="82"/>
      <c r="BI67" s="82"/>
      <c r="BJ67" s="82"/>
      <c r="BK67" s="83"/>
      <c r="BM67" s="81"/>
      <c r="BN67" s="81"/>
      <c r="BO67" s="81"/>
      <c r="BP67" s="81"/>
      <c r="BQ67" s="81"/>
      <c r="BR67" s="81"/>
      <c r="BT67" s="81">
        <f t="shared" si="39"/>
        <v>0</v>
      </c>
    </row>
    <row r="68" spans="1:72" ht="23.25" customHeight="1" x14ac:dyDescent="0.25">
      <c r="A68" s="82">
        <v>67</v>
      </c>
      <c r="B68" s="82">
        <v>2525936</v>
      </c>
      <c r="C68" s="82" t="s">
        <v>668</v>
      </c>
      <c r="D68" s="83" t="s">
        <v>669</v>
      </c>
      <c r="E68" s="82" t="s">
        <v>606</v>
      </c>
      <c r="F68" s="82" t="s">
        <v>530</v>
      </c>
      <c r="G68" s="82" t="s">
        <v>607</v>
      </c>
      <c r="H68" s="82" t="s">
        <v>608</v>
      </c>
      <c r="I68" s="84" t="s">
        <v>76</v>
      </c>
      <c r="J68" s="85" t="s">
        <v>77</v>
      </c>
      <c r="K68" s="85" t="s">
        <v>78</v>
      </c>
      <c r="L68" s="85" t="s">
        <v>79</v>
      </c>
      <c r="M68" s="82">
        <v>84</v>
      </c>
      <c r="N68" s="83" t="str">
        <f t="shared" si="21"/>
        <v>Mencapai kompetensi dengan baik dalam hal</v>
      </c>
      <c r="O68" s="82">
        <v>80</v>
      </c>
      <c r="P68" s="83" t="str">
        <f t="shared" si="22"/>
        <v>Mencapai kompetensi dengan baik dalam hal</v>
      </c>
      <c r="Q68" s="82">
        <v>80</v>
      </c>
      <c r="R68" s="83" t="str">
        <f t="shared" si="23"/>
        <v>Mencapai kompetensi dengan baik dalam hal</v>
      </c>
      <c r="S68" s="82">
        <v>84</v>
      </c>
      <c r="T68" s="83" t="str">
        <f t="shared" si="24"/>
        <v>Mencapai kompetensi dengan baik dalam hal</v>
      </c>
      <c r="U68" s="82">
        <v>86</v>
      </c>
      <c r="V68" s="83" t="str">
        <f t="shared" si="25"/>
        <v>Mencapai kompetensi dengan baik dalam hal</v>
      </c>
      <c r="W68" s="82">
        <v>84</v>
      </c>
      <c r="X68" s="83" t="str">
        <f t="shared" si="26"/>
        <v>Mencapai kompetensi dengan baik dalam hal</v>
      </c>
      <c r="Y68" s="82">
        <v>95</v>
      </c>
      <c r="Z68" s="83" t="str">
        <f t="shared" si="27"/>
        <v>Mencapai kompetensi dengan sangat baik dalam hal</v>
      </c>
      <c r="AA68" s="82">
        <v>76</v>
      </c>
      <c r="AB68" s="83" t="str">
        <f t="shared" si="28"/>
        <v>Mencapai kompetensi dengan baik dalam hal</v>
      </c>
      <c r="AC68" s="82">
        <v>89</v>
      </c>
      <c r="AD68" s="83" t="str">
        <f t="shared" si="29"/>
        <v>Mencapai kompetensi dengan baik dalam hal</v>
      </c>
      <c r="AE68" s="82">
        <v>77</v>
      </c>
      <c r="AF68" s="83" t="str">
        <f t="shared" si="30"/>
        <v>Mencapai kompetensi dengan baik dalam hal</v>
      </c>
      <c r="AG68" s="82">
        <v>88</v>
      </c>
      <c r="AH68" s="83" t="str">
        <f t="shared" si="31"/>
        <v>Mencapai kompetensi dengan baik dalam hal</v>
      </c>
      <c r="AI68" s="82">
        <v>88</v>
      </c>
      <c r="AJ68" s="83" t="str">
        <f t="shared" si="32"/>
        <v>Mencapai kompetensi dengan baik dalam hal</v>
      </c>
      <c r="AK68" s="82">
        <v>88</v>
      </c>
      <c r="AL68" s="83" t="str">
        <f t="shared" si="33"/>
        <v>Mencapai kompetensi dengan baik dalam hal</v>
      </c>
      <c r="AM68" s="82">
        <v>88</v>
      </c>
      <c r="AN68" s="83" t="str">
        <f t="shared" si="34"/>
        <v>Mencapai kompetensi dengan baik dalam hal</v>
      </c>
      <c r="AO68" s="75">
        <f t="shared" si="40"/>
        <v>88</v>
      </c>
      <c r="AP68" s="82">
        <v>89</v>
      </c>
      <c r="AQ68" s="83" t="str">
        <f t="shared" si="35"/>
        <v>Mencapai kompetensi dengan baik dalam hal</v>
      </c>
      <c r="AR68" s="82">
        <v>82</v>
      </c>
      <c r="AS68" s="83" t="str">
        <f t="shared" si="36"/>
        <v>Mencapai kompetensi dengan baik dalam hal</v>
      </c>
      <c r="AT68" s="86" t="s">
        <v>81</v>
      </c>
      <c r="AU68" s="86" t="s">
        <v>81</v>
      </c>
      <c r="AV68" s="86" t="s">
        <v>81</v>
      </c>
      <c r="AW68" s="82">
        <v>1</v>
      </c>
      <c r="AX68" s="82" t="s">
        <v>82</v>
      </c>
      <c r="AY68" s="83" t="s">
        <v>83</v>
      </c>
      <c r="AZ68" s="82" t="s">
        <v>86</v>
      </c>
      <c r="BA68" s="83" t="str">
        <f t="shared" si="37"/>
        <v>Sangat baik</v>
      </c>
      <c r="BB68" s="82">
        <v>2</v>
      </c>
      <c r="BC68" s="83" t="s">
        <v>162</v>
      </c>
      <c r="BD68" s="83" t="s">
        <v>83</v>
      </c>
      <c r="BE68" s="82" t="s">
        <v>84</v>
      </c>
      <c r="BF68" s="83" t="str">
        <f t="shared" si="38"/>
        <v>Baik</v>
      </c>
      <c r="BG68" s="82"/>
      <c r="BH68" s="82"/>
      <c r="BI68" s="82"/>
      <c r="BJ68" s="82"/>
      <c r="BK68" s="83"/>
      <c r="BM68" s="81"/>
      <c r="BN68" s="81"/>
      <c r="BO68" s="81"/>
      <c r="BP68" s="81"/>
      <c r="BQ68" s="81"/>
      <c r="BR68" s="81"/>
      <c r="BT68" s="81">
        <f t="shared" si="39"/>
        <v>0</v>
      </c>
    </row>
    <row r="69" spans="1:72" ht="23.25" customHeight="1" x14ac:dyDescent="0.25">
      <c r="A69" s="82">
        <v>68</v>
      </c>
      <c r="B69" s="82">
        <v>2525937</v>
      </c>
      <c r="C69" s="82" t="s">
        <v>670</v>
      </c>
      <c r="D69" s="83" t="s">
        <v>671</v>
      </c>
      <c r="E69" s="82" t="s">
        <v>606</v>
      </c>
      <c r="F69" s="82" t="s">
        <v>530</v>
      </c>
      <c r="G69" s="82" t="s">
        <v>607</v>
      </c>
      <c r="H69" s="82" t="s">
        <v>608</v>
      </c>
      <c r="I69" s="84" t="s">
        <v>76</v>
      </c>
      <c r="J69" s="85" t="s">
        <v>77</v>
      </c>
      <c r="K69" s="85" t="s">
        <v>78</v>
      </c>
      <c r="L69" s="85" t="s">
        <v>79</v>
      </c>
      <c r="M69" s="82">
        <v>83</v>
      </c>
      <c r="N69" s="83" t="str">
        <f t="shared" si="21"/>
        <v>Mencapai kompetensi dengan baik dalam hal</v>
      </c>
      <c r="O69" s="82">
        <v>77</v>
      </c>
      <c r="P69" s="83" t="str">
        <f t="shared" si="22"/>
        <v>Mencapai kompetensi dengan baik dalam hal</v>
      </c>
      <c r="Q69" s="82">
        <v>75</v>
      </c>
      <c r="R69" s="83" t="str">
        <f t="shared" si="23"/>
        <v>Mencapai kompetensi dengan baik dalam hal</v>
      </c>
      <c r="S69" s="82">
        <v>83</v>
      </c>
      <c r="T69" s="83" t="str">
        <f t="shared" si="24"/>
        <v>Mencapai kompetensi dengan baik dalam hal</v>
      </c>
      <c r="U69" s="82">
        <v>86</v>
      </c>
      <c r="V69" s="83" t="str">
        <f t="shared" si="25"/>
        <v>Mencapai kompetensi dengan baik dalam hal</v>
      </c>
      <c r="W69" s="82">
        <v>85</v>
      </c>
      <c r="X69" s="83" t="str">
        <f t="shared" si="26"/>
        <v>Mencapai kompetensi dengan baik dalam hal</v>
      </c>
      <c r="Y69" s="82">
        <v>76</v>
      </c>
      <c r="Z69" s="83" t="str">
        <f t="shared" si="27"/>
        <v>Mencapai kompetensi dengan baik dalam hal</v>
      </c>
      <c r="AA69" s="82">
        <v>79</v>
      </c>
      <c r="AB69" s="83" t="str">
        <f t="shared" si="28"/>
        <v>Mencapai kompetensi dengan baik dalam hal</v>
      </c>
      <c r="AC69" s="82">
        <v>84</v>
      </c>
      <c r="AD69" s="83" t="str">
        <f t="shared" si="29"/>
        <v>Mencapai kompetensi dengan baik dalam hal</v>
      </c>
      <c r="AE69" s="82">
        <v>86</v>
      </c>
      <c r="AF69" s="83" t="str">
        <f t="shared" si="30"/>
        <v>Mencapai kompetensi dengan baik dalam hal</v>
      </c>
      <c r="AG69" s="82">
        <v>82</v>
      </c>
      <c r="AH69" s="83" t="str">
        <f t="shared" si="31"/>
        <v>Mencapai kompetensi dengan baik dalam hal</v>
      </c>
      <c r="AI69" s="82">
        <v>82</v>
      </c>
      <c r="AJ69" s="83" t="str">
        <f t="shared" si="32"/>
        <v>Mencapai kompetensi dengan baik dalam hal</v>
      </c>
      <c r="AK69" s="82">
        <v>82</v>
      </c>
      <c r="AL69" s="83" t="str">
        <f t="shared" si="33"/>
        <v>Mencapai kompetensi dengan baik dalam hal</v>
      </c>
      <c r="AM69" s="82">
        <v>82</v>
      </c>
      <c r="AN69" s="83" t="str">
        <f t="shared" si="34"/>
        <v>Mencapai kompetensi dengan baik dalam hal</v>
      </c>
      <c r="AO69" s="75">
        <f t="shared" si="40"/>
        <v>82</v>
      </c>
      <c r="AP69" s="82">
        <v>84</v>
      </c>
      <c r="AQ69" s="83" t="str">
        <f t="shared" si="35"/>
        <v>Mencapai kompetensi dengan baik dalam hal</v>
      </c>
      <c r="AR69" s="82">
        <v>79</v>
      </c>
      <c r="AS69" s="83" t="str">
        <f t="shared" si="36"/>
        <v>Mencapai kompetensi dengan baik dalam hal</v>
      </c>
      <c r="AT69" s="86" t="s">
        <v>81</v>
      </c>
      <c r="AU69" s="86" t="s">
        <v>81</v>
      </c>
      <c r="AV69" s="86" t="s">
        <v>81</v>
      </c>
      <c r="AW69" s="82">
        <v>1</v>
      </c>
      <c r="AX69" s="82" t="s">
        <v>82</v>
      </c>
      <c r="AY69" s="83" t="s">
        <v>83</v>
      </c>
      <c r="AZ69" s="82" t="s">
        <v>84</v>
      </c>
      <c r="BA69" s="83" t="str">
        <f t="shared" si="37"/>
        <v>Baik</v>
      </c>
      <c r="BB69" s="82">
        <v>2</v>
      </c>
      <c r="BC69" s="83" t="s">
        <v>579</v>
      </c>
      <c r="BD69" s="83" t="s">
        <v>83</v>
      </c>
      <c r="BE69" s="82" t="s">
        <v>86</v>
      </c>
      <c r="BF69" s="83" t="str">
        <f t="shared" si="38"/>
        <v>Sangat baik</v>
      </c>
      <c r="BG69" s="82"/>
      <c r="BH69" s="82"/>
      <c r="BI69" s="82"/>
      <c r="BJ69" s="82"/>
      <c r="BK69" s="83"/>
      <c r="BM69" s="81"/>
      <c r="BN69" s="81"/>
      <c r="BO69" s="81"/>
      <c r="BP69" s="81"/>
      <c r="BQ69" s="81"/>
      <c r="BR69" s="81"/>
      <c r="BT69" s="81">
        <f t="shared" si="39"/>
        <v>0</v>
      </c>
    </row>
    <row r="70" spans="1:72" ht="23.25" customHeight="1" x14ac:dyDescent="0.25">
      <c r="A70" s="82">
        <v>69</v>
      </c>
      <c r="B70" s="82">
        <v>2525938</v>
      </c>
      <c r="C70" s="82" t="s">
        <v>672</v>
      </c>
      <c r="D70" s="83" t="s">
        <v>673</v>
      </c>
      <c r="E70" s="82" t="s">
        <v>606</v>
      </c>
      <c r="F70" s="82" t="s">
        <v>530</v>
      </c>
      <c r="G70" s="82" t="s">
        <v>607</v>
      </c>
      <c r="H70" s="82" t="s">
        <v>608</v>
      </c>
      <c r="I70" s="84" t="s">
        <v>76</v>
      </c>
      <c r="J70" s="85" t="s">
        <v>77</v>
      </c>
      <c r="K70" s="85" t="s">
        <v>78</v>
      </c>
      <c r="L70" s="85" t="s">
        <v>79</v>
      </c>
      <c r="M70" s="82">
        <v>83</v>
      </c>
      <c r="N70" s="83" t="str">
        <f t="shared" si="21"/>
        <v>Mencapai kompetensi dengan baik dalam hal</v>
      </c>
      <c r="O70" s="82">
        <v>76</v>
      </c>
      <c r="P70" s="83" t="str">
        <f t="shared" si="22"/>
        <v>Mencapai kompetensi dengan baik dalam hal</v>
      </c>
      <c r="Q70" s="82">
        <v>75</v>
      </c>
      <c r="R70" s="83" t="str">
        <f t="shared" si="23"/>
        <v>Mencapai kompetensi dengan baik dalam hal</v>
      </c>
      <c r="S70" s="82">
        <v>83</v>
      </c>
      <c r="T70" s="83" t="str">
        <f t="shared" si="24"/>
        <v>Mencapai kompetensi dengan baik dalam hal</v>
      </c>
      <c r="U70" s="82">
        <v>86</v>
      </c>
      <c r="V70" s="83" t="str">
        <f t="shared" si="25"/>
        <v>Mencapai kompetensi dengan baik dalam hal</v>
      </c>
      <c r="W70" s="82">
        <v>79</v>
      </c>
      <c r="X70" s="83" t="str">
        <f t="shared" si="26"/>
        <v>Mencapai kompetensi dengan baik dalam hal</v>
      </c>
      <c r="Y70" s="82">
        <v>77</v>
      </c>
      <c r="Z70" s="83" t="str">
        <f t="shared" si="27"/>
        <v>Mencapai kompetensi dengan baik dalam hal</v>
      </c>
      <c r="AA70" s="82">
        <v>79</v>
      </c>
      <c r="AB70" s="83" t="str">
        <f t="shared" si="28"/>
        <v>Mencapai kompetensi dengan baik dalam hal</v>
      </c>
      <c r="AC70" s="82">
        <v>78</v>
      </c>
      <c r="AD70" s="83" t="str">
        <f t="shared" si="29"/>
        <v>Mencapai kompetensi dengan baik dalam hal</v>
      </c>
      <c r="AE70" s="82">
        <v>78</v>
      </c>
      <c r="AF70" s="83" t="str">
        <f t="shared" si="30"/>
        <v>Mencapai kompetensi dengan baik dalam hal</v>
      </c>
      <c r="AG70" s="82">
        <v>83</v>
      </c>
      <c r="AH70" s="83" t="str">
        <f t="shared" si="31"/>
        <v>Mencapai kompetensi dengan baik dalam hal</v>
      </c>
      <c r="AI70" s="82">
        <v>83</v>
      </c>
      <c r="AJ70" s="83" t="str">
        <f t="shared" si="32"/>
        <v>Mencapai kompetensi dengan baik dalam hal</v>
      </c>
      <c r="AK70" s="82">
        <v>83</v>
      </c>
      <c r="AL70" s="83" t="str">
        <f t="shared" si="33"/>
        <v>Mencapai kompetensi dengan baik dalam hal</v>
      </c>
      <c r="AM70" s="82">
        <v>83</v>
      </c>
      <c r="AN70" s="83" t="str">
        <f t="shared" si="34"/>
        <v>Mencapai kompetensi dengan baik dalam hal</v>
      </c>
      <c r="AO70" s="75">
        <f t="shared" si="40"/>
        <v>83</v>
      </c>
      <c r="AP70" s="82">
        <v>78</v>
      </c>
      <c r="AQ70" s="83" t="str">
        <f t="shared" si="35"/>
        <v>Mencapai kompetensi dengan baik dalam hal</v>
      </c>
      <c r="AR70" s="82">
        <v>80</v>
      </c>
      <c r="AS70" s="83" t="str">
        <f t="shared" si="36"/>
        <v>Mencapai kompetensi dengan baik dalam hal</v>
      </c>
      <c r="AT70" s="86">
        <v>1</v>
      </c>
      <c r="AU70" s="86" t="s">
        <v>81</v>
      </c>
      <c r="AV70" s="86" t="s">
        <v>81</v>
      </c>
      <c r="AW70" s="82">
        <v>1</v>
      </c>
      <c r="AX70" s="82" t="s">
        <v>82</v>
      </c>
      <c r="AY70" s="83" t="s">
        <v>83</v>
      </c>
      <c r="AZ70" s="82" t="s">
        <v>84</v>
      </c>
      <c r="BA70" s="83" t="str">
        <f t="shared" si="37"/>
        <v>Baik</v>
      </c>
      <c r="BB70" s="82">
        <v>2</v>
      </c>
      <c r="BC70" s="83" t="s">
        <v>99</v>
      </c>
      <c r="BD70" s="83" t="s">
        <v>83</v>
      </c>
      <c r="BE70" s="82" t="s">
        <v>86</v>
      </c>
      <c r="BF70" s="83" t="str">
        <f t="shared" si="38"/>
        <v>Sangat baik</v>
      </c>
      <c r="BG70" s="82"/>
      <c r="BH70" s="82"/>
      <c r="BI70" s="82"/>
      <c r="BJ70" s="82"/>
      <c r="BK70" s="83"/>
      <c r="BM70" s="81"/>
      <c r="BN70" s="81"/>
      <c r="BO70" s="81"/>
      <c r="BP70" s="81"/>
      <c r="BQ70" s="81"/>
      <c r="BR70" s="81"/>
      <c r="BT70" s="81">
        <f t="shared" si="39"/>
        <v>0</v>
      </c>
    </row>
    <row r="71" spans="1:72" ht="23.25" customHeight="1" x14ac:dyDescent="0.25">
      <c r="A71" s="82">
        <v>70</v>
      </c>
      <c r="B71" s="82">
        <v>2525939</v>
      </c>
      <c r="C71" s="82" t="s">
        <v>674</v>
      </c>
      <c r="D71" s="83" t="s">
        <v>675</v>
      </c>
      <c r="E71" s="82" t="s">
        <v>606</v>
      </c>
      <c r="F71" s="82" t="s">
        <v>530</v>
      </c>
      <c r="G71" s="82" t="s">
        <v>607</v>
      </c>
      <c r="H71" s="82" t="s">
        <v>608</v>
      </c>
      <c r="I71" s="84" t="s">
        <v>76</v>
      </c>
      <c r="J71" s="85" t="s">
        <v>77</v>
      </c>
      <c r="K71" s="85" t="s">
        <v>78</v>
      </c>
      <c r="L71" s="85" t="s">
        <v>79</v>
      </c>
      <c r="M71" s="82">
        <v>79</v>
      </c>
      <c r="N71" s="83" t="str">
        <f t="shared" si="21"/>
        <v>Mencapai kompetensi dengan baik dalam hal</v>
      </c>
      <c r="O71" s="82">
        <v>77</v>
      </c>
      <c r="P71" s="83" t="str">
        <f t="shared" si="22"/>
        <v>Mencapai kompetensi dengan baik dalam hal</v>
      </c>
      <c r="Q71" s="82">
        <v>75</v>
      </c>
      <c r="R71" s="83" t="str">
        <f t="shared" si="23"/>
        <v>Mencapai kompetensi dengan baik dalam hal</v>
      </c>
      <c r="S71" s="82">
        <v>85</v>
      </c>
      <c r="T71" s="83" t="str">
        <f t="shared" si="24"/>
        <v>Mencapai kompetensi dengan baik dalam hal</v>
      </c>
      <c r="U71" s="82">
        <v>78</v>
      </c>
      <c r="V71" s="83" t="str">
        <f t="shared" si="25"/>
        <v>Mencapai kompetensi dengan baik dalam hal</v>
      </c>
      <c r="W71" s="82">
        <v>75</v>
      </c>
      <c r="X71" s="83" t="str">
        <f t="shared" si="26"/>
        <v>Mencapai kompetensi dengan baik dalam hal</v>
      </c>
      <c r="Y71" s="82">
        <v>90</v>
      </c>
      <c r="Z71" s="83" t="str">
        <f t="shared" si="27"/>
        <v>Mencapai kompetensi dengan sangat baik dalam hal</v>
      </c>
      <c r="AA71" s="82">
        <v>76</v>
      </c>
      <c r="AB71" s="83" t="str">
        <f t="shared" si="28"/>
        <v>Mencapai kompetensi dengan baik dalam hal</v>
      </c>
      <c r="AC71" s="82">
        <v>78</v>
      </c>
      <c r="AD71" s="83" t="str">
        <f t="shared" si="29"/>
        <v>Mencapai kompetensi dengan baik dalam hal</v>
      </c>
      <c r="AE71" s="82">
        <v>80</v>
      </c>
      <c r="AF71" s="83" t="str">
        <f t="shared" si="30"/>
        <v>Mencapai kompetensi dengan baik dalam hal</v>
      </c>
      <c r="AG71" s="82">
        <v>78</v>
      </c>
      <c r="AH71" s="83" t="str">
        <f t="shared" si="31"/>
        <v>Mencapai kompetensi dengan baik dalam hal</v>
      </c>
      <c r="AI71" s="82">
        <v>78</v>
      </c>
      <c r="AJ71" s="83" t="str">
        <f t="shared" si="32"/>
        <v>Mencapai kompetensi dengan baik dalam hal</v>
      </c>
      <c r="AK71" s="82">
        <v>78</v>
      </c>
      <c r="AL71" s="83" t="str">
        <f t="shared" si="33"/>
        <v>Mencapai kompetensi dengan baik dalam hal</v>
      </c>
      <c r="AM71" s="82">
        <v>78</v>
      </c>
      <c r="AN71" s="83" t="str">
        <f t="shared" si="34"/>
        <v>Mencapai kompetensi dengan baik dalam hal</v>
      </c>
      <c r="AO71" s="75">
        <f t="shared" si="40"/>
        <v>78</v>
      </c>
      <c r="AP71" s="82">
        <v>78</v>
      </c>
      <c r="AQ71" s="83" t="str">
        <f t="shared" si="35"/>
        <v>Mencapai kompetensi dengan baik dalam hal</v>
      </c>
      <c r="AR71" s="82">
        <v>75</v>
      </c>
      <c r="AS71" s="83" t="str">
        <f t="shared" si="36"/>
        <v>Mencapai kompetensi dengan baik dalam hal</v>
      </c>
      <c r="AT71" s="86" t="s">
        <v>81</v>
      </c>
      <c r="AU71" s="86" t="s">
        <v>81</v>
      </c>
      <c r="AV71" s="86" t="s">
        <v>81</v>
      </c>
      <c r="AW71" s="82">
        <v>1</v>
      </c>
      <c r="AX71" s="82" t="s">
        <v>82</v>
      </c>
      <c r="AY71" s="83" t="s">
        <v>83</v>
      </c>
      <c r="AZ71" s="82" t="s">
        <v>86</v>
      </c>
      <c r="BA71" s="83" t="str">
        <f t="shared" si="37"/>
        <v>Sangat baik</v>
      </c>
      <c r="BB71" s="82">
        <v>2</v>
      </c>
      <c r="BC71" s="83" t="s">
        <v>99</v>
      </c>
      <c r="BD71" s="83" t="s">
        <v>83</v>
      </c>
      <c r="BE71" s="82" t="s">
        <v>84</v>
      </c>
      <c r="BF71" s="83" t="str">
        <f t="shared" si="38"/>
        <v>Baik</v>
      </c>
      <c r="BG71" s="82"/>
      <c r="BH71" s="82"/>
      <c r="BI71" s="82"/>
      <c r="BJ71" s="82"/>
      <c r="BK71" s="83"/>
      <c r="BM71" s="81"/>
      <c r="BN71" s="81"/>
      <c r="BO71" s="81"/>
      <c r="BP71" s="81"/>
      <c r="BQ71" s="81"/>
      <c r="BR71" s="81"/>
      <c r="BT71" s="81">
        <f t="shared" si="39"/>
        <v>0</v>
      </c>
    </row>
    <row r="72" spans="1:72" ht="23.25" customHeight="1" x14ac:dyDescent="0.25">
      <c r="A72" s="82">
        <v>71</v>
      </c>
      <c r="B72" s="82">
        <v>2525940</v>
      </c>
      <c r="C72" s="82" t="s">
        <v>676</v>
      </c>
      <c r="D72" s="83" t="s">
        <v>677</v>
      </c>
      <c r="E72" s="82" t="s">
        <v>606</v>
      </c>
      <c r="F72" s="82" t="s">
        <v>530</v>
      </c>
      <c r="G72" s="82" t="s">
        <v>607</v>
      </c>
      <c r="H72" s="82" t="s">
        <v>608</v>
      </c>
      <c r="I72" s="84" t="s">
        <v>76</v>
      </c>
      <c r="J72" s="85" t="s">
        <v>77</v>
      </c>
      <c r="K72" s="85" t="s">
        <v>78</v>
      </c>
      <c r="L72" s="85" t="s">
        <v>79</v>
      </c>
      <c r="M72" s="82">
        <v>82</v>
      </c>
      <c r="N72" s="83" t="str">
        <f t="shared" si="21"/>
        <v>Mencapai kompetensi dengan baik dalam hal</v>
      </c>
      <c r="O72" s="82">
        <v>76</v>
      </c>
      <c r="P72" s="83" t="str">
        <f t="shared" si="22"/>
        <v>Mencapai kompetensi dengan baik dalam hal</v>
      </c>
      <c r="Q72" s="82">
        <v>75</v>
      </c>
      <c r="R72" s="83" t="str">
        <f t="shared" si="23"/>
        <v>Mencapai kompetensi dengan baik dalam hal</v>
      </c>
      <c r="S72" s="82">
        <v>81</v>
      </c>
      <c r="T72" s="83" t="str">
        <f t="shared" si="24"/>
        <v>Mencapai kompetensi dengan baik dalam hal</v>
      </c>
      <c r="U72" s="82">
        <v>78</v>
      </c>
      <c r="V72" s="83" t="str">
        <f t="shared" si="25"/>
        <v>Mencapai kompetensi dengan baik dalam hal</v>
      </c>
      <c r="W72" s="82">
        <v>75</v>
      </c>
      <c r="X72" s="83" t="str">
        <f t="shared" si="26"/>
        <v>Mencapai kompetensi dengan baik dalam hal</v>
      </c>
      <c r="Y72" s="82">
        <v>75</v>
      </c>
      <c r="Z72" s="83" t="str">
        <f t="shared" si="27"/>
        <v>Mencapai kompetensi dengan baik dalam hal</v>
      </c>
      <c r="AA72" s="82">
        <v>76</v>
      </c>
      <c r="AB72" s="83" t="str">
        <f t="shared" si="28"/>
        <v>Mencapai kompetensi dengan baik dalam hal</v>
      </c>
      <c r="AC72" s="82">
        <v>72</v>
      </c>
      <c r="AD72" s="83" t="str">
        <f t="shared" si="29"/>
        <v>Perlu peningkatan dalam hal</v>
      </c>
      <c r="AE72" s="82">
        <v>78</v>
      </c>
      <c r="AF72" s="83" t="str">
        <f t="shared" si="30"/>
        <v>Mencapai kompetensi dengan baik dalam hal</v>
      </c>
      <c r="AG72" s="82">
        <v>76</v>
      </c>
      <c r="AH72" s="83" t="str">
        <f t="shared" si="31"/>
        <v>Mencapai kompetensi dengan baik dalam hal</v>
      </c>
      <c r="AI72" s="82">
        <v>76</v>
      </c>
      <c r="AJ72" s="83" t="str">
        <f t="shared" si="32"/>
        <v>Mencapai kompetensi dengan baik dalam hal</v>
      </c>
      <c r="AK72" s="82">
        <v>76</v>
      </c>
      <c r="AL72" s="83" t="str">
        <f t="shared" si="33"/>
        <v>Mencapai kompetensi dengan baik dalam hal</v>
      </c>
      <c r="AM72" s="82">
        <v>76</v>
      </c>
      <c r="AN72" s="83" t="str">
        <f t="shared" si="34"/>
        <v>Mencapai kompetensi dengan baik dalam hal</v>
      </c>
      <c r="AO72" s="75">
        <f t="shared" si="40"/>
        <v>76</v>
      </c>
      <c r="AP72" s="82">
        <v>72</v>
      </c>
      <c r="AQ72" s="83" t="str">
        <f t="shared" si="35"/>
        <v>Perlu peningkatan dalam hal</v>
      </c>
      <c r="AR72" s="82">
        <v>75</v>
      </c>
      <c r="AS72" s="83" t="str">
        <f t="shared" si="36"/>
        <v>Mencapai kompetensi dengan baik dalam hal</v>
      </c>
      <c r="AT72" s="86">
        <v>14</v>
      </c>
      <c r="AU72" s="86" t="s">
        <v>81</v>
      </c>
      <c r="AV72" s="86" t="s">
        <v>81</v>
      </c>
      <c r="AW72" s="82">
        <v>1</v>
      </c>
      <c r="AX72" s="82" t="s">
        <v>82</v>
      </c>
      <c r="AY72" s="83" t="s">
        <v>83</v>
      </c>
      <c r="AZ72" s="82" t="s">
        <v>84</v>
      </c>
      <c r="BA72" s="83" t="str">
        <f t="shared" si="37"/>
        <v>Baik</v>
      </c>
      <c r="BB72" s="82">
        <v>2</v>
      </c>
      <c r="BC72" s="83" t="s">
        <v>579</v>
      </c>
      <c r="BD72" s="83" t="s">
        <v>83</v>
      </c>
      <c r="BE72" s="82" t="s">
        <v>84</v>
      </c>
      <c r="BF72" s="83" t="str">
        <f t="shared" si="38"/>
        <v>Baik</v>
      </c>
      <c r="BG72" s="82"/>
      <c r="BH72" s="82"/>
      <c r="BI72" s="82"/>
      <c r="BJ72" s="82"/>
      <c r="BK72" s="83"/>
      <c r="BM72" s="81"/>
      <c r="BN72" s="81"/>
      <c r="BO72" s="81"/>
      <c r="BP72" s="81"/>
      <c r="BQ72" s="81"/>
      <c r="BR72" s="81"/>
      <c r="BT72" s="81">
        <f t="shared" si="39"/>
        <v>2</v>
      </c>
    </row>
    <row r="73" spans="1:72" s="94" customFormat="1" ht="23.25" customHeight="1" x14ac:dyDescent="0.25">
      <c r="A73" s="82">
        <v>72</v>
      </c>
      <c r="B73" s="82">
        <v>2525941</v>
      </c>
      <c r="C73" s="82" t="s">
        <v>678</v>
      </c>
      <c r="D73" s="83" t="s">
        <v>679</v>
      </c>
      <c r="E73" s="82" t="s">
        <v>606</v>
      </c>
      <c r="F73" s="82" t="s">
        <v>530</v>
      </c>
      <c r="G73" s="82" t="s">
        <v>607</v>
      </c>
      <c r="H73" s="82" t="s">
        <v>608</v>
      </c>
      <c r="I73" s="84" t="s">
        <v>76</v>
      </c>
      <c r="J73" s="85" t="s">
        <v>77</v>
      </c>
      <c r="K73" s="85" t="s">
        <v>78</v>
      </c>
      <c r="L73" s="85" t="s">
        <v>79</v>
      </c>
      <c r="M73" s="82">
        <v>84</v>
      </c>
      <c r="N73" s="83" t="str">
        <f t="shared" si="21"/>
        <v>Mencapai kompetensi dengan baik dalam hal</v>
      </c>
      <c r="O73" s="82">
        <v>75</v>
      </c>
      <c r="P73" s="83" t="str">
        <f t="shared" si="22"/>
        <v>Mencapai kompetensi dengan baik dalam hal</v>
      </c>
      <c r="Q73" s="82">
        <v>75</v>
      </c>
      <c r="R73" s="83" t="str">
        <f t="shared" si="23"/>
        <v>Mencapai kompetensi dengan baik dalam hal</v>
      </c>
      <c r="S73" s="82">
        <v>81</v>
      </c>
      <c r="T73" s="83" t="str">
        <f t="shared" si="24"/>
        <v>Mencapai kompetensi dengan baik dalam hal</v>
      </c>
      <c r="U73" s="82">
        <v>76</v>
      </c>
      <c r="V73" s="83" t="str">
        <f t="shared" si="25"/>
        <v>Mencapai kompetensi dengan baik dalam hal</v>
      </c>
      <c r="W73" s="82">
        <v>75</v>
      </c>
      <c r="X73" s="83" t="str">
        <f t="shared" si="26"/>
        <v>Mencapai kompetensi dengan baik dalam hal</v>
      </c>
      <c r="Y73" s="82">
        <v>76</v>
      </c>
      <c r="Z73" s="83" t="str">
        <f t="shared" si="27"/>
        <v>Mencapai kompetensi dengan baik dalam hal</v>
      </c>
      <c r="AA73" s="82">
        <v>77</v>
      </c>
      <c r="AB73" s="83" t="str">
        <f t="shared" si="28"/>
        <v>Mencapai kompetensi dengan baik dalam hal</v>
      </c>
      <c r="AC73" s="82">
        <v>78</v>
      </c>
      <c r="AD73" s="83" t="str">
        <f t="shared" si="29"/>
        <v>Mencapai kompetensi dengan baik dalam hal</v>
      </c>
      <c r="AE73" s="82">
        <v>80</v>
      </c>
      <c r="AF73" s="83" t="str">
        <f t="shared" si="30"/>
        <v>Mencapai kompetensi dengan baik dalam hal</v>
      </c>
      <c r="AG73" s="82">
        <v>79</v>
      </c>
      <c r="AH73" s="83" t="str">
        <f t="shared" si="31"/>
        <v>Mencapai kompetensi dengan baik dalam hal</v>
      </c>
      <c r="AI73" s="82">
        <v>79</v>
      </c>
      <c r="AJ73" s="83" t="str">
        <f t="shared" si="32"/>
        <v>Mencapai kompetensi dengan baik dalam hal</v>
      </c>
      <c r="AK73" s="82">
        <v>79</v>
      </c>
      <c r="AL73" s="83" t="str">
        <f t="shared" si="33"/>
        <v>Mencapai kompetensi dengan baik dalam hal</v>
      </c>
      <c r="AM73" s="82">
        <v>79</v>
      </c>
      <c r="AN73" s="83" t="str">
        <f t="shared" si="34"/>
        <v>Mencapai kompetensi dengan baik dalam hal</v>
      </c>
      <c r="AO73" s="75">
        <f t="shared" si="40"/>
        <v>79</v>
      </c>
      <c r="AP73" s="82">
        <v>78</v>
      </c>
      <c r="AQ73" s="83" t="str">
        <f t="shared" si="35"/>
        <v>Mencapai kompetensi dengan baik dalam hal</v>
      </c>
      <c r="AR73" s="82">
        <v>75</v>
      </c>
      <c r="AS73" s="83" t="str">
        <f t="shared" si="36"/>
        <v>Mencapai kompetensi dengan baik dalam hal</v>
      </c>
      <c r="AT73" s="86">
        <v>1</v>
      </c>
      <c r="AU73" s="86" t="s">
        <v>81</v>
      </c>
      <c r="AV73" s="86" t="s">
        <v>81</v>
      </c>
      <c r="AW73" s="82">
        <v>1</v>
      </c>
      <c r="AX73" s="82" t="s">
        <v>82</v>
      </c>
      <c r="AY73" s="83" t="s">
        <v>83</v>
      </c>
      <c r="AZ73" s="82" t="s">
        <v>86</v>
      </c>
      <c r="BA73" s="83" t="str">
        <f t="shared" si="37"/>
        <v>Sangat baik</v>
      </c>
      <c r="BB73" s="82">
        <v>2</v>
      </c>
      <c r="BC73" s="83" t="s">
        <v>170</v>
      </c>
      <c r="BD73" s="83" t="s">
        <v>83</v>
      </c>
      <c r="BE73" s="82" t="s">
        <v>86</v>
      </c>
      <c r="BF73" s="83" t="str">
        <f t="shared" si="38"/>
        <v>Sangat baik</v>
      </c>
      <c r="BG73" s="82"/>
      <c r="BH73" s="82"/>
      <c r="BI73" s="82"/>
      <c r="BJ73" s="82"/>
      <c r="BK73" s="83"/>
      <c r="BM73" s="95"/>
      <c r="BN73" s="95"/>
      <c r="BO73" s="95"/>
      <c r="BP73" s="95"/>
      <c r="BQ73" s="95"/>
      <c r="BR73" s="95"/>
      <c r="BT73" s="95">
        <f t="shared" si="39"/>
        <v>0</v>
      </c>
    </row>
    <row r="74" spans="1:72" ht="23.25" customHeight="1" x14ac:dyDescent="0.25">
      <c r="A74" s="82">
        <v>73</v>
      </c>
      <c r="B74" s="82">
        <v>2525942</v>
      </c>
      <c r="C74" s="82" t="s">
        <v>680</v>
      </c>
      <c r="D74" s="83" t="s">
        <v>681</v>
      </c>
      <c r="E74" s="82" t="s">
        <v>682</v>
      </c>
      <c r="F74" s="82" t="s">
        <v>530</v>
      </c>
      <c r="G74" s="82" t="s">
        <v>683</v>
      </c>
      <c r="H74" s="82" t="s">
        <v>684</v>
      </c>
      <c r="I74" s="84" t="s">
        <v>76</v>
      </c>
      <c r="J74" s="85" t="s">
        <v>77</v>
      </c>
      <c r="K74" s="85" t="s">
        <v>78</v>
      </c>
      <c r="L74" s="85" t="s">
        <v>79</v>
      </c>
      <c r="M74" s="82">
        <v>83</v>
      </c>
      <c r="N74" s="83" t="str">
        <f t="shared" si="21"/>
        <v>Mencapai kompetensi dengan baik dalam hal</v>
      </c>
      <c r="O74" s="82">
        <v>78</v>
      </c>
      <c r="P74" s="83" t="str">
        <f t="shared" si="22"/>
        <v>Mencapai kompetensi dengan baik dalam hal</v>
      </c>
      <c r="Q74" s="82">
        <v>81</v>
      </c>
      <c r="R74" s="83" t="str">
        <f t="shared" si="23"/>
        <v>Mencapai kompetensi dengan baik dalam hal</v>
      </c>
      <c r="S74" s="82">
        <v>79</v>
      </c>
      <c r="T74" s="83" t="str">
        <f t="shared" si="24"/>
        <v>Mencapai kompetensi dengan baik dalam hal</v>
      </c>
      <c r="U74" s="82">
        <v>75</v>
      </c>
      <c r="V74" s="83" t="str">
        <f t="shared" si="25"/>
        <v>Mencapai kompetensi dengan baik dalam hal</v>
      </c>
      <c r="W74" s="82">
        <v>83</v>
      </c>
      <c r="X74" s="83" t="str">
        <f t="shared" si="26"/>
        <v>Mencapai kompetensi dengan baik dalam hal</v>
      </c>
      <c r="Y74" s="82">
        <v>76</v>
      </c>
      <c r="Z74" s="83" t="str">
        <f t="shared" si="27"/>
        <v>Mencapai kompetensi dengan baik dalam hal</v>
      </c>
      <c r="AA74" s="82">
        <v>77</v>
      </c>
      <c r="AB74" s="83" t="str">
        <f t="shared" si="28"/>
        <v>Mencapai kompetensi dengan baik dalam hal</v>
      </c>
      <c r="AC74" s="82">
        <v>84</v>
      </c>
      <c r="AD74" s="83" t="str">
        <f t="shared" si="29"/>
        <v>Mencapai kompetensi dengan baik dalam hal</v>
      </c>
      <c r="AE74" s="82">
        <v>85</v>
      </c>
      <c r="AF74" s="83" t="str">
        <f t="shared" si="30"/>
        <v>Mencapai kompetensi dengan baik dalam hal</v>
      </c>
      <c r="AG74" s="82">
        <v>83</v>
      </c>
      <c r="AH74" s="83" t="str">
        <f t="shared" si="31"/>
        <v>Mencapai kompetensi dengan baik dalam hal</v>
      </c>
      <c r="AI74" s="82">
        <v>83</v>
      </c>
      <c r="AJ74" s="83" t="str">
        <f t="shared" si="32"/>
        <v>Mencapai kompetensi dengan baik dalam hal</v>
      </c>
      <c r="AK74" s="82">
        <v>83</v>
      </c>
      <c r="AL74" s="83" t="str">
        <f t="shared" si="33"/>
        <v>Mencapai kompetensi dengan baik dalam hal</v>
      </c>
      <c r="AM74" s="82">
        <v>83</v>
      </c>
      <c r="AN74" s="83" t="str">
        <f t="shared" si="34"/>
        <v>Mencapai kompetensi dengan baik dalam hal</v>
      </c>
      <c r="AO74" s="75">
        <f t="shared" si="40"/>
        <v>83</v>
      </c>
      <c r="AP74" s="82">
        <v>84</v>
      </c>
      <c r="AQ74" s="83" t="str">
        <f t="shared" si="35"/>
        <v>Mencapai kompetensi dengan baik dalam hal</v>
      </c>
      <c r="AR74" s="82">
        <v>79</v>
      </c>
      <c r="AS74" s="83" t="str">
        <f t="shared" si="36"/>
        <v>Mencapai kompetensi dengan baik dalam hal</v>
      </c>
      <c r="AT74" s="86">
        <v>5</v>
      </c>
      <c r="AU74" s="86" t="s">
        <v>81</v>
      </c>
      <c r="AV74" s="86" t="s">
        <v>81</v>
      </c>
      <c r="AW74" s="82">
        <v>1</v>
      </c>
      <c r="AX74" s="82" t="s">
        <v>82</v>
      </c>
      <c r="AY74" s="83" t="s">
        <v>83</v>
      </c>
      <c r="AZ74" s="82" t="s">
        <v>84</v>
      </c>
      <c r="BA74" s="83" t="str">
        <f t="shared" si="37"/>
        <v>Baik</v>
      </c>
      <c r="BB74" s="82">
        <v>2</v>
      </c>
      <c r="BC74" s="83" t="s">
        <v>134</v>
      </c>
      <c r="BD74" s="83" t="s">
        <v>83</v>
      </c>
      <c r="BE74" s="82" t="s">
        <v>84</v>
      </c>
      <c r="BF74" s="83" t="str">
        <f t="shared" si="38"/>
        <v>Baik</v>
      </c>
      <c r="BG74" s="82"/>
      <c r="BH74" s="82"/>
      <c r="BI74" s="82"/>
      <c r="BJ74" s="82"/>
      <c r="BK74" s="83"/>
      <c r="BM74" s="81"/>
      <c r="BN74" s="81"/>
      <c r="BO74" s="81"/>
      <c r="BP74" s="81"/>
      <c r="BQ74" s="81"/>
      <c r="BR74" s="81"/>
      <c r="BT74" s="81">
        <f t="shared" si="39"/>
        <v>0</v>
      </c>
    </row>
    <row r="75" spans="1:72" ht="23.25" customHeight="1" x14ac:dyDescent="0.25">
      <c r="A75" s="82">
        <v>74</v>
      </c>
      <c r="B75" s="82">
        <v>2525943</v>
      </c>
      <c r="C75" s="82" t="s">
        <v>685</v>
      </c>
      <c r="D75" s="83" t="s">
        <v>686</v>
      </c>
      <c r="E75" s="82" t="s">
        <v>682</v>
      </c>
      <c r="F75" s="82" t="s">
        <v>530</v>
      </c>
      <c r="G75" s="82" t="s">
        <v>683</v>
      </c>
      <c r="H75" s="82" t="s">
        <v>684</v>
      </c>
      <c r="I75" s="84" t="s">
        <v>76</v>
      </c>
      <c r="J75" s="85" t="s">
        <v>77</v>
      </c>
      <c r="K75" s="85" t="s">
        <v>78</v>
      </c>
      <c r="L75" s="85" t="s">
        <v>79</v>
      </c>
      <c r="M75" s="82">
        <v>78</v>
      </c>
      <c r="N75" s="83" t="str">
        <f t="shared" si="21"/>
        <v>Mencapai kompetensi dengan baik dalam hal</v>
      </c>
      <c r="O75" s="82">
        <v>76</v>
      </c>
      <c r="P75" s="83" t="str">
        <f t="shared" si="22"/>
        <v>Mencapai kompetensi dengan baik dalam hal</v>
      </c>
      <c r="Q75" s="82">
        <v>80</v>
      </c>
      <c r="R75" s="83" t="str">
        <f t="shared" si="23"/>
        <v>Mencapai kompetensi dengan baik dalam hal</v>
      </c>
      <c r="S75" s="82">
        <v>78</v>
      </c>
      <c r="T75" s="83" t="str">
        <f t="shared" si="24"/>
        <v>Mencapai kompetensi dengan baik dalam hal</v>
      </c>
      <c r="U75" s="82">
        <v>75</v>
      </c>
      <c r="V75" s="83" t="str">
        <f t="shared" si="25"/>
        <v>Mencapai kompetensi dengan baik dalam hal</v>
      </c>
      <c r="W75" s="82">
        <v>78</v>
      </c>
      <c r="X75" s="83" t="str">
        <f t="shared" si="26"/>
        <v>Mencapai kompetensi dengan baik dalam hal</v>
      </c>
      <c r="Y75" s="82">
        <v>75</v>
      </c>
      <c r="Z75" s="83" t="str">
        <f t="shared" si="27"/>
        <v>Mencapai kompetensi dengan baik dalam hal</v>
      </c>
      <c r="AA75" s="82">
        <v>76</v>
      </c>
      <c r="AB75" s="83" t="str">
        <f t="shared" si="28"/>
        <v>Mencapai kompetensi dengan baik dalam hal</v>
      </c>
      <c r="AC75" s="82">
        <v>79</v>
      </c>
      <c r="AD75" s="83" t="str">
        <f t="shared" si="29"/>
        <v>Mencapai kompetensi dengan baik dalam hal</v>
      </c>
      <c r="AE75" s="82">
        <v>80</v>
      </c>
      <c r="AF75" s="83" t="str">
        <f t="shared" si="30"/>
        <v>Mencapai kompetensi dengan baik dalam hal</v>
      </c>
      <c r="AG75" s="82">
        <v>76</v>
      </c>
      <c r="AH75" s="83" t="str">
        <f t="shared" si="31"/>
        <v>Mencapai kompetensi dengan baik dalam hal</v>
      </c>
      <c r="AI75" s="82">
        <v>76</v>
      </c>
      <c r="AJ75" s="83" t="str">
        <f t="shared" si="32"/>
        <v>Mencapai kompetensi dengan baik dalam hal</v>
      </c>
      <c r="AK75" s="82">
        <v>76</v>
      </c>
      <c r="AL75" s="83" t="str">
        <f t="shared" si="33"/>
        <v>Mencapai kompetensi dengan baik dalam hal</v>
      </c>
      <c r="AM75" s="82">
        <v>76</v>
      </c>
      <c r="AN75" s="83" t="str">
        <f t="shared" si="34"/>
        <v>Mencapai kompetensi dengan baik dalam hal</v>
      </c>
      <c r="AO75" s="75">
        <f t="shared" si="40"/>
        <v>76</v>
      </c>
      <c r="AP75" s="82">
        <v>79</v>
      </c>
      <c r="AQ75" s="83" t="str">
        <f t="shared" si="35"/>
        <v>Mencapai kompetensi dengan baik dalam hal</v>
      </c>
      <c r="AR75" s="82">
        <v>78</v>
      </c>
      <c r="AS75" s="83" t="str">
        <f t="shared" si="36"/>
        <v>Mencapai kompetensi dengan baik dalam hal</v>
      </c>
      <c r="AT75" s="86">
        <v>2</v>
      </c>
      <c r="AU75" s="86" t="s">
        <v>81</v>
      </c>
      <c r="AV75" s="86" t="s">
        <v>81</v>
      </c>
      <c r="AW75" s="82">
        <v>1</v>
      </c>
      <c r="AX75" s="82" t="s">
        <v>82</v>
      </c>
      <c r="AY75" s="83" t="s">
        <v>83</v>
      </c>
      <c r="AZ75" s="82" t="s">
        <v>86</v>
      </c>
      <c r="BA75" s="83" t="str">
        <f t="shared" si="37"/>
        <v>Sangat baik</v>
      </c>
      <c r="BB75" s="82">
        <v>2</v>
      </c>
      <c r="BC75" s="83" t="s">
        <v>99</v>
      </c>
      <c r="BD75" s="83" t="s">
        <v>83</v>
      </c>
      <c r="BE75" s="82" t="s">
        <v>86</v>
      </c>
      <c r="BF75" s="83" t="str">
        <f t="shared" si="38"/>
        <v>Sangat baik</v>
      </c>
      <c r="BG75" s="82"/>
      <c r="BH75" s="82"/>
      <c r="BI75" s="82"/>
      <c r="BJ75" s="82"/>
      <c r="BK75" s="83"/>
      <c r="BM75" s="81"/>
      <c r="BN75" s="81"/>
      <c r="BO75" s="81"/>
      <c r="BP75" s="81"/>
      <c r="BQ75" s="81"/>
      <c r="BR75" s="81"/>
      <c r="BT75" s="81">
        <f t="shared" si="39"/>
        <v>0</v>
      </c>
    </row>
    <row r="76" spans="1:72" ht="23.25" customHeight="1" x14ac:dyDescent="0.25">
      <c r="A76" s="82">
        <v>75</v>
      </c>
      <c r="B76" s="82">
        <v>2525944</v>
      </c>
      <c r="C76" s="82" t="s">
        <v>687</v>
      </c>
      <c r="D76" s="83" t="s">
        <v>688</v>
      </c>
      <c r="E76" s="82" t="s">
        <v>682</v>
      </c>
      <c r="F76" s="82" t="s">
        <v>530</v>
      </c>
      <c r="G76" s="82" t="s">
        <v>683</v>
      </c>
      <c r="H76" s="82" t="s">
        <v>684</v>
      </c>
      <c r="I76" s="84" t="s">
        <v>76</v>
      </c>
      <c r="J76" s="85" t="s">
        <v>77</v>
      </c>
      <c r="K76" s="85" t="s">
        <v>78</v>
      </c>
      <c r="L76" s="85" t="s">
        <v>79</v>
      </c>
      <c r="M76" s="82">
        <v>76</v>
      </c>
      <c r="N76" s="83" t="str">
        <f t="shared" si="21"/>
        <v>Mencapai kompetensi dengan baik dalam hal</v>
      </c>
      <c r="O76" s="82">
        <v>75</v>
      </c>
      <c r="P76" s="83" t="str">
        <f t="shared" si="22"/>
        <v>Mencapai kompetensi dengan baik dalam hal</v>
      </c>
      <c r="Q76" s="82">
        <v>77</v>
      </c>
      <c r="R76" s="83" t="str">
        <f t="shared" si="23"/>
        <v>Mencapai kompetensi dengan baik dalam hal</v>
      </c>
      <c r="S76" s="82">
        <v>78</v>
      </c>
      <c r="T76" s="83" t="str">
        <f t="shared" si="24"/>
        <v>Mencapai kompetensi dengan baik dalam hal</v>
      </c>
      <c r="U76" s="82">
        <v>75</v>
      </c>
      <c r="V76" s="83" t="str">
        <f t="shared" si="25"/>
        <v>Mencapai kompetensi dengan baik dalam hal</v>
      </c>
      <c r="W76" s="82">
        <v>77</v>
      </c>
      <c r="X76" s="83" t="str">
        <f t="shared" si="26"/>
        <v>Mencapai kompetensi dengan baik dalam hal</v>
      </c>
      <c r="Y76" s="82">
        <v>77</v>
      </c>
      <c r="Z76" s="83" t="str">
        <f t="shared" si="27"/>
        <v>Mencapai kompetensi dengan baik dalam hal</v>
      </c>
      <c r="AA76" s="82">
        <v>75</v>
      </c>
      <c r="AB76" s="83" t="str">
        <f t="shared" si="28"/>
        <v>Mencapai kompetensi dengan baik dalam hal</v>
      </c>
      <c r="AC76" s="82">
        <v>76</v>
      </c>
      <c r="AD76" s="83" t="str">
        <f t="shared" si="29"/>
        <v>Mencapai kompetensi dengan baik dalam hal</v>
      </c>
      <c r="AE76" s="82">
        <v>80</v>
      </c>
      <c r="AF76" s="83" t="str">
        <f t="shared" si="30"/>
        <v>Mencapai kompetensi dengan baik dalam hal</v>
      </c>
      <c r="AG76" s="82">
        <v>76</v>
      </c>
      <c r="AH76" s="83" t="str">
        <f t="shared" si="31"/>
        <v>Mencapai kompetensi dengan baik dalam hal</v>
      </c>
      <c r="AI76" s="82">
        <v>76</v>
      </c>
      <c r="AJ76" s="83" t="str">
        <f t="shared" si="32"/>
        <v>Mencapai kompetensi dengan baik dalam hal</v>
      </c>
      <c r="AK76" s="82">
        <v>76</v>
      </c>
      <c r="AL76" s="83" t="str">
        <f t="shared" si="33"/>
        <v>Mencapai kompetensi dengan baik dalam hal</v>
      </c>
      <c r="AM76" s="82">
        <v>76</v>
      </c>
      <c r="AN76" s="83" t="str">
        <f t="shared" si="34"/>
        <v>Mencapai kompetensi dengan baik dalam hal</v>
      </c>
      <c r="AO76" s="75">
        <f t="shared" si="40"/>
        <v>76</v>
      </c>
      <c r="AP76" s="82">
        <v>76</v>
      </c>
      <c r="AQ76" s="83" t="str">
        <f t="shared" si="35"/>
        <v>Mencapai kompetensi dengan baik dalam hal</v>
      </c>
      <c r="AR76" s="82">
        <v>76</v>
      </c>
      <c r="AS76" s="83" t="str">
        <f t="shared" si="36"/>
        <v>Mencapai kompetensi dengan baik dalam hal</v>
      </c>
      <c r="AT76" s="86">
        <v>2</v>
      </c>
      <c r="AU76" s="86" t="s">
        <v>81</v>
      </c>
      <c r="AV76" s="86" t="s">
        <v>81</v>
      </c>
      <c r="AW76" s="82">
        <v>1</v>
      </c>
      <c r="AX76" s="82" t="s">
        <v>82</v>
      </c>
      <c r="AY76" s="83" t="s">
        <v>83</v>
      </c>
      <c r="AZ76" s="82" t="s">
        <v>110</v>
      </c>
      <c r="BA76" s="83" t="str">
        <f t="shared" si="37"/>
        <v>Kurang</v>
      </c>
      <c r="BB76" s="82">
        <v>2</v>
      </c>
      <c r="BC76" s="83" t="s">
        <v>108</v>
      </c>
      <c r="BD76" s="83" t="s">
        <v>83</v>
      </c>
      <c r="BE76" s="82" t="s">
        <v>86</v>
      </c>
      <c r="BF76" s="83" t="str">
        <f t="shared" si="38"/>
        <v>Sangat baik</v>
      </c>
      <c r="BG76" s="82"/>
      <c r="BH76" s="82"/>
      <c r="BI76" s="82"/>
      <c r="BJ76" s="82"/>
      <c r="BK76" s="83"/>
      <c r="BM76" s="81"/>
      <c r="BN76" s="81"/>
      <c r="BO76" s="81"/>
      <c r="BP76" s="81"/>
      <c r="BQ76" s="81"/>
      <c r="BR76" s="81"/>
      <c r="BT76" s="81">
        <f t="shared" si="39"/>
        <v>0</v>
      </c>
    </row>
    <row r="77" spans="1:72" ht="23.25" customHeight="1" x14ac:dyDescent="0.25">
      <c r="A77" s="82">
        <v>76</v>
      </c>
      <c r="B77" s="82">
        <v>2525945</v>
      </c>
      <c r="C77" s="82" t="s">
        <v>689</v>
      </c>
      <c r="D77" s="83" t="s">
        <v>690</v>
      </c>
      <c r="E77" s="82" t="s">
        <v>682</v>
      </c>
      <c r="F77" s="82" t="s">
        <v>530</v>
      </c>
      <c r="G77" s="82" t="s">
        <v>683</v>
      </c>
      <c r="H77" s="82" t="s">
        <v>684</v>
      </c>
      <c r="I77" s="84" t="s">
        <v>76</v>
      </c>
      <c r="J77" s="85" t="s">
        <v>77</v>
      </c>
      <c r="K77" s="85" t="s">
        <v>78</v>
      </c>
      <c r="L77" s="85" t="s">
        <v>79</v>
      </c>
      <c r="M77" s="82">
        <v>79</v>
      </c>
      <c r="N77" s="83" t="str">
        <f t="shared" si="21"/>
        <v>Mencapai kompetensi dengan baik dalam hal</v>
      </c>
      <c r="O77" s="82">
        <v>77</v>
      </c>
      <c r="P77" s="83" t="str">
        <f t="shared" si="22"/>
        <v>Mencapai kompetensi dengan baik dalam hal</v>
      </c>
      <c r="Q77" s="82">
        <v>81</v>
      </c>
      <c r="R77" s="83" t="str">
        <f t="shared" si="23"/>
        <v>Mencapai kompetensi dengan baik dalam hal</v>
      </c>
      <c r="S77" s="82">
        <v>80</v>
      </c>
      <c r="T77" s="83" t="str">
        <f t="shared" si="24"/>
        <v>Mencapai kompetensi dengan baik dalam hal</v>
      </c>
      <c r="U77" s="82">
        <v>77</v>
      </c>
      <c r="V77" s="83" t="str">
        <f t="shared" si="25"/>
        <v>Mencapai kompetensi dengan baik dalam hal</v>
      </c>
      <c r="W77" s="82">
        <v>85</v>
      </c>
      <c r="X77" s="83" t="str">
        <f t="shared" si="26"/>
        <v>Mencapai kompetensi dengan baik dalam hal</v>
      </c>
      <c r="Y77" s="82">
        <v>78</v>
      </c>
      <c r="Z77" s="83" t="str">
        <f t="shared" si="27"/>
        <v>Mencapai kompetensi dengan baik dalam hal</v>
      </c>
      <c r="AA77" s="82">
        <v>78</v>
      </c>
      <c r="AB77" s="83" t="str">
        <f t="shared" si="28"/>
        <v>Mencapai kompetensi dengan baik dalam hal</v>
      </c>
      <c r="AC77" s="82">
        <v>88</v>
      </c>
      <c r="AD77" s="83" t="str">
        <f t="shared" si="29"/>
        <v>Mencapai kompetensi dengan baik dalam hal</v>
      </c>
      <c r="AE77" s="82">
        <v>87</v>
      </c>
      <c r="AF77" s="83" t="str">
        <f t="shared" si="30"/>
        <v>Mencapai kompetensi dengan baik dalam hal</v>
      </c>
      <c r="AG77" s="82">
        <v>83</v>
      </c>
      <c r="AH77" s="83" t="str">
        <f t="shared" si="31"/>
        <v>Mencapai kompetensi dengan baik dalam hal</v>
      </c>
      <c r="AI77" s="82">
        <v>83</v>
      </c>
      <c r="AJ77" s="83" t="str">
        <f t="shared" si="32"/>
        <v>Mencapai kompetensi dengan baik dalam hal</v>
      </c>
      <c r="AK77" s="82">
        <v>83</v>
      </c>
      <c r="AL77" s="83" t="str">
        <f t="shared" si="33"/>
        <v>Mencapai kompetensi dengan baik dalam hal</v>
      </c>
      <c r="AM77" s="82">
        <v>83</v>
      </c>
      <c r="AN77" s="83" t="str">
        <f t="shared" si="34"/>
        <v>Mencapai kompetensi dengan baik dalam hal</v>
      </c>
      <c r="AO77" s="75">
        <f t="shared" si="40"/>
        <v>83</v>
      </c>
      <c r="AP77" s="82">
        <v>88</v>
      </c>
      <c r="AQ77" s="83" t="str">
        <f t="shared" si="35"/>
        <v>Mencapai kompetensi dengan baik dalam hal</v>
      </c>
      <c r="AR77" s="82">
        <v>79</v>
      </c>
      <c r="AS77" s="83" t="str">
        <f t="shared" si="36"/>
        <v>Mencapai kompetensi dengan baik dalam hal</v>
      </c>
      <c r="AT77" s="86" t="s">
        <v>81</v>
      </c>
      <c r="AU77" s="86" t="s">
        <v>81</v>
      </c>
      <c r="AV77" s="86" t="s">
        <v>81</v>
      </c>
      <c r="AW77" s="82">
        <v>1</v>
      </c>
      <c r="AX77" s="82" t="s">
        <v>82</v>
      </c>
      <c r="AY77" s="83" t="s">
        <v>83</v>
      </c>
      <c r="AZ77" s="82" t="s">
        <v>84</v>
      </c>
      <c r="BA77" s="83" t="str">
        <f t="shared" si="37"/>
        <v>Baik</v>
      </c>
      <c r="BB77" s="82">
        <v>2</v>
      </c>
      <c r="BC77" s="83" t="s">
        <v>108</v>
      </c>
      <c r="BD77" s="83" t="s">
        <v>83</v>
      </c>
      <c r="BE77" s="82" t="s">
        <v>86</v>
      </c>
      <c r="BF77" s="83" t="str">
        <f t="shared" si="38"/>
        <v>Sangat baik</v>
      </c>
      <c r="BG77" s="82"/>
      <c r="BH77" s="82"/>
      <c r="BI77" s="82"/>
      <c r="BJ77" s="82"/>
      <c r="BK77" s="83"/>
      <c r="BM77" s="81"/>
      <c r="BN77" s="81"/>
      <c r="BO77" s="81"/>
      <c r="BP77" s="81"/>
      <c r="BQ77" s="81"/>
      <c r="BR77" s="81"/>
      <c r="BT77" s="81">
        <f t="shared" si="39"/>
        <v>0</v>
      </c>
    </row>
    <row r="78" spans="1:72" ht="23.25" customHeight="1" x14ac:dyDescent="0.25">
      <c r="A78" s="82">
        <v>77</v>
      </c>
      <c r="B78" s="82">
        <v>2525946</v>
      </c>
      <c r="C78" s="82" t="s">
        <v>691</v>
      </c>
      <c r="D78" s="83" t="s">
        <v>692</v>
      </c>
      <c r="E78" s="82" t="s">
        <v>682</v>
      </c>
      <c r="F78" s="82" t="s">
        <v>530</v>
      </c>
      <c r="G78" s="82" t="s">
        <v>683</v>
      </c>
      <c r="H78" s="82" t="s">
        <v>684</v>
      </c>
      <c r="I78" s="84" t="s">
        <v>76</v>
      </c>
      <c r="J78" s="85" t="s">
        <v>77</v>
      </c>
      <c r="K78" s="85" t="s">
        <v>78</v>
      </c>
      <c r="L78" s="85" t="s">
        <v>79</v>
      </c>
      <c r="M78" s="82">
        <v>82</v>
      </c>
      <c r="N78" s="83" t="str">
        <f t="shared" si="21"/>
        <v>Mencapai kompetensi dengan baik dalam hal</v>
      </c>
      <c r="O78" s="82">
        <v>79</v>
      </c>
      <c r="P78" s="83" t="str">
        <f t="shared" si="22"/>
        <v>Mencapai kompetensi dengan baik dalam hal</v>
      </c>
      <c r="Q78" s="82">
        <v>82</v>
      </c>
      <c r="R78" s="83" t="str">
        <f t="shared" si="23"/>
        <v>Mencapai kompetensi dengan baik dalam hal</v>
      </c>
      <c r="S78" s="82">
        <v>80</v>
      </c>
      <c r="T78" s="83" t="str">
        <f t="shared" si="24"/>
        <v>Mencapai kompetensi dengan baik dalam hal</v>
      </c>
      <c r="U78" s="82">
        <v>83</v>
      </c>
      <c r="V78" s="83" t="str">
        <f t="shared" si="25"/>
        <v>Mencapai kompetensi dengan baik dalam hal</v>
      </c>
      <c r="W78" s="82">
        <v>82</v>
      </c>
      <c r="X78" s="83" t="str">
        <f t="shared" si="26"/>
        <v>Mencapai kompetensi dengan baik dalam hal</v>
      </c>
      <c r="Y78" s="82">
        <v>78</v>
      </c>
      <c r="Z78" s="83" t="str">
        <f t="shared" si="27"/>
        <v>Mencapai kompetensi dengan baik dalam hal</v>
      </c>
      <c r="AA78" s="82">
        <v>80</v>
      </c>
      <c r="AB78" s="83" t="str">
        <f t="shared" si="28"/>
        <v>Mencapai kompetensi dengan baik dalam hal</v>
      </c>
      <c r="AC78" s="82">
        <v>88</v>
      </c>
      <c r="AD78" s="83" t="str">
        <f t="shared" si="29"/>
        <v>Mencapai kompetensi dengan baik dalam hal</v>
      </c>
      <c r="AE78" s="82">
        <v>87</v>
      </c>
      <c r="AF78" s="83" t="str">
        <f t="shared" si="30"/>
        <v>Mencapai kompetensi dengan baik dalam hal</v>
      </c>
      <c r="AG78" s="82">
        <v>85</v>
      </c>
      <c r="AH78" s="83" t="str">
        <f t="shared" si="31"/>
        <v>Mencapai kompetensi dengan baik dalam hal</v>
      </c>
      <c r="AI78" s="82">
        <v>85</v>
      </c>
      <c r="AJ78" s="83" t="str">
        <f t="shared" si="32"/>
        <v>Mencapai kompetensi dengan baik dalam hal</v>
      </c>
      <c r="AK78" s="82">
        <v>85</v>
      </c>
      <c r="AL78" s="83" t="str">
        <f t="shared" si="33"/>
        <v>Mencapai kompetensi dengan baik dalam hal</v>
      </c>
      <c r="AM78" s="82">
        <v>85</v>
      </c>
      <c r="AN78" s="83" t="str">
        <f t="shared" si="34"/>
        <v>Mencapai kompetensi dengan baik dalam hal</v>
      </c>
      <c r="AO78" s="75">
        <f t="shared" si="40"/>
        <v>85</v>
      </c>
      <c r="AP78" s="82">
        <v>88</v>
      </c>
      <c r="AQ78" s="83" t="str">
        <f t="shared" si="35"/>
        <v>Mencapai kompetensi dengan baik dalam hal</v>
      </c>
      <c r="AR78" s="82">
        <v>80</v>
      </c>
      <c r="AS78" s="83" t="str">
        <f t="shared" si="36"/>
        <v>Mencapai kompetensi dengan baik dalam hal</v>
      </c>
      <c r="AT78" s="86" t="s">
        <v>81</v>
      </c>
      <c r="AU78" s="86" t="s">
        <v>81</v>
      </c>
      <c r="AV78" s="86" t="s">
        <v>81</v>
      </c>
      <c r="AW78" s="82">
        <v>1</v>
      </c>
      <c r="AX78" s="82" t="s">
        <v>82</v>
      </c>
      <c r="AY78" s="83" t="s">
        <v>83</v>
      </c>
      <c r="AZ78" s="82" t="s">
        <v>84</v>
      </c>
      <c r="BA78" s="83" t="str">
        <f t="shared" si="37"/>
        <v>Baik</v>
      </c>
      <c r="BB78" s="82">
        <v>2</v>
      </c>
      <c r="BC78" s="83" t="s">
        <v>693</v>
      </c>
      <c r="BD78" s="83" t="s">
        <v>83</v>
      </c>
      <c r="BE78" s="82" t="s">
        <v>84</v>
      </c>
      <c r="BF78" s="83" t="str">
        <f t="shared" si="38"/>
        <v>Baik</v>
      </c>
      <c r="BG78" s="82"/>
      <c r="BH78" s="82"/>
      <c r="BI78" s="82"/>
      <c r="BJ78" s="82"/>
      <c r="BK78" s="83"/>
      <c r="BM78" s="81"/>
      <c r="BN78" s="81"/>
      <c r="BO78" s="81"/>
      <c r="BP78" s="81"/>
      <c r="BQ78" s="81"/>
      <c r="BR78" s="81"/>
      <c r="BT78" s="81">
        <f t="shared" si="39"/>
        <v>0</v>
      </c>
    </row>
    <row r="79" spans="1:72" ht="23.25" customHeight="1" x14ac:dyDescent="0.25">
      <c r="A79" s="82">
        <v>78</v>
      </c>
      <c r="B79" s="82">
        <v>2525947</v>
      </c>
      <c r="C79" s="82" t="s">
        <v>694</v>
      </c>
      <c r="D79" s="83" t="s">
        <v>695</v>
      </c>
      <c r="E79" s="82" t="s">
        <v>682</v>
      </c>
      <c r="F79" s="82" t="s">
        <v>530</v>
      </c>
      <c r="G79" s="82" t="s">
        <v>683</v>
      </c>
      <c r="H79" s="82" t="s">
        <v>684</v>
      </c>
      <c r="I79" s="84" t="s">
        <v>76</v>
      </c>
      <c r="J79" s="85" t="s">
        <v>77</v>
      </c>
      <c r="K79" s="85" t="s">
        <v>78</v>
      </c>
      <c r="L79" s="85" t="s">
        <v>79</v>
      </c>
      <c r="M79" s="82">
        <v>79</v>
      </c>
      <c r="N79" s="83" t="str">
        <f t="shared" si="21"/>
        <v>Mencapai kompetensi dengan baik dalam hal</v>
      </c>
      <c r="O79" s="82">
        <v>78</v>
      </c>
      <c r="P79" s="83" t="str">
        <f t="shared" si="22"/>
        <v>Mencapai kompetensi dengan baik dalam hal</v>
      </c>
      <c r="Q79" s="82">
        <v>80</v>
      </c>
      <c r="R79" s="83" t="str">
        <f t="shared" si="23"/>
        <v>Mencapai kompetensi dengan baik dalam hal</v>
      </c>
      <c r="S79" s="82">
        <v>79</v>
      </c>
      <c r="T79" s="83" t="str">
        <f t="shared" si="24"/>
        <v>Mencapai kompetensi dengan baik dalam hal</v>
      </c>
      <c r="U79" s="82">
        <v>78</v>
      </c>
      <c r="V79" s="83" t="str">
        <f t="shared" si="25"/>
        <v>Mencapai kompetensi dengan baik dalam hal</v>
      </c>
      <c r="W79" s="82">
        <v>79</v>
      </c>
      <c r="X79" s="83" t="str">
        <f t="shared" si="26"/>
        <v>Mencapai kompetensi dengan baik dalam hal</v>
      </c>
      <c r="Y79" s="82">
        <v>78</v>
      </c>
      <c r="Z79" s="83" t="str">
        <f t="shared" si="27"/>
        <v>Mencapai kompetensi dengan baik dalam hal</v>
      </c>
      <c r="AA79" s="82">
        <v>79</v>
      </c>
      <c r="AB79" s="83" t="str">
        <f t="shared" si="28"/>
        <v>Mencapai kompetensi dengan baik dalam hal</v>
      </c>
      <c r="AC79" s="82">
        <v>84</v>
      </c>
      <c r="AD79" s="83" t="str">
        <f t="shared" si="29"/>
        <v>Mencapai kompetensi dengan baik dalam hal</v>
      </c>
      <c r="AE79" s="82">
        <v>84</v>
      </c>
      <c r="AF79" s="83" t="str">
        <f t="shared" si="30"/>
        <v>Mencapai kompetensi dengan baik dalam hal</v>
      </c>
      <c r="AG79" s="82">
        <v>78</v>
      </c>
      <c r="AH79" s="83" t="str">
        <f t="shared" si="31"/>
        <v>Mencapai kompetensi dengan baik dalam hal</v>
      </c>
      <c r="AI79" s="82">
        <v>78</v>
      </c>
      <c r="AJ79" s="83" t="str">
        <f t="shared" si="32"/>
        <v>Mencapai kompetensi dengan baik dalam hal</v>
      </c>
      <c r="AK79" s="82">
        <v>78</v>
      </c>
      <c r="AL79" s="83" t="str">
        <f t="shared" si="33"/>
        <v>Mencapai kompetensi dengan baik dalam hal</v>
      </c>
      <c r="AM79" s="82">
        <v>78</v>
      </c>
      <c r="AN79" s="83" t="str">
        <f t="shared" si="34"/>
        <v>Mencapai kompetensi dengan baik dalam hal</v>
      </c>
      <c r="AO79" s="75">
        <f t="shared" si="40"/>
        <v>78</v>
      </c>
      <c r="AP79" s="82">
        <v>84</v>
      </c>
      <c r="AQ79" s="83" t="str">
        <f t="shared" si="35"/>
        <v>Mencapai kompetensi dengan baik dalam hal</v>
      </c>
      <c r="AR79" s="82">
        <v>79</v>
      </c>
      <c r="AS79" s="83" t="str">
        <f t="shared" si="36"/>
        <v>Mencapai kompetensi dengan baik dalam hal</v>
      </c>
      <c r="AT79" s="86" t="s">
        <v>81</v>
      </c>
      <c r="AU79" s="86" t="s">
        <v>81</v>
      </c>
      <c r="AV79" s="86" t="s">
        <v>81</v>
      </c>
      <c r="AW79" s="82">
        <v>1</v>
      </c>
      <c r="AX79" s="82" t="s">
        <v>82</v>
      </c>
      <c r="AY79" s="83" t="s">
        <v>83</v>
      </c>
      <c r="AZ79" s="82" t="s">
        <v>86</v>
      </c>
      <c r="BA79" s="83" t="str">
        <f t="shared" si="37"/>
        <v>Sangat baik</v>
      </c>
      <c r="BB79" s="82">
        <v>2</v>
      </c>
      <c r="BC79" s="83" t="s">
        <v>179</v>
      </c>
      <c r="BD79" s="83" t="s">
        <v>83</v>
      </c>
      <c r="BE79" s="82" t="s">
        <v>86</v>
      </c>
      <c r="BF79" s="83" t="str">
        <f t="shared" si="38"/>
        <v>Sangat baik</v>
      </c>
      <c r="BG79" s="82"/>
      <c r="BH79" s="82"/>
      <c r="BI79" s="82"/>
      <c r="BJ79" s="82"/>
      <c r="BK79" s="83"/>
      <c r="BM79" s="81"/>
      <c r="BN79" s="81"/>
      <c r="BO79" s="81"/>
      <c r="BP79" s="81"/>
      <c r="BQ79" s="81"/>
      <c r="BR79" s="81"/>
      <c r="BT79" s="81">
        <f t="shared" si="39"/>
        <v>0</v>
      </c>
    </row>
    <row r="80" spans="1:72" ht="23.25" customHeight="1" x14ac:dyDescent="0.25">
      <c r="A80" s="82">
        <v>79</v>
      </c>
      <c r="B80" s="82">
        <v>2525948</v>
      </c>
      <c r="C80" s="82" t="s">
        <v>696</v>
      </c>
      <c r="D80" s="83" t="s">
        <v>697</v>
      </c>
      <c r="E80" s="82" t="s">
        <v>682</v>
      </c>
      <c r="F80" s="82" t="s">
        <v>530</v>
      </c>
      <c r="G80" s="82" t="s">
        <v>683</v>
      </c>
      <c r="H80" s="82" t="s">
        <v>684</v>
      </c>
      <c r="I80" s="84" t="s">
        <v>76</v>
      </c>
      <c r="J80" s="85" t="s">
        <v>77</v>
      </c>
      <c r="K80" s="85" t="s">
        <v>78</v>
      </c>
      <c r="L80" s="85" t="s">
        <v>79</v>
      </c>
      <c r="M80" s="82">
        <v>79</v>
      </c>
      <c r="N80" s="83" t="str">
        <f t="shared" si="21"/>
        <v>Mencapai kompetensi dengan baik dalam hal</v>
      </c>
      <c r="O80" s="82">
        <v>76</v>
      </c>
      <c r="P80" s="83" t="str">
        <f t="shared" si="22"/>
        <v>Mencapai kompetensi dengan baik dalam hal</v>
      </c>
      <c r="Q80" s="82">
        <v>80</v>
      </c>
      <c r="R80" s="83" t="str">
        <f t="shared" si="23"/>
        <v>Mencapai kompetensi dengan baik dalam hal</v>
      </c>
      <c r="S80" s="82">
        <v>78</v>
      </c>
      <c r="T80" s="83" t="str">
        <f t="shared" si="24"/>
        <v>Mencapai kompetensi dengan baik dalam hal</v>
      </c>
      <c r="U80" s="82">
        <v>82</v>
      </c>
      <c r="V80" s="83" t="str">
        <f t="shared" si="25"/>
        <v>Mencapai kompetensi dengan baik dalam hal</v>
      </c>
      <c r="W80" s="82">
        <v>78</v>
      </c>
      <c r="X80" s="83" t="str">
        <f t="shared" si="26"/>
        <v>Mencapai kompetensi dengan baik dalam hal</v>
      </c>
      <c r="Y80" s="82">
        <v>76</v>
      </c>
      <c r="Z80" s="83" t="str">
        <f t="shared" si="27"/>
        <v>Mencapai kompetensi dengan baik dalam hal</v>
      </c>
      <c r="AA80" s="82">
        <v>76</v>
      </c>
      <c r="AB80" s="83" t="str">
        <f t="shared" si="28"/>
        <v>Mencapai kompetensi dengan baik dalam hal</v>
      </c>
      <c r="AC80" s="82">
        <v>75</v>
      </c>
      <c r="AD80" s="83" t="str">
        <f t="shared" si="29"/>
        <v>Mencapai kompetensi dengan baik dalam hal</v>
      </c>
      <c r="AE80" s="82">
        <v>88</v>
      </c>
      <c r="AF80" s="83" t="str">
        <f t="shared" si="30"/>
        <v>Mencapai kompetensi dengan baik dalam hal</v>
      </c>
      <c r="AG80" s="82">
        <v>76</v>
      </c>
      <c r="AH80" s="83" t="str">
        <f t="shared" si="31"/>
        <v>Mencapai kompetensi dengan baik dalam hal</v>
      </c>
      <c r="AI80" s="82">
        <v>76</v>
      </c>
      <c r="AJ80" s="83" t="str">
        <f t="shared" si="32"/>
        <v>Mencapai kompetensi dengan baik dalam hal</v>
      </c>
      <c r="AK80" s="82">
        <v>76</v>
      </c>
      <c r="AL80" s="83" t="str">
        <f t="shared" si="33"/>
        <v>Mencapai kompetensi dengan baik dalam hal</v>
      </c>
      <c r="AM80" s="82">
        <v>76</v>
      </c>
      <c r="AN80" s="83" t="str">
        <f t="shared" si="34"/>
        <v>Mencapai kompetensi dengan baik dalam hal</v>
      </c>
      <c r="AO80" s="75">
        <f t="shared" si="40"/>
        <v>76</v>
      </c>
      <c r="AP80" s="82">
        <v>75</v>
      </c>
      <c r="AQ80" s="83" t="str">
        <f t="shared" si="35"/>
        <v>Mencapai kompetensi dengan baik dalam hal</v>
      </c>
      <c r="AR80" s="82">
        <v>79</v>
      </c>
      <c r="AS80" s="83" t="str">
        <f t="shared" si="36"/>
        <v>Mencapai kompetensi dengan baik dalam hal</v>
      </c>
      <c r="AT80" s="86" t="s">
        <v>81</v>
      </c>
      <c r="AU80" s="86" t="s">
        <v>81</v>
      </c>
      <c r="AV80" s="86">
        <v>1</v>
      </c>
      <c r="AW80" s="82">
        <v>1</v>
      </c>
      <c r="AX80" s="82" t="s">
        <v>82</v>
      </c>
      <c r="AY80" s="83" t="s">
        <v>83</v>
      </c>
      <c r="AZ80" s="82" t="s">
        <v>104</v>
      </c>
      <c r="BA80" s="83" t="str">
        <f t="shared" si="37"/>
        <v>Cukup</v>
      </c>
      <c r="BB80" s="82">
        <v>2</v>
      </c>
      <c r="BC80" s="83" t="s">
        <v>125</v>
      </c>
      <c r="BD80" s="83" t="s">
        <v>83</v>
      </c>
      <c r="BE80" s="82" t="s">
        <v>104</v>
      </c>
      <c r="BF80" s="83" t="str">
        <f t="shared" si="38"/>
        <v>Cukup</v>
      </c>
      <c r="BG80" s="82"/>
      <c r="BH80" s="82"/>
      <c r="BI80" s="82"/>
      <c r="BJ80" s="82"/>
      <c r="BK80" s="83"/>
      <c r="BM80" s="81"/>
      <c r="BN80" s="81"/>
      <c r="BO80" s="81"/>
      <c r="BP80" s="81"/>
      <c r="BQ80" s="81"/>
      <c r="BR80" s="81"/>
      <c r="BT80" s="81">
        <f t="shared" si="39"/>
        <v>0</v>
      </c>
    </row>
    <row r="81" spans="1:75" ht="23.25" customHeight="1" x14ac:dyDescent="0.25">
      <c r="A81" s="82">
        <v>80</v>
      </c>
      <c r="B81" s="82">
        <v>2525949</v>
      </c>
      <c r="C81" s="82" t="s">
        <v>698</v>
      </c>
      <c r="D81" s="83" t="s">
        <v>699</v>
      </c>
      <c r="E81" s="82" t="s">
        <v>682</v>
      </c>
      <c r="F81" s="82" t="s">
        <v>530</v>
      </c>
      <c r="G81" s="82" t="s">
        <v>683</v>
      </c>
      <c r="H81" s="82" t="s">
        <v>684</v>
      </c>
      <c r="I81" s="84" t="s">
        <v>76</v>
      </c>
      <c r="J81" s="85" t="s">
        <v>77</v>
      </c>
      <c r="K81" s="85" t="s">
        <v>78</v>
      </c>
      <c r="L81" s="85" t="s">
        <v>79</v>
      </c>
      <c r="M81" s="82">
        <v>80</v>
      </c>
      <c r="N81" s="83" t="str">
        <f t="shared" si="21"/>
        <v>Mencapai kompetensi dengan baik dalam hal</v>
      </c>
      <c r="O81" s="82">
        <v>76</v>
      </c>
      <c r="P81" s="83" t="str">
        <f t="shared" si="22"/>
        <v>Mencapai kompetensi dengan baik dalam hal</v>
      </c>
      <c r="Q81" s="82">
        <v>77</v>
      </c>
      <c r="R81" s="83" t="str">
        <f t="shared" si="23"/>
        <v>Mencapai kompetensi dengan baik dalam hal</v>
      </c>
      <c r="S81" s="82">
        <v>78</v>
      </c>
      <c r="T81" s="83" t="str">
        <f t="shared" si="24"/>
        <v>Mencapai kompetensi dengan baik dalam hal</v>
      </c>
      <c r="U81" s="82">
        <v>73</v>
      </c>
      <c r="V81" s="83" t="str">
        <f t="shared" si="25"/>
        <v>Perlu peningkatan dalam hal</v>
      </c>
      <c r="W81" s="82">
        <v>81</v>
      </c>
      <c r="X81" s="83" t="str">
        <f t="shared" si="26"/>
        <v>Mencapai kompetensi dengan baik dalam hal</v>
      </c>
      <c r="Y81" s="82">
        <v>77</v>
      </c>
      <c r="Z81" s="83" t="str">
        <f t="shared" si="27"/>
        <v>Mencapai kompetensi dengan baik dalam hal</v>
      </c>
      <c r="AA81" s="82">
        <v>72</v>
      </c>
      <c r="AB81" s="83" t="str">
        <f t="shared" si="28"/>
        <v>Perlu peningkatan dalam hal</v>
      </c>
      <c r="AC81" s="82">
        <v>82</v>
      </c>
      <c r="AD81" s="83" t="str">
        <f t="shared" si="29"/>
        <v>Mencapai kompetensi dengan baik dalam hal</v>
      </c>
      <c r="AE81" s="82">
        <v>80</v>
      </c>
      <c r="AF81" s="83" t="str">
        <f t="shared" si="30"/>
        <v>Mencapai kompetensi dengan baik dalam hal</v>
      </c>
      <c r="AG81" s="82">
        <v>76</v>
      </c>
      <c r="AH81" s="83" t="str">
        <f t="shared" si="31"/>
        <v>Mencapai kompetensi dengan baik dalam hal</v>
      </c>
      <c r="AI81" s="82">
        <v>76</v>
      </c>
      <c r="AJ81" s="83" t="str">
        <f t="shared" si="32"/>
        <v>Mencapai kompetensi dengan baik dalam hal</v>
      </c>
      <c r="AK81" s="82">
        <v>76</v>
      </c>
      <c r="AL81" s="83" t="str">
        <f t="shared" si="33"/>
        <v>Mencapai kompetensi dengan baik dalam hal</v>
      </c>
      <c r="AM81" s="82">
        <v>76</v>
      </c>
      <c r="AN81" s="83" t="str">
        <f t="shared" si="34"/>
        <v>Mencapai kompetensi dengan baik dalam hal</v>
      </c>
      <c r="AO81" s="75">
        <f t="shared" si="40"/>
        <v>76</v>
      </c>
      <c r="AP81" s="82">
        <v>82</v>
      </c>
      <c r="AQ81" s="83" t="str">
        <f t="shared" si="35"/>
        <v>Mencapai kompetensi dengan baik dalam hal</v>
      </c>
      <c r="AR81" s="82">
        <v>76</v>
      </c>
      <c r="AS81" s="83" t="str">
        <f t="shared" si="36"/>
        <v>Mencapai kompetensi dengan baik dalam hal</v>
      </c>
      <c r="AT81" s="86">
        <v>1</v>
      </c>
      <c r="AU81" s="86" t="s">
        <v>81</v>
      </c>
      <c r="AV81" s="86" t="s">
        <v>81</v>
      </c>
      <c r="AW81" s="82">
        <v>1</v>
      </c>
      <c r="AX81" s="82" t="s">
        <v>82</v>
      </c>
      <c r="AY81" s="83" t="s">
        <v>83</v>
      </c>
      <c r="AZ81" s="82" t="s">
        <v>84</v>
      </c>
      <c r="BA81" s="83" t="str">
        <f t="shared" si="37"/>
        <v>Baik</v>
      </c>
      <c r="BB81" s="82">
        <v>2</v>
      </c>
      <c r="BC81" s="83" t="s">
        <v>125</v>
      </c>
      <c r="BD81" s="83" t="s">
        <v>83</v>
      </c>
      <c r="BE81" s="82" t="s">
        <v>104</v>
      </c>
      <c r="BF81" s="83" t="str">
        <f t="shared" si="38"/>
        <v>Cukup</v>
      </c>
      <c r="BG81" s="82"/>
      <c r="BH81" s="82"/>
      <c r="BI81" s="82"/>
      <c r="BJ81" s="82"/>
      <c r="BK81" s="83"/>
      <c r="BM81" s="81"/>
      <c r="BN81" s="81"/>
      <c r="BO81" s="81"/>
      <c r="BP81" s="81"/>
      <c r="BQ81" s="81"/>
      <c r="BR81" s="81"/>
      <c r="BT81" s="81">
        <f t="shared" si="39"/>
        <v>2</v>
      </c>
    </row>
    <row r="82" spans="1:75" ht="23.25" customHeight="1" x14ac:dyDescent="0.25">
      <c r="A82" s="82">
        <v>81</v>
      </c>
      <c r="B82" s="82">
        <v>2525950</v>
      </c>
      <c r="C82" s="82" t="s">
        <v>700</v>
      </c>
      <c r="D82" s="83" t="s">
        <v>701</v>
      </c>
      <c r="E82" s="82" t="s">
        <v>682</v>
      </c>
      <c r="F82" s="82" t="s">
        <v>530</v>
      </c>
      <c r="G82" s="82" t="s">
        <v>683</v>
      </c>
      <c r="H82" s="82" t="s">
        <v>684</v>
      </c>
      <c r="I82" s="84" t="s">
        <v>76</v>
      </c>
      <c r="J82" s="85" t="s">
        <v>77</v>
      </c>
      <c r="K82" s="85" t="s">
        <v>78</v>
      </c>
      <c r="L82" s="85" t="s">
        <v>79</v>
      </c>
      <c r="M82" s="82">
        <v>80</v>
      </c>
      <c r="N82" s="83" t="str">
        <f t="shared" si="21"/>
        <v>Mencapai kompetensi dengan baik dalam hal</v>
      </c>
      <c r="O82" s="82">
        <v>76</v>
      </c>
      <c r="P82" s="83" t="str">
        <f t="shared" si="22"/>
        <v>Mencapai kompetensi dengan baik dalam hal</v>
      </c>
      <c r="Q82" s="82">
        <v>82</v>
      </c>
      <c r="R82" s="83" t="str">
        <f t="shared" si="23"/>
        <v>Mencapai kompetensi dengan baik dalam hal</v>
      </c>
      <c r="S82" s="82">
        <v>79</v>
      </c>
      <c r="T82" s="83" t="str">
        <f t="shared" si="24"/>
        <v>Mencapai kompetensi dengan baik dalam hal</v>
      </c>
      <c r="U82" s="82">
        <v>83</v>
      </c>
      <c r="V82" s="83" t="str">
        <f t="shared" si="25"/>
        <v>Mencapai kompetensi dengan baik dalam hal</v>
      </c>
      <c r="W82" s="82">
        <v>83</v>
      </c>
      <c r="X82" s="83" t="str">
        <f t="shared" si="26"/>
        <v>Mencapai kompetensi dengan baik dalam hal</v>
      </c>
      <c r="Y82" s="82">
        <v>78</v>
      </c>
      <c r="Z82" s="83" t="str">
        <f t="shared" si="27"/>
        <v>Mencapai kompetensi dengan baik dalam hal</v>
      </c>
      <c r="AA82" s="82">
        <v>79</v>
      </c>
      <c r="AB82" s="83" t="str">
        <f t="shared" si="28"/>
        <v>Mencapai kompetensi dengan baik dalam hal</v>
      </c>
      <c r="AC82" s="82">
        <v>87</v>
      </c>
      <c r="AD82" s="83" t="str">
        <f t="shared" si="29"/>
        <v>Mencapai kompetensi dengan baik dalam hal</v>
      </c>
      <c r="AE82" s="82">
        <v>90</v>
      </c>
      <c r="AF82" s="83" t="str">
        <f t="shared" si="30"/>
        <v>Mencapai kompetensi dengan sangat baik dalam hal</v>
      </c>
      <c r="AG82" s="82">
        <v>78</v>
      </c>
      <c r="AH82" s="83" t="str">
        <f t="shared" si="31"/>
        <v>Mencapai kompetensi dengan baik dalam hal</v>
      </c>
      <c r="AI82" s="82">
        <v>78</v>
      </c>
      <c r="AJ82" s="83" t="str">
        <f t="shared" si="32"/>
        <v>Mencapai kompetensi dengan baik dalam hal</v>
      </c>
      <c r="AK82" s="82">
        <v>78</v>
      </c>
      <c r="AL82" s="83" t="str">
        <f t="shared" si="33"/>
        <v>Mencapai kompetensi dengan baik dalam hal</v>
      </c>
      <c r="AM82" s="82">
        <v>78</v>
      </c>
      <c r="AN82" s="83" t="str">
        <f t="shared" si="34"/>
        <v>Mencapai kompetensi dengan baik dalam hal</v>
      </c>
      <c r="AO82" s="75">
        <f t="shared" si="40"/>
        <v>78</v>
      </c>
      <c r="AP82" s="82">
        <v>87</v>
      </c>
      <c r="AQ82" s="83" t="str">
        <f t="shared" si="35"/>
        <v>Mencapai kompetensi dengan baik dalam hal</v>
      </c>
      <c r="AR82" s="82">
        <v>80</v>
      </c>
      <c r="AS82" s="83" t="str">
        <f t="shared" si="36"/>
        <v>Mencapai kompetensi dengan baik dalam hal</v>
      </c>
      <c r="AT82" s="86" t="s">
        <v>81</v>
      </c>
      <c r="AU82" s="86" t="s">
        <v>81</v>
      </c>
      <c r="AV82" s="86">
        <v>1</v>
      </c>
      <c r="AW82" s="82">
        <v>1</v>
      </c>
      <c r="AX82" s="82" t="s">
        <v>82</v>
      </c>
      <c r="AY82" s="83" t="s">
        <v>83</v>
      </c>
      <c r="AZ82" s="82" t="s">
        <v>84</v>
      </c>
      <c r="BA82" s="83" t="str">
        <f t="shared" si="37"/>
        <v>Baik</v>
      </c>
      <c r="BB82" s="82">
        <v>2</v>
      </c>
      <c r="BC82" s="83" t="s">
        <v>125</v>
      </c>
      <c r="BD82" s="83" t="s">
        <v>83</v>
      </c>
      <c r="BE82" s="82" t="s">
        <v>84</v>
      </c>
      <c r="BF82" s="83" t="str">
        <f t="shared" si="38"/>
        <v>Baik</v>
      </c>
      <c r="BG82" s="82"/>
      <c r="BH82" s="82"/>
      <c r="BI82" s="82"/>
      <c r="BJ82" s="82"/>
      <c r="BK82" s="83"/>
      <c r="BM82" s="81"/>
      <c r="BN82" s="81"/>
      <c r="BO82" s="81"/>
      <c r="BP82" s="81"/>
      <c r="BQ82" s="81"/>
      <c r="BR82" s="81"/>
      <c r="BT82" s="81">
        <f t="shared" si="39"/>
        <v>0</v>
      </c>
    </row>
    <row r="83" spans="1:75" ht="23.25" customHeight="1" x14ac:dyDescent="0.25">
      <c r="A83" s="82">
        <v>82</v>
      </c>
      <c r="B83" s="82">
        <v>2525951</v>
      </c>
      <c r="C83" s="82" t="s">
        <v>702</v>
      </c>
      <c r="D83" s="83" t="s">
        <v>703</v>
      </c>
      <c r="E83" s="82" t="s">
        <v>682</v>
      </c>
      <c r="F83" s="82" t="s">
        <v>530</v>
      </c>
      <c r="G83" s="82" t="s">
        <v>683</v>
      </c>
      <c r="H83" s="82" t="s">
        <v>684</v>
      </c>
      <c r="I83" s="84" t="s">
        <v>76</v>
      </c>
      <c r="J83" s="85" t="s">
        <v>77</v>
      </c>
      <c r="K83" s="85" t="s">
        <v>78</v>
      </c>
      <c r="L83" s="85" t="s">
        <v>79</v>
      </c>
      <c r="M83" s="82">
        <v>78</v>
      </c>
      <c r="N83" s="83" t="str">
        <f t="shared" si="21"/>
        <v>Mencapai kompetensi dengan baik dalam hal</v>
      </c>
      <c r="O83" s="82">
        <v>75</v>
      </c>
      <c r="P83" s="83" t="str">
        <f t="shared" si="22"/>
        <v>Mencapai kompetensi dengan baik dalam hal</v>
      </c>
      <c r="Q83" s="82">
        <v>79</v>
      </c>
      <c r="R83" s="83" t="str">
        <f t="shared" si="23"/>
        <v>Mencapai kompetensi dengan baik dalam hal</v>
      </c>
      <c r="S83" s="82">
        <v>79</v>
      </c>
      <c r="T83" s="83" t="str">
        <f t="shared" si="24"/>
        <v>Mencapai kompetensi dengan baik dalam hal</v>
      </c>
      <c r="U83" s="82">
        <v>75</v>
      </c>
      <c r="V83" s="83" t="str">
        <f t="shared" si="25"/>
        <v>Mencapai kompetensi dengan baik dalam hal</v>
      </c>
      <c r="W83" s="82">
        <v>79</v>
      </c>
      <c r="X83" s="83" t="str">
        <f t="shared" si="26"/>
        <v>Mencapai kompetensi dengan baik dalam hal</v>
      </c>
      <c r="Y83" s="82">
        <v>77</v>
      </c>
      <c r="Z83" s="83" t="str">
        <f t="shared" si="27"/>
        <v>Mencapai kompetensi dengan baik dalam hal</v>
      </c>
      <c r="AA83" s="82">
        <v>76</v>
      </c>
      <c r="AB83" s="83" t="str">
        <f t="shared" si="28"/>
        <v>Mencapai kompetensi dengan baik dalam hal</v>
      </c>
      <c r="AC83" s="82">
        <v>83</v>
      </c>
      <c r="AD83" s="83" t="str">
        <f t="shared" si="29"/>
        <v>Mencapai kompetensi dengan baik dalam hal</v>
      </c>
      <c r="AE83" s="82">
        <v>80</v>
      </c>
      <c r="AF83" s="83" t="str">
        <f t="shared" si="30"/>
        <v>Mencapai kompetensi dengan baik dalam hal</v>
      </c>
      <c r="AG83" s="82">
        <v>76</v>
      </c>
      <c r="AH83" s="83" t="str">
        <f t="shared" si="31"/>
        <v>Mencapai kompetensi dengan baik dalam hal</v>
      </c>
      <c r="AI83" s="82">
        <v>76</v>
      </c>
      <c r="AJ83" s="83" t="str">
        <f t="shared" si="32"/>
        <v>Mencapai kompetensi dengan baik dalam hal</v>
      </c>
      <c r="AK83" s="82">
        <v>76</v>
      </c>
      <c r="AL83" s="83" t="str">
        <f t="shared" si="33"/>
        <v>Mencapai kompetensi dengan baik dalam hal</v>
      </c>
      <c r="AM83" s="82">
        <v>76</v>
      </c>
      <c r="AN83" s="83" t="str">
        <f t="shared" si="34"/>
        <v>Mencapai kompetensi dengan baik dalam hal</v>
      </c>
      <c r="AO83" s="75">
        <f t="shared" si="40"/>
        <v>76</v>
      </c>
      <c r="AP83" s="82">
        <v>83</v>
      </c>
      <c r="AQ83" s="83" t="str">
        <f t="shared" si="35"/>
        <v>Mencapai kompetensi dengan baik dalam hal</v>
      </c>
      <c r="AR83" s="82">
        <v>80</v>
      </c>
      <c r="AS83" s="83" t="str">
        <f t="shared" si="36"/>
        <v>Mencapai kompetensi dengan baik dalam hal</v>
      </c>
      <c r="AT83" s="86" t="s">
        <v>81</v>
      </c>
      <c r="AU83" s="86" t="s">
        <v>81</v>
      </c>
      <c r="AV83" s="86" t="s">
        <v>81</v>
      </c>
      <c r="AW83" s="82">
        <v>1</v>
      </c>
      <c r="AX83" s="82" t="s">
        <v>82</v>
      </c>
      <c r="AY83" s="83" t="s">
        <v>83</v>
      </c>
      <c r="AZ83" s="82" t="s">
        <v>84</v>
      </c>
      <c r="BA83" s="83" t="str">
        <f t="shared" si="37"/>
        <v>Baik</v>
      </c>
      <c r="BB83" s="82">
        <v>2</v>
      </c>
      <c r="BC83" s="83" t="s">
        <v>103</v>
      </c>
      <c r="BD83" s="83" t="s">
        <v>83</v>
      </c>
      <c r="BE83" s="82" t="s">
        <v>84</v>
      </c>
      <c r="BF83" s="83" t="str">
        <f t="shared" si="38"/>
        <v>Baik</v>
      </c>
      <c r="BG83" s="82"/>
      <c r="BH83" s="82"/>
      <c r="BI83" s="82"/>
      <c r="BJ83" s="82"/>
      <c r="BK83" s="83"/>
      <c r="BM83" s="81"/>
      <c r="BN83" s="81"/>
      <c r="BO83" s="81"/>
      <c r="BP83" s="81"/>
      <c r="BQ83" s="81"/>
      <c r="BR83" s="81"/>
      <c r="BT83" s="81">
        <f t="shared" si="39"/>
        <v>0</v>
      </c>
    </row>
    <row r="84" spans="1:75" ht="23.25" customHeight="1" x14ac:dyDescent="0.25">
      <c r="A84" s="82">
        <v>83</v>
      </c>
      <c r="B84" s="82">
        <v>2525952</v>
      </c>
      <c r="C84" s="82" t="s">
        <v>704</v>
      </c>
      <c r="D84" s="83" t="s">
        <v>705</v>
      </c>
      <c r="E84" s="82" t="s">
        <v>682</v>
      </c>
      <c r="F84" s="82" t="s">
        <v>530</v>
      </c>
      <c r="G84" s="82" t="s">
        <v>683</v>
      </c>
      <c r="H84" s="82" t="s">
        <v>684</v>
      </c>
      <c r="I84" s="84" t="s">
        <v>76</v>
      </c>
      <c r="J84" s="85" t="s">
        <v>77</v>
      </c>
      <c r="K84" s="85" t="s">
        <v>78</v>
      </c>
      <c r="L84" s="85" t="s">
        <v>79</v>
      </c>
      <c r="M84" s="82">
        <v>80</v>
      </c>
      <c r="N84" s="83" t="str">
        <f t="shared" si="21"/>
        <v>Mencapai kompetensi dengan baik dalam hal</v>
      </c>
      <c r="O84" s="82">
        <v>76</v>
      </c>
      <c r="P84" s="83" t="str">
        <f t="shared" si="22"/>
        <v>Mencapai kompetensi dengan baik dalam hal</v>
      </c>
      <c r="Q84" s="82">
        <v>79</v>
      </c>
      <c r="R84" s="83" t="str">
        <f t="shared" si="23"/>
        <v>Mencapai kompetensi dengan baik dalam hal</v>
      </c>
      <c r="S84" s="82">
        <v>79</v>
      </c>
      <c r="T84" s="83" t="str">
        <f t="shared" si="24"/>
        <v>Mencapai kompetensi dengan baik dalam hal</v>
      </c>
      <c r="U84" s="82">
        <v>75</v>
      </c>
      <c r="V84" s="83" t="str">
        <f t="shared" si="25"/>
        <v>Mencapai kompetensi dengan baik dalam hal</v>
      </c>
      <c r="W84" s="82">
        <v>80</v>
      </c>
      <c r="X84" s="83" t="str">
        <f t="shared" si="26"/>
        <v>Mencapai kompetensi dengan baik dalam hal</v>
      </c>
      <c r="Y84" s="82">
        <v>75</v>
      </c>
      <c r="Z84" s="83" t="str">
        <f t="shared" si="27"/>
        <v>Mencapai kompetensi dengan baik dalam hal</v>
      </c>
      <c r="AA84" s="82">
        <v>75</v>
      </c>
      <c r="AB84" s="83" t="str">
        <f t="shared" si="28"/>
        <v>Mencapai kompetensi dengan baik dalam hal</v>
      </c>
      <c r="AC84" s="82">
        <v>85</v>
      </c>
      <c r="AD84" s="83" t="str">
        <f t="shared" si="29"/>
        <v>Mencapai kompetensi dengan baik dalam hal</v>
      </c>
      <c r="AE84" s="82">
        <v>80</v>
      </c>
      <c r="AF84" s="83" t="str">
        <f t="shared" si="30"/>
        <v>Mencapai kompetensi dengan baik dalam hal</v>
      </c>
      <c r="AG84" s="82">
        <v>76</v>
      </c>
      <c r="AH84" s="83" t="str">
        <f t="shared" si="31"/>
        <v>Mencapai kompetensi dengan baik dalam hal</v>
      </c>
      <c r="AI84" s="82">
        <v>76</v>
      </c>
      <c r="AJ84" s="83" t="str">
        <f t="shared" si="32"/>
        <v>Mencapai kompetensi dengan baik dalam hal</v>
      </c>
      <c r="AK84" s="82">
        <v>76</v>
      </c>
      <c r="AL84" s="83" t="str">
        <f t="shared" si="33"/>
        <v>Mencapai kompetensi dengan baik dalam hal</v>
      </c>
      <c r="AM84" s="82">
        <v>76</v>
      </c>
      <c r="AN84" s="83" t="str">
        <f t="shared" si="34"/>
        <v>Mencapai kompetensi dengan baik dalam hal</v>
      </c>
      <c r="AO84" s="75">
        <f t="shared" si="40"/>
        <v>76</v>
      </c>
      <c r="AP84" s="82">
        <v>85</v>
      </c>
      <c r="AQ84" s="83" t="str">
        <f t="shared" si="35"/>
        <v>Mencapai kompetensi dengan baik dalam hal</v>
      </c>
      <c r="AR84" s="82">
        <v>80</v>
      </c>
      <c r="AS84" s="83" t="str">
        <f t="shared" si="36"/>
        <v>Mencapai kompetensi dengan baik dalam hal</v>
      </c>
      <c r="AT84" s="86">
        <v>1</v>
      </c>
      <c r="AU84" s="86" t="s">
        <v>81</v>
      </c>
      <c r="AV84" s="86" t="s">
        <v>81</v>
      </c>
      <c r="AW84" s="82">
        <v>1</v>
      </c>
      <c r="AX84" s="82" t="s">
        <v>82</v>
      </c>
      <c r="AY84" s="83" t="s">
        <v>83</v>
      </c>
      <c r="AZ84" s="82" t="s">
        <v>86</v>
      </c>
      <c r="BA84" s="83" t="str">
        <f t="shared" si="37"/>
        <v>Sangat baik</v>
      </c>
      <c r="BB84" s="82">
        <v>2</v>
      </c>
      <c r="BC84" s="83" t="s">
        <v>99</v>
      </c>
      <c r="BD84" s="83" t="s">
        <v>83</v>
      </c>
      <c r="BE84" s="82" t="s">
        <v>84</v>
      </c>
      <c r="BF84" s="83" t="str">
        <f t="shared" si="38"/>
        <v>Baik</v>
      </c>
      <c r="BG84" s="82"/>
      <c r="BH84" s="82"/>
      <c r="BI84" s="82"/>
      <c r="BJ84" s="82"/>
      <c r="BK84" s="83"/>
      <c r="BM84" s="81"/>
      <c r="BN84" s="81"/>
      <c r="BO84" s="81"/>
      <c r="BP84" s="81"/>
      <c r="BQ84" s="81"/>
      <c r="BR84" s="81"/>
      <c r="BT84" s="81">
        <f t="shared" si="39"/>
        <v>0</v>
      </c>
    </row>
    <row r="85" spans="1:75" ht="23.25" customHeight="1" x14ac:dyDescent="0.25">
      <c r="A85" s="82">
        <v>84</v>
      </c>
      <c r="B85" s="82">
        <v>2525954</v>
      </c>
      <c r="C85" s="82" t="s">
        <v>706</v>
      </c>
      <c r="D85" s="83" t="s">
        <v>707</v>
      </c>
      <c r="E85" s="82" t="s">
        <v>682</v>
      </c>
      <c r="F85" s="82" t="s">
        <v>530</v>
      </c>
      <c r="G85" s="82" t="s">
        <v>683</v>
      </c>
      <c r="H85" s="82" t="s">
        <v>684</v>
      </c>
      <c r="I85" s="84" t="s">
        <v>76</v>
      </c>
      <c r="J85" s="85" t="s">
        <v>77</v>
      </c>
      <c r="K85" s="85" t="s">
        <v>78</v>
      </c>
      <c r="L85" s="85" t="s">
        <v>79</v>
      </c>
      <c r="M85" s="82">
        <v>79</v>
      </c>
      <c r="N85" s="83" t="str">
        <f t="shared" si="21"/>
        <v>Mencapai kompetensi dengan baik dalam hal</v>
      </c>
      <c r="O85" s="82">
        <v>76</v>
      </c>
      <c r="P85" s="83" t="str">
        <f t="shared" si="22"/>
        <v>Mencapai kompetensi dengan baik dalam hal</v>
      </c>
      <c r="Q85" s="82">
        <v>79</v>
      </c>
      <c r="R85" s="83" t="str">
        <f t="shared" si="23"/>
        <v>Mencapai kompetensi dengan baik dalam hal</v>
      </c>
      <c r="S85" s="82">
        <v>78</v>
      </c>
      <c r="T85" s="83" t="str">
        <f t="shared" si="24"/>
        <v>Mencapai kompetensi dengan baik dalam hal</v>
      </c>
      <c r="U85" s="82">
        <v>75</v>
      </c>
      <c r="V85" s="83" t="str">
        <f t="shared" si="25"/>
        <v>Mencapai kompetensi dengan baik dalam hal</v>
      </c>
      <c r="W85" s="82">
        <v>78</v>
      </c>
      <c r="X85" s="83" t="str">
        <f t="shared" si="26"/>
        <v>Mencapai kompetensi dengan baik dalam hal</v>
      </c>
      <c r="Y85" s="82">
        <v>77</v>
      </c>
      <c r="Z85" s="83" t="str">
        <f t="shared" si="27"/>
        <v>Mencapai kompetensi dengan baik dalam hal</v>
      </c>
      <c r="AA85" s="82">
        <v>77</v>
      </c>
      <c r="AB85" s="83" t="str">
        <f t="shared" si="28"/>
        <v>Mencapai kompetensi dengan baik dalam hal</v>
      </c>
      <c r="AC85" s="82">
        <v>76</v>
      </c>
      <c r="AD85" s="83" t="str">
        <f t="shared" si="29"/>
        <v>Mencapai kompetensi dengan baik dalam hal</v>
      </c>
      <c r="AE85" s="82">
        <v>80</v>
      </c>
      <c r="AF85" s="83" t="str">
        <f t="shared" si="30"/>
        <v>Mencapai kompetensi dengan baik dalam hal</v>
      </c>
      <c r="AG85" s="82">
        <v>76</v>
      </c>
      <c r="AH85" s="83" t="str">
        <f t="shared" si="31"/>
        <v>Mencapai kompetensi dengan baik dalam hal</v>
      </c>
      <c r="AI85" s="82">
        <v>76</v>
      </c>
      <c r="AJ85" s="83" t="str">
        <f t="shared" si="32"/>
        <v>Mencapai kompetensi dengan baik dalam hal</v>
      </c>
      <c r="AK85" s="82">
        <v>76</v>
      </c>
      <c r="AL85" s="83" t="str">
        <f t="shared" si="33"/>
        <v>Mencapai kompetensi dengan baik dalam hal</v>
      </c>
      <c r="AM85" s="82">
        <v>76</v>
      </c>
      <c r="AN85" s="83" t="str">
        <f t="shared" si="34"/>
        <v>Mencapai kompetensi dengan baik dalam hal</v>
      </c>
      <c r="AO85" s="75">
        <f t="shared" si="40"/>
        <v>76</v>
      </c>
      <c r="AP85" s="82">
        <v>76</v>
      </c>
      <c r="AQ85" s="83" t="str">
        <f t="shared" si="35"/>
        <v>Mencapai kompetensi dengan baik dalam hal</v>
      </c>
      <c r="AR85" s="82">
        <v>79</v>
      </c>
      <c r="AS85" s="83" t="str">
        <f t="shared" si="36"/>
        <v>Mencapai kompetensi dengan baik dalam hal</v>
      </c>
      <c r="AT85" s="86" t="s">
        <v>81</v>
      </c>
      <c r="AU85" s="86" t="s">
        <v>81</v>
      </c>
      <c r="AV85" s="86" t="s">
        <v>81</v>
      </c>
      <c r="AW85" s="82">
        <v>1</v>
      </c>
      <c r="AX85" s="82" t="s">
        <v>82</v>
      </c>
      <c r="AY85" s="83" t="s">
        <v>83</v>
      </c>
      <c r="AZ85" s="82" t="s">
        <v>84</v>
      </c>
      <c r="BA85" s="83" t="str">
        <f t="shared" si="37"/>
        <v>Baik</v>
      </c>
      <c r="BB85" s="82">
        <v>2</v>
      </c>
      <c r="BC85" s="83" t="s">
        <v>236</v>
      </c>
      <c r="BD85" s="83" t="s">
        <v>83</v>
      </c>
      <c r="BE85" s="82" t="s">
        <v>104</v>
      </c>
      <c r="BF85" s="83" t="str">
        <f t="shared" si="38"/>
        <v>Cukup</v>
      </c>
      <c r="BG85" s="82"/>
      <c r="BH85" s="82"/>
      <c r="BI85" s="82"/>
      <c r="BJ85" s="82"/>
      <c r="BK85" s="83"/>
      <c r="BM85" s="81"/>
      <c r="BN85" s="81"/>
      <c r="BO85" s="81"/>
      <c r="BP85" s="81"/>
      <c r="BQ85" s="81"/>
      <c r="BR85" s="81"/>
      <c r="BT85" s="81">
        <f t="shared" si="39"/>
        <v>0</v>
      </c>
    </row>
    <row r="86" spans="1:75" ht="23.25" customHeight="1" x14ac:dyDescent="0.25">
      <c r="A86" s="82">
        <v>85</v>
      </c>
      <c r="B86" s="82">
        <v>2525955</v>
      </c>
      <c r="C86" s="82" t="s">
        <v>708</v>
      </c>
      <c r="D86" s="83" t="s">
        <v>709</v>
      </c>
      <c r="E86" s="82" t="s">
        <v>682</v>
      </c>
      <c r="F86" s="82" t="s">
        <v>530</v>
      </c>
      <c r="G86" s="82" t="s">
        <v>683</v>
      </c>
      <c r="H86" s="82" t="s">
        <v>684</v>
      </c>
      <c r="I86" s="84" t="s">
        <v>76</v>
      </c>
      <c r="J86" s="85" t="s">
        <v>77</v>
      </c>
      <c r="K86" s="85" t="s">
        <v>78</v>
      </c>
      <c r="L86" s="85" t="s">
        <v>79</v>
      </c>
      <c r="M86" s="82">
        <v>80</v>
      </c>
      <c r="N86" s="83" t="str">
        <f t="shared" ref="N86:N108" si="41">VLOOKUP(M86,grades1,2,TRUE)</f>
        <v>Mencapai kompetensi dengan baik dalam hal</v>
      </c>
      <c r="O86" s="82">
        <v>78</v>
      </c>
      <c r="P86" s="83" t="str">
        <f t="shared" si="22"/>
        <v>Mencapai kompetensi dengan baik dalam hal</v>
      </c>
      <c r="Q86" s="82">
        <v>82</v>
      </c>
      <c r="R86" s="83" t="str">
        <f t="shared" ref="R86:R108" si="42">VLOOKUP(Q86,grades1,2,TRUE)</f>
        <v>Mencapai kompetensi dengan baik dalam hal</v>
      </c>
      <c r="S86" s="82">
        <v>80</v>
      </c>
      <c r="T86" s="83" t="str">
        <f t="shared" ref="T86:T108" si="43">VLOOKUP(S86,grades1,2,TRUE)</f>
        <v>Mencapai kompetensi dengan baik dalam hal</v>
      </c>
      <c r="U86" s="82">
        <v>88</v>
      </c>
      <c r="V86" s="83" t="str">
        <f t="shared" ref="V86:V108" si="44">VLOOKUP(U86,grades1,2,TRUE)</f>
        <v>Mencapai kompetensi dengan baik dalam hal</v>
      </c>
      <c r="W86" s="82">
        <v>80</v>
      </c>
      <c r="X86" s="83" t="str">
        <f t="shared" ref="X86:X108" si="45">VLOOKUP(W86,grades1,2,TRUE)</f>
        <v>Mencapai kompetensi dengan baik dalam hal</v>
      </c>
      <c r="Y86" s="82">
        <v>81</v>
      </c>
      <c r="Z86" s="83" t="str">
        <f t="shared" ref="Z86:Z108" si="46">VLOOKUP(Y86,grades1,2,TRUE)</f>
        <v>Mencapai kompetensi dengan baik dalam hal</v>
      </c>
      <c r="AA86" s="82">
        <v>81</v>
      </c>
      <c r="AB86" s="83" t="str">
        <f t="shared" ref="AB86:AB108" si="47">VLOOKUP(AA86,grades1,2,TRUE)</f>
        <v>Mencapai kompetensi dengan baik dalam hal</v>
      </c>
      <c r="AC86" s="82">
        <v>88</v>
      </c>
      <c r="AD86" s="83" t="str">
        <f t="shared" ref="AD86:AD108" si="48">VLOOKUP(AC86,grades1,2,TRUE)</f>
        <v>Mencapai kompetensi dengan baik dalam hal</v>
      </c>
      <c r="AE86" s="82">
        <v>81</v>
      </c>
      <c r="AF86" s="83" t="str">
        <f t="shared" ref="AF86:AF108" si="49">VLOOKUP(AE86,grades1,2,TRUE)</f>
        <v>Mencapai kompetensi dengan baik dalam hal</v>
      </c>
      <c r="AG86" s="82">
        <v>80</v>
      </c>
      <c r="AH86" s="83" t="str">
        <f t="shared" ref="AH86:AH108" si="50">VLOOKUP(AG86,grades1,2,TRUE)</f>
        <v>Mencapai kompetensi dengan baik dalam hal</v>
      </c>
      <c r="AI86" s="82">
        <v>80</v>
      </c>
      <c r="AJ86" s="83" t="str">
        <f t="shared" ref="AJ86:AJ108" si="51">VLOOKUP(AI86,grades1,2,TRUE)</f>
        <v>Mencapai kompetensi dengan baik dalam hal</v>
      </c>
      <c r="AK86" s="82">
        <v>80</v>
      </c>
      <c r="AL86" s="83" t="str">
        <f t="shared" ref="AL86:AL108" si="52">VLOOKUP(AK86,grades1,2,TRUE)</f>
        <v>Mencapai kompetensi dengan baik dalam hal</v>
      </c>
      <c r="AM86" s="82">
        <v>80</v>
      </c>
      <c r="AN86" s="83" t="str">
        <f t="shared" ref="AN86:AN108" si="53">VLOOKUP(AM86,grades1,2,TRUE)</f>
        <v>Mencapai kompetensi dengan baik dalam hal</v>
      </c>
      <c r="AO86" s="75">
        <f t="shared" si="40"/>
        <v>80</v>
      </c>
      <c r="AP86" s="82">
        <v>88</v>
      </c>
      <c r="AQ86" s="83" t="str">
        <f t="shared" ref="AQ86:AQ108" si="54">VLOOKUP(AP86,grades1,2,TRUE)</f>
        <v>Mencapai kompetensi dengan baik dalam hal</v>
      </c>
      <c r="AR86" s="82">
        <v>80</v>
      </c>
      <c r="AS86" s="83" t="str">
        <f t="shared" ref="AS86:AS108" si="55">VLOOKUP(AR86,grades1,2,TRUE)</f>
        <v>Mencapai kompetensi dengan baik dalam hal</v>
      </c>
      <c r="AT86" s="86">
        <v>2</v>
      </c>
      <c r="AU86" s="86" t="s">
        <v>81</v>
      </c>
      <c r="AV86" s="86" t="s">
        <v>81</v>
      </c>
      <c r="AW86" s="82">
        <v>1</v>
      </c>
      <c r="AX86" s="82" t="s">
        <v>82</v>
      </c>
      <c r="AY86" s="83" t="s">
        <v>83</v>
      </c>
      <c r="AZ86" s="82" t="s">
        <v>84</v>
      </c>
      <c r="BA86" s="83" t="str">
        <f t="shared" si="37"/>
        <v>Baik</v>
      </c>
      <c r="BB86" s="82">
        <v>2</v>
      </c>
      <c r="BC86" s="83" t="s">
        <v>236</v>
      </c>
      <c r="BD86" s="83" t="s">
        <v>83</v>
      </c>
      <c r="BE86" s="82" t="s">
        <v>84</v>
      </c>
      <c r="BF86" s="83" t="str">
        <f t="shared" si="38"/>
        <v>Baik</v>
      </c>
      <c r="BG86" s="82"/>
      <c r="BH86" s="82"/>
      <c r="BI86" s="82"/>
      <c r="BJ86" s="82"/>
      <c r="BK86" s="83"/>
      <c r="BM86" s="81"/>
      <c r="BN86" s="81"/>
      <c r="BO86" s="81"/>
      <c r="BP86" s="81"/>
      <c r="BQ86" s="81"/>
      <c r="BR86" s="81"/>
      <c r="BT86" s="81">
        <f t="shared" si="39"/>
        <v>0</v>
      </c>
    </row>
    <row r="87" spans="1:75" ht="23.25" customHeight="1" x14ac:dyDescent="0.25">
      <c r="A87" s="82">
        <v>86</v>
      </c>
      <c r="B87" s="82">
        <v>2525956</v>
      </c>
      <c r="C87" s="82" t="s">
        <v>710</v>
      </c>
      <c r="D87" s="83" t="s">
        <v>711</v>
      </c>
      <c r="E87" s="82" t="s">
        <v>682</v>
      </c>
      <c r="F87" s="82" t="s">
        <v>530</v>
      </c>
      <c r="G87" s="82" t="s">
        <v>683</v>
      </c>
      <c r="H87" s="82" t="s">
        <v>684</v>
      </c>
      <c r="I87" s="84" t="s">
        <v>76</v>
      </c>
      <c r="J87" s="85" t="s">
        <v>77</v>
      </c>
      <c r="K87" s="85" t="s">
        <v>78</v>
      </c>
      <c r="L87" s="85" t="s">
        <v>79</v>
      </c>
      <c r="M87" s="82">
        <v>81</v>
      </c>
      <c r="N87" s="83" t="str">
        <f t="shared" si="41"/>
        <v>Mencapai kompetensi dengan baik dalam hal</v>
      </c>
      <c r="O87" s="82">
        <v>75</v>
      </c>
      <c r="P87" s="83" t="str">
        <f t="shared" si="22"/>
        <v>Mencapai kompetensi dengan baik dalam hal</v>
      </c>
      <c r="Q87" s="82">
        <v>78</v>
      </c>
      <c r="R87" s="83" t="str">
        <f t="shared" si="42"/>
        <v>Mencapai kompetensi dengan baik dalam hal</v>
      </c>
      <c r="S87" s="82">
        <v>80</v>
      </c>
      <c r="T87" s="83" t="str">
        <f t="shared" si="43"/>
        <v>Mencapai kompetensi dengan baik dalam hal</v>
      </c>
      <c r="U87" s="82">
        <v>75</v>
      </c>
      <c r="V87" s="83" t="str">
        <f t="shared" si="44"/>
        <v>Mencapai kompetensi dengan baik dalam hal</v>
      </c>
      <c r="W87" s="82">
        <v>77</v>
      </c>
      <c r="X87" s="83" t="str">
        <f t="shared" si="45"/>
        <v>Mencapai kompetensi dengan baik dalam hal</v>
      </c>
      <c r="Y87" s="82">
        <v>75</v>
      </c>
      <c r="Z87" s="83" t="str">
        <f t="shared" si="46"/>
        <v>Mencapai kompetensi dengan baik dalam hal</v>
      </c>
      <c r="AA87" s="82">
        <v>75</v>
      </c>
      <c r="AB87" s="83" t="str">
        <f t="shared" si="47"/>
        <v>Mencapai kompetensi dengan baik dalam hal</v>
      </c>
      <c r="AC87" s="82">
        <v>77</v>
      </c>
      <c r="AD87" s="83" t="str">
        <f t="shared" si="48"/>
        <v>Mencapai kompetensi dengan baik dalam hal</v>
      </c>
      <c r="AE87" s="82">
        <v>80</v>
      </c>
      <c r="AF87" s="83" t="str">
        <f t="shared" si="49"/>
        <v>Mencapai kompetensi dengan baik dalam hal</v>
      </c>
      <c r="AG87" s="82">
        <v>76</v>
      </c>
      <c r="AH87" s="83" t="str">
        <f t="shared" si="50"/>
        <v>Mencapai kompetensi dengan baik dalam hal</v>
      </c>
      <c r="AI87" s="82">
        <v>76</v>
      </c>
      <c r="AJ87" s="83" t="str">
        <f t="shared" si="51"/>
        <v>Mencapai kompetensi dengan baik dalam hal</v>
      </c>
      <c r="AK87" s="82">
        <v>76</v>
      </c>
      <c r="AL87" s="83" t="str">
        <f t="shared" si="52"/>
        <v>Mencapai kompetensi dengan baik dalam hal</v>
      </c>
      <c r="AM87" s="82">
        <v>76</v>
      </c>
      <c r="AN87" s="83" t="str">
        <f t="shared" si="53"/>
        <v>Mencapai kompetensi dengan baik dalam hal</v>
      </c>
      <c r="AO87" s="75">
        <f t="shared" si="40"/>
        <v>76</v>
      </c>
      <c r="AP87" s="82">
        <v>77</v>
      </c>
      <c r="AQ87" s="83" t="str">
        <f t="shared" si="54"/>
        <v>Mencapai kompetensi dengan baik dalam hal</v>
      </c>
      <c r="AR87" s="82">
        <v>76</v>
      </c>
      <c r="AS87" s="83" t="str">
        <f t="shared" si="55"/>
        <v>Mencapai kompetensi dengan baik dalam hal</v>
      </c>
      <c r="AT87" s="86">
        <v>4</v>
      </c>
      <c r="AU87" s="86" t="s">
        <v>81</v>
      </c>
      <c r="AV87" s="86" t="s">
        <v>81</v>
      </c>
      <c r="AW87" s="82">
        <v>1</v>
      </c>
      <c r="AX87" s="82" t="s">
        <v>82</v>
      </c>
      <c r="AY87" s="83" t="s">
        <v>83</v>
      </c>
      <c r="AZ87" s="82" t="s">
        <v>110</v>
      </c>
      <c r="BA87" s="83" t="str">
        <f t="shared" si="37"/>
        <v>Kurang</v>
      </c>
      <c r="BB87" s="82">
        <v>2</v>
      </c>
      <c r="BC87" s="83" t="s">
        <v>103</v>
      </c>
      <c r="BD87" s="83" t="s">
        <v>83</v>
      </c>
      <c r="BE87" s="82" t="s">
        <v>84</v>
      </c>
      <c r="BF87" s="83" t="str">
        <f t="shared" si="38"/>
        <v>Baik</v>
      </c>
      <c r="BG87" s="82"/>
      <c r="BH87" s="82"/>
      <c r="BI87" s="82"/>
      <c r="BJ87" s="82"/>
      <c r="BK87" s="83"/>
      <c r="BM87" s="81"/>
      <c r="BN87" s="81"/>
      <c r="BO87" s="81"/>
      <c r="BP87" s="81"/>
      <c r="BQ87" s="81"/>
      <c r="BR87" s="81"/>
      <c r="BT87" s="81">
        <f t="shared" si="39"/>
        <v>0</v>
      </c>
    </row>
    <row r="88" spans="1:75" ht="23.25" customHeight="1" x14ac:dyDescent="0.25">
      <c r="A88" s="82">
        <v>87</v>
      </c>
      <c r="B88" s="82">
        <v>2525957</v>
      </c>
      <c r="C88" s="82" t="s">
        <v>712</v>
      </c>
      <c r="D88" s="83" t="s">
        <v>713</v>
      </c>
      <c r="E88" s="82" t="s">
        <v>682</v>
      </c>
      <c r="F88" s="82" t="s">
        <v>530</v>
      </c>
      <c r="G88" s="82" t="s">
        <v>683</v>
      </c>
      <c r="H88" s="82" t="s">
        <v>684</v>
      </c>
      <c r="I88" s="84" t="s">
        <v>76</v>
      </c>
      <c r="J88" s="85" t="s">
        <v>77</v>
      </c>
      <c r="K88" s="85" t="s">
        <v>78</v>
      </c>
      <c r="L88" s="85" t="s">
        <v>79</v>
      </c>
      <c r="M88" s="82">
        <v>80</v>
      </c>
      <c r="N88" s="83" t="str">
        <f t="shared" si="41"/>
        <v>Mencapai kompetensi dengan baik dalam hal</v>
      </c>
      <c r="O88" s="82">
        <v>75</v>
      </c>
      <c r="P88" s="83" t="str">
        <f t="shared" si="22"/>
        <v>Mencapai kompetensi dengan baik dalam hal</v>
      </c>
      <c r="Q88" s="82">
        <v>80</v>
      </c>
      <c r="R88" s="83" t="str">
        <f t="shared" si="42"/>
        <v>Mencapai kompetensi dengan baik dalam hal</v>
      </c>
      <c r="S88" s="82">
        <v>78</v>
      </c>
      <c r="T88" s="83" t="str">
        <f t="shared" si="43"/>
        <v>Mencapai kompetensi dengan baik dalam hal</v>
      </c>
      <c r="U88" s="82">
        <v>76</v>
      </c>
      <c r="V88" s="83" t="str">
        <f t="shared" si="44"/>
        <v>Mencapai kompetensi dengan baik dalam hal</v>
      </c>
      <c r="W88" s="82">
        <v>77</v>
      </c>
      <c r="X88" s="83" t="str">
        <f t="shared" si="45"/>
        <v>Mencapai kompetensi dengan baik dalam hal</v>
      </c>
      <c r="Y88" s="82">
        <v>77</v>
      </c>
      <c r="Z88" s="83" t="str">
        <f t="shared" si="46"/>
        <v>Mencapai kompetensi dengan baik dalam hal</v>
      </c>
      <c r="AA88" s="82">
        <v>76</v>
      </c>
      <c r="AB88" s="83" t="str">
        <f t="shared" si="47"/>
        <v>Mencapai kompetensi dengan baik dalam hal</v>
      </c>
      <c r="AC88" s="82">
        <v>87</v>
      </c>
      <c r="AD88" s="83" t="str">
        <f t="shared" si="48"/>
        <v>Mencapai kompetensi dengan baik dalam hal</v>
      </c>
      <c r="AE88" s="82">
        <v>85</v>
      </c>
      <c r="AF88" s="83" t="str">
        <f t="shared" si="49"/>
        <v>Mencapai kompetensi dengan baik dalam hal</v>
      </c>
      <c r="AG88" s="82">
        <v>78</v>
      </c>
      <c r="AH88" s="83" t="str">
        <f t="shared" si="50"/>
        <v>Mencapai kompetensi dengan baik dalam hal</v>
      </c>
      <c r="AI88" s="82">
        <v>78</v>
      </c>
      <c r="AJ88" s="83" t="str">
        <f t="shared" si="51"/>
        <v>Mencapai kompetensi dengan baik dalam hal</v>
      </c>
      <c r="AK88" s="82">
        <v>78</v>
      </c>
      <c r="AL88" s="83" t="str">
        <f t="shared" si="52"/>
        <v>Mencapai kompetensi dengan baik dalam hal</v>
      </c>
      <c r="AM88" s="82">
        <v>78</v>
      </c>
      <c r="AN88" s="83" t="str">
        <f t="shared" si="53"/>
        <v>Mencapai kompetensi dengan baik dalam hal</v>
      </c>
      <c r="AO88" s="75">
        <f t="shared" si="40"/>
        <v>78</v>
      </c>
      <c r="AP88" s="82">
        <v>87</v>
      </c>
      <c r="AQ88" s="83" t="str">
        <f t="shared" si="54"/>
        <v>Mencapai kompetensi dengan baik dalam hal</v>
      </c>
      <c r="AR88" s="82">
        <v>79</v>
      </c>
      <c r="AS88" s="83" t="str">
        <f t="shared" si="55"/>
        <v>Mencapai kompetensi dengan baik dalam hal</v>
      </c>
      <c r="AT88" s="86">
        <v>1</v>
      </c>
      <c r="AU88" s="86" t="s">
        <v>81</v>
      </c>
      <c r="AV88" s="86">
        <v>1</v>
      </c>
      <c r="AW88" s="82">
        <v>1</v>
      </c>
      <c r="AX88" s="82" t="s">
        <v>82</v>
      </c>
      <c r="AY88" s="83" t="s">
        <v>83</v>
      </c>
      <c r="AZ88" s="82" t="s">
        <v>84</v>
      </c>
      <c r="BA88" s="83" t="str">
        <f t="shared" si="37"/>
        <v>Baik</v>
      </c>
      <c r="BB88" s="82">
        <v>2</v>
      </c>
      <c r="BC88" s="83" t="s">
        <v>170</v>
      </c>
      <c r="BD88" s="83" t="s">
        <v>83</v>
      </c>
      <c r="BE88" s="82" t="s">
        <v>84</v>
      </c>
      <c r="BF88" s="83" t="str">
        <f t="shared" si="38"/>
        <v>Baik</v>
      </c>
      <c r="BG88" s="82"/>
      <c r="BH88" s="82"/>
      <c r="BI88" s="82"/>
      <c r="BJ88" s="82"/>
      <c r="BK88" s="83"/>
      <c r="BM88" s="81"/>
      <c r="BN88" s="81"/>
      <c r="BO88" s="81"/>
      <c r="BP88" s="81"/>
      <c r="BQ88" s="81"/>
      <c r="BR88" s="81"/>
      <c r="BT88" s="81">
        <f t="shared" si="39"/>
        <v>0</v>
      </c>
    </row>
    <row r="89" spans="1:75" ht="23.25" customHeight="1" x14ac:dyDescent="0.25">
      <c r="A89" s="82">
        <v>88</v>
      </c>
      <c r="B89" s="82">
        <v>2525958</v>
      </c>
      <c r="C89" s="82" t="s">
        <v>714</v>
      </c>
      <c r="D89" s="83" t="s">
        <v>715</v>
      </c>
      <c r="E89" s="82" t="s">
        <v>682</v>
      </c>
      <c r="F89" s="82" t="s">
        <v>530</v>
      </c>
      <c r="G89" s="82" t="s">
        <v>683</v>
      </c>
      <c r="H89" s="82" t="s">
        <v>684</v>
      </c>
      <c r="I89" s="84" t="s">
        <v>76</v>
      </c>
      <c r="J89" s="85" t="s">
        <v>77</v>
      </c>
      <c r="K89" s="85" t="s">
        <v>78</v>
      </c>
      <c r="L89" s="85" t="s">
        <v>79</v>
      </c>
      <c r="M89" s="82">
        <v>80</v>
      </c>
      <c r="N89" s="83" t="str">
        <f t="shared" si="41"/>
        <v>Mencapai kompetensi dengan baik dalam hal</v>
      </c>
      <c r="O89" s="82">
        <v>75</v>
      </c>
      <c r="P89" s="83" t="str">
        <f t="shared" si="22"/>
        <v>Mencapai kompetensi dengan baik dalam hal</v>
      </c>
      <c r="Q89" s="82">
        <v>80</v>
      </c>
      <c r="R89" s="83" t="str">
        <f t="shared" si="42"/>
        <v>Mencapai kompetensi dengan baik dalam hal</v>
      </c>
      <c r="S89" s="82">
        <v>79</v>
      </c>
      <c r="T89" s="83" t="str">
        <f t="shared" si="43"/>
        <v>Mencapai kompetensi dengan baik dalam hal</v>
      </c>
      <c r="U89" s="82">
        <v>80</v>
      </c>
      <c r="V89" s="83" t="str">
        <f t="shared" si="44"/>
        <v>Mencapai kompetensi dengan baik dalam hal</v>
      </c>
      <c r="W89" s="82">
        <v>81</v>
      </c>
      <c r="X89" s="83" t="str">
        <f t="shared" si="45"/>
        <v>Mencapai kompetensi dengan baik dalam hal</v>
      </c>
      <c r="Y89" s="82">
        <v>78</v>
      </c>
      <c r="Z89" s="83" t="str">
        <f t="shared" si="46"/>
        <v>Mencapai kompetensi dengan baik dalam hal</v>
      </c>
      <c r="AA89" s="82">
        <v>78</v>
      </c>
      <c r="AB89" s="83" t="str">
        <f t="shared" si="47"/>
        <v>Mencapai kompetensi dengan baik dalam hal</v>
      </c>
      <c r="AC89" s="82">
        <v>87</v>
      </c>
      <c r="AD89" s="83" t="str">
        <f t="shared" si="48"/>
        <v>Mencapai kompetensi dengan baik dalam hal</v>
      </c>
      <c r="AE89" s="82">
        <v>83</v>
      </c>
      <c r="AF89" s="83" t="str">
        <f t="shared" si="49"/>
        <v>Mencapai kompetensi dengan baik dalam hal</v>
      </c>
      <c r="AG89" s="82">
        <v>77</v>
      </c>
      <c r="AH89" s="83" t="str">
        <f t="shared" si="50"/>
        <v>Mencapai kompetensi dengan baik dalam hal</v>
      </c>
      <c r="AI89" s="82">
        <v>77</v>
      </c>
      <c r="AJ89" s="83" t="str">
        <f t="shared" si="51"/>
        <v>Mencapai kompetensi dengan baik dalam hal</v>
      </c>
      <c r="AK89" s="82">
        <v>77</v>
      </c>
      <c r="AL89" s="83" t="str">
        <f t="shared" si="52"/>
        <v>Mencapai kompetensi dengan baik dalam hal</v>
      </c>
      <c r="AM89" s="82">
        <v>77</v>
      </c>
      <c r="AN89" s="83" t="str">
        <f t="shared" si="53"/>
        <v>Mencapai kompetensi dengan baik dalam hal</v>
      </c>
      <c r="AO89" s="75">
        <f t="shared" si="40"/>
        <v>77</v>
      </c>
      <c r="AP89" s="82">
        <v>87</v>
      </c>
      <c r="AQ89" s="83" t="str">
        <f t="shared" si="54"/>
        <v>Mencapai kompetensi dengan baik dalam hal</v>
      </c>
      <c r="AR89" s="82">
        <v>78</v>
      </c>
      <c r="AS89" s="83" t="str">
        <f t="shared" si="55"/>
        <v>Mencapai kompetensi dengan baik dalam hal</v>
      </c>
      <c r="AT89" s="86">
        <v>2</v>
      </c>
      <c r="AU89" s="86" t="s">
        <v>81</v>
      </c>
      <c r="AV89" s="86" t="s">
        <v>81</v>
      </c>
      <c r="AW89" s="82">
        <v>1</v>
      </c>
      <c r="AX89" s="82" t="s">
        <v>82</v>
      </c>
      <c r="AY89" s="83" t="s">
        <v>83</v>
      </c>
      <c r="AZ89" s="82" t="s">
        <v>86</v>
      </c>
      <c r="BA89" s="83" t="str">
        <f t="shared" si="37"/>
        <v>Sangat baik</v>
      </c>
      <c r="BB89" s="82">
        <v>2</v>
      </c>
      <c r="BC89" s="83" t="s">
        <v>108</v>
      </c>
      <c r="BD89" s="83" t="s">
        <v>83</v>
      </c>
      <c r="BE89" s="82" t="s">
        <v>86</v>
      </c>
      <c r="BF89" s="83" t="str">
        <f t="shared" si="38"/>
        <v>Sangat baik</v>
      </c>
      <c r="BG89" s="82"/>
      <c r="BH89" s="82"/>
      <c r="BI89" s="82"/>
      <c r="BJ89" s="82"/>
      <c r="BK89" s="83"/>
      <c r="BM89" s="81"/>
      <c r="BN89" s="81"/>
      <c r="BO89" s="81"/>
      <c r="BP89" s="81"/>
      <c r="BQ89" s="81"/>
      <c r="BR89" s="81"/>
      <c r="BT89" s="81">
        <f t="shared" si="39"/>
        <v>0</v>
      </c>
    </row>
    <row r="90" spans="1:75" ht="23.25" customHeight="1" x14ac:dyDescent="0.25">
      <c r="A90" s="82">
        <v>89</v>
      </c>
      <c r="B90" s="82">
        <v>2525959</v>
      </c>
      <c r="C90" s="82" t="s">
        <v>716</v>
      </c>
      <c r="D90" s="83" t="s">
        <v>717</v>
      </c>
      <c r="E90" s="82" t="s">
        <v>682</v>
      </c>
      <c r="F90" s="82" t="s">
        <v>530</v>
      </c>
      <c r="G90" s="82" t="s">
        <v>683</v>
      </c>
      <c r="H90" s="82" t="s">
        <v>684</v>
      </c>
      <c r="I90" s="84" t="s">
        <v>76</v>
      </c>
      <c r="J90" s="85" t="s">
        <v>77</v>
      </c>
      <c r="K90" s="85" t="s">
        <v>78</v>
      </c>
      <c r="L90" s="85" t="s">
        <v>79</v>
      </c>
      <c r="M90" s="82">
        <v>83</v>
      </c>
      <c r="N90" s="83" t="str">
        <f t="shared" si="41"/>
        <v>Mencapai kompetensi dengan baik dalam hal</v>
      </c>
      <c r="O90" s="82">
        <v>78</v>
      </c>
      <c r="P90" s="83" t="str">
        <f t="shared" si="22"/>
        <v>Mencapai kompetensi dengan baik dalam hal</v>
      </c>
      <c r="Q90" s="82">
        <v>82</v>
      </c>
      <c r="R90" s="83" t="str">
        <f t="shared" si="42"/>
        <v>Mencapai kompetensi dengan baik dalam hal</v>
      </c>
      <c r="S90" s="82">
        <v>80</v>
      </c>
      <c r="T90" s="83" t="str">
        <f t="shared" si="43"/>
        <v>Mencapai kompetensi dengan baik dalam hal</v>
      </c>
      <c r="U90" s="82">
        <v>88</v>
      </c>
      <c r="V90" s="83" t="str">
        <f t="shared" si="44"/>
        <v>Mencapai kompetensi dengan baik dalam hal</v>
      </c>
      <c r="W90" s="82">
        <v>83</v>
      </c>
      <c r="X90" s="83" t="str">
        <f t="shared" si="45"/>
        <v>Mencapai kompetensi dengan baik dalam hal</v>
      </c>
      <c r="Y90" s="82">
        <v>77</v>
      </c>
      <c r="Z90" s="83" t="str">
        <f t="shared" si="46"/>
        <v>Mencapai kompetensi dengan baik dalam hal</v>
      </c>
      <c r="AA90" s="82">
        <v>81</v>
      </c>
      <c r="AB90" s="83" t="str">
        <f t="shared" si="47"/>
        <v>Mencapai kompetensi dengan baik dalam hal</v>
      </c>
      <c r="AC90" s="82">
        <v>88</v>
      </c>
      <c r="AD90" s="83" t="str">
        <f t="shared" si="48"/>
        <v>Mencapai kompetensi dengan baik dalam hal</v>
      </c>
      <c r="AE90" s="82">
        <v>86</v>
      </c>
      <c r="AF90" s="83" t="str">
        <f t="shared" si="49"/>
        <v>Mencapai kompetensi dengan baik dalam hal</v>
      </c>
      <c r="AG90" s="82">
        <v>88</v>
      </c>
      <c r="AH90" s="83" t="str">
        <f t="shared" si="50"/>
        <v>Mencapai kompetensi dengan baik dalam hal</v>
      </c>
      <c r="AI90" s="82">
        <v>88</v>
      </c>
      <c r="AJ90" s="83" t="str">
        <f t="shared" si="51"/>
        <v>Mencapai kompetensi dengan baik dalam hal</v>
      </c>
      <c r="AK90" s="82">
        <v>88</v>
      </c>
      <c r="AL90" s="83" t="str">
        <f t="shared" si="52"/>
        <v>Mencapai kompetensi dengan baik dalam hal</v>
      </c>
      <c r="AM90" s="82">
        <v>88</v>
      </c>
      <c r="AN90" s="83" t="str">
        <f t="shared" si="53"/>
        <v>Mencapai kompetensi dengan baik dalam hal</v>
      </c>
      <c r="AO90" s="75">
        <f t="shared" si="40"/>
        <v>88</v>
      </c>
      <c r="AP90" s="82">
        <v>88</v>
      </c>
      <c r="AQ90" s="83" t="str">
        <f t="shared" si="54"/>
        <v>Mencapai kompetensi dengan baik dalam hal</v>
      </c>
      <c r="AR90" s="82">
        <v>80</v>
      </c>
      <c r="AS90" s="83" t="str">
        <f t="shared" si="55"/>
        <v>Mencapai kompetensi dengan baik dalam hal</v>
      </c>
      <c r="AT90" s="86"/>
      <c r="AU90" s="86" t="s">
        <v>81</v>
      </c>
      <c r="AV90" s="86" t="s">
        <v>81</v>
      </c>
      <c r="AW90" s="82">
        <v>1</v>
      </c>
      <c r="AX90" s="82" t="s">
        <v>82</v>
      </c>
      <c r="AY90" s="83" t="s">
        <v>83</v>
      </c>
      <c r="AZ90" s="82" t="s">
        <v>84</v>
      </c>
      <c r="BA90" s="83" t="str">
        <f t="shared" si="37"/>
        <v>Baik</v>
      </c>
      <c r="BB90" s="82">
        <v>2</v>
      </c>
      <c r="BC90" s="83" t="s">
        <v>85</v>
      </c>
      <c r="BD90" s="83" t="s">
        <v>83</v>
      </c>
      <c r="BE90" s="82" t="s">
        <v>86</v>
      </c>
      <c r="BF90" s="83" t="str">
        <f t="shared" si="38"/>
        <v>Sangat baik</v>
      </c>
      <c r="BG90" s="82">
        <v>3</v>
      </c>
      <c r="BH90" s="82" t="s">
        <v>87</v>
      </c>
      <c r="BI90" s="82" t="s">
        <v>83</v>
      </c>
      <c r="BJ90" s="82" t="s">
        <v>84</v>
      </c>
      <c r="BK90" s="83" t="str">
        <f t="shared" ref="BK90" si="56">VLOOKUP(BJ90,grades6,2,TRUE)</f>
        <v>Baik</v>
      </c>
      <c r="BM90" s="81"/>
      <c r="BN90" s="81"/>
      <c r="BO90" s="81"/>
      <c r="BP90" s="81"/>
      <c r="BQ90" s="81"/>
      <c r="BR90" s="81"/>
      <c r="BT90" s="81">
        <f t="shared" si="39"/>
        <v>0</v>
      </c>
    </row>
    <row r="91" spans="1:75" ht="23.25" customHeight="1" x14ac:dyDescent="0.25">
      <c r="A91" s="82">
        <v>90</v>
      </c>
      <c r="B91" s="82">
        <v>2525960</v>
      </c>
      <c r="C91" s="82" t="s">
        <v>718</v>
      </c>
      <c r="D91" s="83" t="s">
        <v>719</v>
      </c>
      <c r="E91" s="82" t="s">
        <v>682</v>
      </c>
      <c r="F91" s="82" t="s">
        <v>530</v>
      </c>
      <c r="G91" s="82" t="s">
        <v>683</v>
      </c>
      <c r="H91" s="82" t="s">
        <v>684</v>
      </c>
      <c r="I91" s="84" t="s">
        <v>76</v>
      </c>
      <c r="J91" s="85" t="s">
        <v>77</v>
      </c>
      <c r="K91" s="85" t="s">
        <v>78</v>
      </c>
      <c r="L91" s="85" t="s">
        <v>79</v>
      </c>
      <c r="M91" s="82">
        <v>78</v>
      </c>
      <c r="N91" s="83" t="str">
        <f t="shared" si="41"/>
        <v>Mencapai kompetensi dengan baik dalam hal</v>
      </c>
      <c r="O91" s="82">
        <v>76</v>
      </c>
      <c r="P91" s="83" t="str">
        <f t="shared" si="22"/>
        <v>Mencapai kompetensi dengan baik dalam hal</v>
      </c>
      <c r="Q91" s="82">
        <v>78</v>
      </c>
      <c r="R91" s="83" t="str">
        <f t="shared" si="42"/>
        <v>Mencapai kompetensi dengan baik dalam hal</v>
      </c>
      <c r="S91" s="82">
        <v>78</v>
      </c>
      <c r="T91" s="83" t="str">
        <f t="shared" si="43"/>
        <v>Mencapai kompetensi dengan baik dalam hal</v>
      </c>
      <c r="U91" s="82">
        <v>75</v>
      </c>
      <c r="V91" s="83" t="str">
        <f t="shared" si="44"/>
        <v>Mencapai kompetensi dengan baik dalam hal</v>
      </c>
      <c r="W91" s="82">
        <v>78</v>
      </c>
      <c r="X91" s="83" t="str">
        <f t="shared" si="45"/>
        <v>Mencapai kompetensi dengan baik dalam hal</v>
      </c>
      <c r="Y91" s="82">
        <v>75</v>
      </c>
      <c r="Z91" s="83" t="str">
        <f t="shared" si="46"/>
        <v>Mencapai kompetensi dengan baik dalam hal</v>
      </c>
      <c r="AA91" s="82">
        <v>76</v>
      </c>
      <c r="AB91" s="83" t="str">
        <f t="shared" si="47"/>
        <v>Mencapai kompetensi dengan baik dalam hal</v>
      </c>
      <c r="AC91" s="82">
        <v>85</v>
      </c>
      <c r="AD91" s="83" t="str">
        <f t="shared" si="48"/>
        <v>Mencapai kompetensi dengan baik dalam hal</v>
      </c>
      <c r="AE91" s="82">
        <v>80</v>
      </c>
      <c r="AF91" s="83" t="str">
        <f t="shared" si="49"/>
        <v>Mencapai kompetensi dengan baik dalam hal</v>
      </c>
      <c r="AG91" s="82">
        <v>76</v>
      </c>
      <c r="AH91" s="83" t="str">
        <f t="shared" si="50"/>
        <v>Mencapai kompetensi dengan baik dalam hal</v>
      </c>
      <c r="AI91" s="82">
        <v>76</v>
      </c>
      <c r="AJ91" s="83" t="str">
        <f t="shared" si="51"/>
        <v>Mencapai kompetensi dengan baik dalam hal</v>
      </c>
      <c r="AK91" s="82">
        <v>76</v>
      </c>
      <c r="AL91" s="83" t="str">
        <f t="shared" si="52"/>
        <v>Mencapai kompetensi dengan baik dalam hal</v>
      </c>
      <c r="AM91" s="82">
        <v>76</v>
      </c>
      <c r="AN91" s="83" t="str">
        <f t="shared" si="53"/>
        <v>Mencapai kompetensi dengan baik dalam hal</v>
      </c>
      <c r="AO91" s="75">
        <f t="shared" si="40"/>
        <v>76</v>
      </c>
      <c r="AP91" s="82">
        <v>85</v>
      </c>
      <c r="AQ91" s="83" t="str">
        <f t="shared" si="54"/>
        <v>Mencapai kompetensi dengan baik dalam hal</v>
      </c>
      <c r="AR91" s="82">
        <v>79</v>
      </c>
      <c r="AS91" s="83" t="str">
        <f t="shared" si="55"/>
        <v>Mencapai kompetensi dengan baik dalam hal</v>
      </c>
      <c r="AT91" s="86">
        <v>1</v>
      </c>
      <c r="AU91" s="86" t="s">
        <v>81</v>
      </c>
      <c r="AV91" s="86" t="s">
        <v>81</v>
      </c>
      <c r="AW91" s="82">
        <v>1</v>
      </c>
      <c r="AX91" s="82" t="s">
        <v>82</v>
      </c>
      <c r="AY91" s="83" t="s">
        <v>83</v>
      </c>
      <c r="AZ91" s="82" t="s">
        <v>84</v>
      </c>
      <c r="BA91" s="83" t="str">
        <f t="shared" si="37"/>
        <v>Baik</v>
      </c>
      <c r="BB91" s="82">
        <v>2</v>
      </c>
      <c r="BC91" s="83" t="s">
        <v>325</v>
      </c>
      <c r="BD91" s="83" t="s">
        <v>83</v>
      </c>
      <c r="BE91" s="82" t="s">
        <v>84</v>
      </c>
      <c r="BF91" s="83" t="str">
        <f t="shared" si="38"/>
        <v>Baik</v>
      </c>
      <c r="BG91" s="82"/>
      <c r="BH91" s="82"/>
      <c r="BI91" s="82"/>
      <c r="BJ91" s="82"/>
      <c r="BK91" s="83"/>
      <c r="BM91" s="81"/>
      <c r="BN91" s="81"/>
      <c r="BO91" s="81"/>
      <c r="BP91" s="81"/>
      <c r="BQ91" s="81"/>
      <c r="BR91" s="81"/>
      <c r="BT91" s="81">
        <f t="shared" si="39"/>
        <v>0</v>
      </c>
    </row>
    <row r="92" spans="1:75" ht="23.25" customHeight="1" x14ac:dyDescent="0.25">
      <c r="A92" s="82">
        <v>91</v>
      </c>
      <c r="B92" s="82">
        <v>2525961</v>
      </c>
      <c r="C92" s="82" t="s">
        <v>720</v>
      </c>
      <c r="D92" s="83" t="s">
        <v>721</v>
      </c>
      <c r="E92" s="82" t="s">
        <v>682</v>
      </c>
      <c r="F92" s="82" t="s">
        <v>530</v>
      </c>
      <c r="G92" s="82" t="s">
        <v>683</v>
      </c>
      <c r="H92" s="82" t="s">
        <v>684</v>
      </c>
      <c r="I92" s="84" t="s">
        <v>76</v>
      </c>
      <c r="J92" s="85" t="s">
        <v>77</v>
      </c>
      <c r="K92" s="85" t="s">
        <v>78</v>
      </c>
      <c r="L92" s="85" t="s">
        <v>79</v>
      </c>
      <c r="M92" s="82">
        <v>78</v>
      </c>
      <c r="N92" s="83" t="str">
        <f t="shared" si="41"/>
        <v>Mencapai kompetensi dengan baik dalam hal</v>
      </c>
      <c r="O92" s="82">
        <v>75</v>
      </c>
      <c r="P92" s="83" t="str">
        <f t="shared" si="22"/>
        <v>Mencapai kompetensi dengan baik dalam hal</v>
      </c>
      <c r="Q92" s="82">
        <v>79</v>
      </c>
      <c r="R92" s="83" t="str">
        <f t="shared" si="42"/>
        <v>Mencapai kompetensi dengan baik dalam hal</v>
      </c>
      <c r="S92" s="82">
        <v>80</v>
      </c>
      <c r="T92" s="83" t="str">
        <f t="shared" si="43"/>
        <v>Mencapai kompetensi dengan baik dalam hal</v>
      </c>
      <c r="U92" s="82">
        <v>75</v>
      </c>
      <c r="V92" s="83" t="str">
        <f t="shared" si="44"/>
        <v>Mencapai kompetensi dengan baik dalam hal</v>
      </c>
      <c r="W92" s="82">
        <v>80</v>
      </c>
      <c r="X92" s="83" t="str">
        <f t="shared" si="45"/>
        <v>Mencapai kompetensi dengan baik dalam hal</v>
      </c>
      <c r="Y92" s="82">
        <v>76</v>
      </c>
      <c r="Z92" s="83" t="str">
        <f t="shared" si="46"/>
        <v>Mencapai kompetensi dengan baik dalam hal</v>
      </c>
      <c r="AA92" s="82">
        <v>73</v>
      </c>
      <c r="AB92" s="83" t="str">
        <f t="shared" si="47"/>
        <v>Perlu peningkatan dalam hal</v>
      </c>
      <c r="AC92" s="82">
        <v>81</v>
      </c>
      <c r="AD92" s="83" t="str">
        <f t="shared" si="48"/>
        <v>Mencapai kompetensi dengan baik dalam hal</v>
      </c>
      <c r="AE92" s="82">
        <v>81</v>
      </c>
      <c r="AF92" s="83" t="str">
        <f t="shared" si="49"/>
        <v>Mencapai kompetensi dengan baik dalam hal</v>
      </c>
      <c r="AG92" s="82">
        <v>76</v>
      </c>
      <c r="AH92" s="83" t="str">
        <f t="shared" si="50"/>
        <v>Mencapai kompetensi dengan baik dalam hal</v>
      </c>
      <c r="AI92" s="82">
        <v>76</v>
      </c>
      <c r="AJ92" s="83" t="str">
        <f t="shared" si="51"/>
        <v>Mencapai kompetensi dengan baik dalam hal</v>
      </c>
      <c r="AK92" s="82">
        <v>76</v>
      </c>
      <c r="AL92" s="83" t="str">
        <f t="shared" si="52"/>
        <v>Mencapai kompetensi dengan baik dalam hal</v>
      </c>
      <c r="AM92" s="82">
        <v>76</v>
      </c>
      <c r="AN92" s="83" t="str">
        <f t="shared" si="53"/>
        <v>Mencapai kompetensi dengan baik dalam hal</v>
      </c>
      <c r="AO92" s="75">
        <f t="shared" si="40"/>
        <v>76</v>
      </c>
      <c r="AP92" s="82">
        <v>81</v>
      </c>
      <c r="AQ92" s="83" t="str">
        <f t="shared" si="54"/>
        <v>Mencapai kompetensi dengan baik dalam hal</v>
      </c>
      <c r="AR92" s="82">
        <v>79</v>
      </c>
      <c r="AS92" s="83" t="str">
        <f t="shared" si="55"/>
        <v>Mencapai kompetensi dengan baik dalam hal</v>
      </c>
      <c r="AT92" s="86">
        <v>3</v>
      </c>
      <c r="AU92" s="86" t="s">
        <v>81</v>
      </c>
      <c r="AV92" s="86" t="s">
        <v>81</v>
      </c>
      <c r="AW92" s="82">
        <v>1</v>
      </c>
      <c r="AX92" s="82" t="s">
        <v>82</v>
      </c>
      <c r="AY92" s="83" t="s">
        <v>83</v>
      </c>
      <c r="AZ92" s="82" t="s">
        <v>84</v>
      </c>
      <c r="BA92" s="83" t="str">
        <f t="shared" si="37"/>
        <v>Baik</v>
      </c>
      <c r="BB92" s="82">
        <v>2</v>
      </c>
      <c r="BC92" s="83" t="s">
        <v>99</v>
      </c>
      <c r="BD92" s="83" t="s">
        <v>83</v>
      </c>
      <c r="BE92" s="82" t="s">
        <v>84</v>
      </c>
      <c r="BF92" s="83" t="str">
        <f t="shared" si="38"/>
        <v>Baik</v>
      </c>
      <c r="BG92" s="82"/>
      <c r="BH92" s="82"/>
      <c r="BI92" s="82"/>
      <c r="BJ92" s="82"/>
      <c r="BK92" s="83"/>
      <c r="BM92" s="81"/>
      <c r="BN92" s="81"/>
      <c r="BO92" s="81"/>
      <c r="BP92" s="81"/>
      <c r="BQ92" s="81"/>
      <c r="BR92" s="81"/>
      <c r="BT92" s="81">
        <f t="shared" si="39"/>
        <v>1</v>
      </c>
    </row>
    <row r="93" spans="1:75" ht="23.25" customHeight="1" x14ac:dyDescent="0.25">
      <c r="A93" s="82">
        <v>92</v>
      </c>
      <c r="B93" s="82">
        <v>2525962</v>
      </c>
      <c r="C93" s="82" t="s">
        <v>722</v>
      </c>
      <c r="D93" s="83" t="s">
        <v>723</v>
      </c>
      <c r="E93" s="82" t="s">
        <v>682</v>
      </c>
      <c r="F93" s="82" t="s">
        <v>530</v>
      </c>
      <c r="G93" s="82" t="s">
        <v>683</v>
      </c>
      <c r="H93" s="82" t="s">
        <v>684</v>
      </c>
      <c r="I93" s="84" t="s">
        <v>76</v>
      </c>
      <c r="J93" s="85" t="s">
        <v>77</v>
      </c>
      <c r="K93" s="85" t="s">
        <v>78</v>
      </c>
      <c r="L93" s="85" t="s">
        <v>79</v>
      </c>
      <c r="M93" s="82">
        <v>79</v>
      </c>
      <c r="N93" s="83" t="str">
        <f t="shared" si="41"/>
        <v>Mencapai kompetensi dengan baik dalam hal</v>
      </c>
      <c r="O93" s="82">
        <v>76</v>
      </c>
      <c r="P93" s="83" t="str">
        <f t="shared" si="22"/>
        <v>Mencapai kompetensi dengan baik dalam hal</v>
      </c>
      <c r="Q93" s="82">
        <v>79</v>
      </c>
      <c r="R93" s="83" t="str">
        <f t="shared" si="42"/>
        <v>Mencapai kompetensi dengan baik dalam hal</v>
      </c>
      <c r="S93" s="82">
        <v>79</v>
      </c>
      <c r="T93" s="83" t="str">
        <f t="shared" si="43"/>
        <v>Mencapai kompetensi dengan baik dalam hal</v>
      </c>
      <c r="U93" s="82">
        <v>75</v>
      </c>
      <c r="V93" s="83" t="str">
        <f t="shared" si="44"/>
        <v>Mencapai kompetensi dengan baik dalam hal</v>
      </c>
      <c r="W93" s="82">
        <v>78</v>
      </c>
      <c r="X93" s="83" t="str">
        <f t="shared" si="45"/>
        <v>Mencapai kompetensi dengan baik dalam hal</v>
      </c>
      <c r="Y93" s="82">
        <v>77</v>
      </c>
      <c r="Z93" s="83" t="str">
        <f t="shared" si="46"/>
        <v>Mencapai kompetensi dengan baik dalam hal</v>
      </c>
      <c r="AA93" s="82">
        <v>80</v>
      </c>
      <c r="AB93" s="83" t="str">
        <f t="shared" si="47"/>
        <v>Mencapai kompetensi dengan baik dalam hal</v>
      </c>
      <c r="AC93" s="82">
        <v>76</v>
      </c>
      <c r="AD93" s="83" t="str">
        <f t="shared" si="48"/>
        <v>Mencapai kompetensi dengan baik dalam hal</v>
      </c>
      <c r="AE93" s="82">
        <v>80</v>
      </c>
      <c r="AF93" s="83" t="str">
        <f t="shared" si="49"/>
        <v>Mencapai kompetensi dengan baik dalam hal</v>
      </c>
      <c r="AG93" s="82">
        <v>76</v>
      </c>
      <c r="AH93" s="83" t="str">
        <f t="shared" si="50"/>
        <v>Mencapai kompetensi dengan baik dalam hal</v>
      </c>
      <c r="AI93" s="82">
        <v>76</v>
      </c>
      <c r="AJ93" s="83" t="str">
        <f t="shared" si="51"/>
        <v>Mencapai kompetensi dengan baik dalam hal</v>
      </c>
      <c r="AK93" s="82">
        <v>76</v>
      </c>
      <c r="AL93" s="83" t="str">
        <f t="shared" si="52"/>
        <v>Mencapai kompetensi dengan baik dalam hal</v>
      </c>
      <c r="AM93" s="82">
        <v>76</v>
      </c>
      <c r="AN93" s="83" t="str">
        <f t="shared" si="53"/>
        <v>Mencapai kompetensi dengan baik dalam hal</v>
      </c>
      <c r="AO93" s="75">
        <f t="shared" si="40"/>
        <v>76</v>
      </c>
      <c r="AP93" s="82">
        <v>76</v>
      </c>
      <c r="AQ93" s="83" t="str">
        <f t="shared" si="54"/>
        <v>Mencapai kompetensi dengan baik dalam hal</v>
      </c>
      <c r="AR93" s="82">
        <v>79</v>
      </c>
      <c r="AS93" s="83" t="str">
        <f t="shared" si="55"/>
        <v>Mencapai kompetensi dengan baik dalam hal</v>
      </c>
      <c r="AT93" s="86" t="s">
        <v>81</v>
      </c>
      <c r="AU93" s="86" t="s">
        <v>81</v>
      </c>
      <c r="AV93" s="86" t="s">
        <v>81</v>
      </c>
      <c r="AW93" s="82">
        <v>1</v>
      </c>
      <c r="AX93" s="82" t="s">
        <v>82</v>
      </c>
      <c r="AY93" s="83" t="s">
        <v>83</v>
      </c>
      <c r="AZ93" s="82" t="s">
        <v>86</v>
      </c>
      <c r="BA93" s="83" t="str">
        <f t="shared" si="37"/>
        <v>Sangat baik</v>
      </c>
      <c r="BB93" s="82">
        <v>2</v>
      </c>
      <c r="BC93" s="83" t="s">
        <v>179</v>
      </c>
      <c r="BD93" s="83" t="s">
        <v>83</v>
      </c>
      <c r="BE93" s="82" t="s">
        <v>84</v>
      </c>
      <c r="BF93" s="83" t="str">
        <f t="shared" si="38"/>
        <v>Baik</v>
      </c>
      <c r="BG93" s="82"/>
      <c r="BH93" s="82"/>
      <c r="BI93" s="82"/>
      <c r="BJ93" s="82"/>
      <c r="BK93" s="83"/>
      <c r="BM93" s="81"/>
      <c r="BN93" s="81"/>
      <c r="BO93" s="81"/>
      <c r="BP93" s="81"/>
      <c r="BQ93" s="81"/>
      <c r="BR93" s="81"/>
      <c r="BT93" s="81">
        <f t="shared" si="39"/>
        <v>0</v>
      </c>
    </row>
    <row r="94" spans="1:75" ht="23.25" customHeight="1" x14ac:dyDescent="0.25">
      <c r="A94" s="82">
        <v>93</v>
      </c>
      <c r="B94" s="82">
        <v>2525963</v>
      </c>
      <c r="C94" s="82" t="s">
        <v>724</v>
      </c>
      <c r="D94" s="83" t="s">
        <v>725</v>
      </c>
      <c r="E94" s="82" t="s">
        <v>682</v>
      </c>
      <c r="F94" s="82" t="s">
        <v>530</v>
      </c>
      <c r="G94" s="82" t="s">
        <v>683</v>
      </c>
      <c r="H94" s="82" t="s">
        <v>684</v>
      </c>
      <c r="I94" s="84" t="s">
        <v>76</v>
      </c>
      <c r="J94" s="85" t="s">
        <v>77</v>
      </c>
      <c r="K94" s="85" t="s">
        <v>78</v>
      </c>
      <c r="L94" s="85" t="s">
        <v>79</v>
      </c>
      <c r="M94" s="82">
        <v>80</v>
      </c>
      <c r="N94" s="83" t="str">
        <f t="shared" si="41"/>
        <v>Mencapai kompetensi dengan baik dalam hal</v>
      </c>
      <c r="O94" s="82">
        <v>75</v>
      </c>
      <c r="P94" s="83" t="str">
        <f t="shared" si="22"/>
        <v>Mencapai kompetensi dengan baik dalam hal</v>
      </c>
      <c r="Q94" s="82">
        <v>79</v>
      </c>
      <c r="R94" s="83" t="str">
        <f t="shared" si="42"/>
        <v>Mencapai kompetensi dengan baik dalam hal</v>
      </c>
      <c r="S94" s="82">
        <v>79</v>
      </c>
      <c r="T94" s="83" t="str">
        <f t="shared" si="43"/>
        <v>Mencapai kompetensi dengan baik dalam hal</v>
      </c>
      <c r="U94" s="82">
        <v>75</v>
      </c>
      <c r="V94" s="83" t="str">
        <f t="shared" si="44"/>
        <v>Mencapai kompetensi dengan baik dalam hal</v>
      </c>
      <c r="W94" s="82">
        <v>78</v>
      </c>
      <c r="X94" s="83" t="str">
        <f t="shared" si="45"/>
        <v>Mencapai kompetensi dengan baik dalam hal</v>
      </c>
      <c r="Y94" s="82">
        <v>76</v>
      </c>
      <c r="Z94" s="83" t="str">
        <f t="shared" si="46"/>
        <v>Mencapai kompetensi dengan baik dalam hal</v>
      </c>
      <c r="AA94" s="82">
        <v>74</v>
      </c>
      <c r="AB94" s="83" t="str">
        <f t="shared" si="47"/>
        <v>Perlu peningkatan dalam hal</v>
      </c>
      <c r="AC94" s="82">
        <v>78</v>
      </c>
      <c r="AD94" s="83" t="str">
        <f t="shared" si="48"/>
        <v>Mencapai kompetensi dengan baik dalam hal</v>
      </c>
      <c r="AE94" s="82">
        <v>80</v>
      </c>
      <c r="AF94" s="83" t="str">
        <f t="shared" si="49"/>
        <v>Mencapai kompetensi dengan baik dalam hal</v>
      </c>
      <c r="AG94" s="82">
        <v>76</v>
      </c>
      <c r="AH94" s="83" t="str">
        <f t="shared" si="50"/>
        <v>Mencapai kompetensi dengan baik dalam hal</v>
      </c>
      <c r="AI94" s="82">
        <v>76</v>
      </c>
      <c r="AJ94" s="83" t="str">
        <f t="shared" si="51"/>
        <v>Mencapai kompetensi dengan baik dalam hal</v>
      </c>
      <c r="AK94" s="82">
        <v>76</v>
      </c>
      <c r="AL94" s="83" t="str">
        <f t="shared" si="52"/>
        <v>Mencapai kompetensi dengan baik dalam hal</v>
      </c>
      <c r="AM94" s="82">
        <v>76</v>
      </c>
      <c r="AN94" s="83" t="str">
        <f t="shared" si="53"/>
        <v>Mencapai kompetensi dengan baik dalam hal</v>
      </c>
      <c r="AO94" s="75">
        <f t="shared" si="40"/>
        <v>76</v>
      </c>
      <c r="AP94" s="82">
        <v>78</v>
      </c>
      <c r="AQ94" s="83" t="str">
        <f t="shared" si="54"/>
        <v>Mencapai kompetensi dengan baik dalam hal</v>
      </c>
      <c r="AR94" s="82">
        <v>79</v>
      </c>
      <c r="AS94" s="83" t="str">
        <f t="shared" si="55"/>
        <v>Mencapai kompetensi dengan baik dalam hal</v>
      </c>
      <c r="AT94" s="86">
        <v>1</v>
      </c>
      <c r="AU94" s="86" t="s">
        <v>81</v>
      </c>
      <c r="AV94" s="86" t="s">
        <v>81</v>
      </c>
      <c r="AW94" s="82">
        <v>1</v>
      </c>
      <c r="AX94" s="82" t="s">
        <v>82</v>
      </c>
      <c r="AY94" s="83" t="s">
        <v>83</v>
      </c>
      <c r="AZ94" s="82" t="s">
        <v>84</v>
      </c>
      <c r="BA94" s="83" t="str">
        <f t="shared" si="37"/>
        <v>Baik</v>
      </c>
      <c r="BB94" s="82">
        <v>2</v>
      </c>
      <c r="BC94" s="83" t="s">
        <v>103</v>
      </c>
      <c r="BD94" s="83" t="s">
        <v>83</v>
      </c>
      <c r="BE94" s="82" t="s">
        <v>84</v>
      </c>
      <c r="BF94" s="83" t="str">
        <f t="shared" si="38"/>
        <v>Baik</v>
      </c>
      <c r="BG94" s="82"/>
      <c r="BH94" s="82"/>
      <c r="BI94" s="82"/>
      <c r="BJ94" s="82"/>
      <c r="BK94" s="83"/>
      <c r="BM94" s="81"/>
      <c r="BN94" s="81"/>
      <c r="BO94" s="81"/>
      <c r="BP94" s="81"/>
      <c r="BQ94" s="81"/>
      <c r="BR94" s="81"/>
      <c r="BT94" s="81">
        <f t="shared" si="39"/>
        <v>1</v>
      </c>
      <c r="BW94" s="77">
        <f>AVERAGE(AG94:AN94)</f>
        <v>76</v>
      </c>
    </row>
    <row r="95" spans="1:75" ht="23.25" customHeight="1" x14ac:dyDescent="0.25">
      <c r="A95" s="82">
        <v>94</v>
      </c>
      <c r="B95" s="82">
        <v>2525964</v>
      </c>
      <c r="C95" s="82" t="s">
        <v>726</v>
      </c>
      <c r="D95" s="83" t="s">
        <v>727</v>
      </c>
      <c r="E95" s="82" t="s">
        <v>682</v>
      </c>
      <c r="F95" s="82" t="s">
        <v>530</v>
      </c>
      <c r="G95" s="82" t="s">
        <v>683</v>
      </c>
      <c r="H95" s="82" t="s">
        <v>684</v>
      </c>
      <c r="I95" s="84" t="s">
        <v>76</v>
      </c>
      <c r="J95" s="85" t="s">
        <v>77</v>
      </c>
      <c r="K95" s="85" t="s">
        <v>78</v>
      </c>
      <c r="L95" s="85" t="s">
        <v>79</v>
      </c>
      <c r="M95" s="82">
        <v>78</v>
      </c>
      <c r="N95" s="83" t="str">
        <f t="shared" si="41"/>
        <v>Mencapai kompetensi dengan baik dalam hal</v>
      </c>
      <c r="O95" s="82">
        <v>75</v>
      </c>
      <c r="P95" s="83" t="str">
        <f t="shared" si="22"/>
        <v>Mencapai kompetensi dengan baik dalam hal</v>
      </c>
      <c r="Q95" s="82">
        <v>78</v>
      </c>
      <c r="R95" s="83" t="str">
        <f t="shared" si="42"/>
        <v>Mencapai kompetensi dengan baik dalam hal</v>
      </c>
      <c r="S95" s="82">
        <v>78</v>
      </c>
      <c r="T95" s="83" t="str">
        <f t="shared" si="43"/>
        <v>Mencapai kompetensi dengan baik dalam hal</v>
      </c>
      <c r="U95" s="82">
        <v>75</v>
      </c>
      <c r="V95" s="83" t="str">
        <f t="shared" si="44"/>
        <v>Mencapai kompetensi dengan baik dalam hal</v>
      </c>
      <c r="W95" s="82">
        <v>77</v>
      </c>
      <c r="X95" s="83" t="str">
        <f t="shared" si="45"/>
        <v>Mencapai kompetensi dengan baik dalam hal</v>
      </c>
      <c r="Y95" s="82">
        <v>77</v>
      </c>
      <c r="Z95" s="83" t="str">
        <f t="shared" si="46"/>
        <v>Mencapai kompetensi dengan baik dalam hal</v>
      </c>
      <c r="AA95" s="82">
        <v>73</v>
      </c>
      <c r="AB95" s="83" t="str">
        <f t="shared" si="47"/>
        <v>Perlu peningkatan dalam hal</v>
      </c>
      <c r="AC95" s="82">
        <v>77</v>
      </c>
      <c r="AD95" s="83" t="str">
        <f t="shared" si="48"/>
        <v>Mencapai kompetensi dengan baik dalam hal</v>
      </c>
      <c r="AE95" s="82">
        <v>78</v>
      </c>
      <c r="AF95" s="83" t="str">
        <f t="shared" si="49"/>
        <v>Mencapai kompetensi dengan baik dalam hal</v>
      </c>
      <c r="AG95" s="82">
        <v>76</v>
      </c>
      <c r="AH95" s="83" t="str">
        <f t="shared" si="50"/>
        <v>Mencapai kompetensi dengan baik dalam hal</v>
      </c>
      <c r="AI95" s="82">
        <v>76</v>
      </c>
      <c r="AJ95" s="83" t="str">
        <f t="shared" si="51"/>
        <v>Mencapai kompetensi dengan baik dalam hal</v>
      </c>
      <c r="AK95" s="82">
        <v>76</v>
      </c>
      <c r="AL95" s="83" t="str">
        <f t="shared" si="52"/>
        <v>Mencapai kompetensi dengan baik dalam hal</v>
      </c>
      <c r="AM95" s="82">
        <v>76</v>
      </c>
      <c r="AN95" s="83" t="str">
        <f t="shared" si="53"/>
        <v>Mencapai kompetensi dengan baik dalam hal</v>
      </c>
      <c r="AO95" s="75">
        <f t="shared" si="40"/>
        <v>76</v>
      </c>
      <c r="AP95" s="82">
        <v>77</v>
      </c>
      <c r="AQ95" s="83" t="str">
        <f t="shared" si="54"/>
        <v>Mencapai kompetensi dengan baik dalam hal</v>
      </c>
      <c r="AR95" s="82">
        <v>77</v>
      </c>
      <c r="AS95" s="83" t="str">
        <f t="shared" si="55"/>
        <v>Mencapai kompetensi dengan baik dalam hal</v>
      </c>
      <c r="AT95" s="86">
        <v>4</v>
      </c>
      <c r="AU95" s="86" t="s">
        <v>81</v>
      </c>
      <c r="AV95" s="86" t="s">
        <v>81</v>
      </c>
      <c r="AW95" s="82">
        <v>1</v>
      </c>
      <c r="AX95" s="82" t="s">
        <v>82</v>
      </c>
      <c r="AY95" s="83" t="s">
        <v>83</v>
      </c>
      <c r="AZ95" s="82" t="s">
        <v>84</v>
      </c>
      <c r="BA95" s="83" t="str">
        <f t="shared" si="37"/>
        <v>Baik</v>
      </c>
      <c r="BB95" s="82">
        <v>2</v>
      </c>
      <c r="BC95" s="83" t="s">
        <v>170</v>
      </c>
      <c r="BD95" s="83" t="s">
        <v>83</v>
      </c>
      <c r="BE95" s="82" t="s">
        <v>104</v>
      </c>
      <c r="BF95" s="83" t="str">
        <f t="shared" si="38"/>
        <v>Cukup</v>
      </c>
      <c r="BG95" s="82"/>
      <c r="BH95" s="82"/>
      <c r="BI95" s="82"/>
      <c r="BJ95" s="82"/>
      <c r="BK95" s="83"/>
      <c r="BM95" s="81"/>
      <c r="BN95" s="81"/>
      <c r="BO95" s="81"/>
      <c r="BP95" s="81"/>
      <c r="BQ95" s="81"/>
      <c r="BR95" s="81"/>
      <c r="BT95" s="81">
        <f t="shared" si="39"/>
        <v>1</v>
      </c>
    </row>
    <row r="96" spans="1:75" ht="23.25" customHeight="1" x14ac:dyDescent="0.25">
      <c r="A96" s="82">
        <v>95</v>
      </c>
      <c r="B96" s="82">
        <v>2525965</v>
      </c>
      <c r="C96" s="82" t="s">
        <v>728</v>
      </c>
      <c r="D96" s="83" t="s">
        <v>729</v>
      </c>
      <c r="E96" s="82" t="s">
        <v>682</v>
      </c>
      <c r="F96" s="82" t="s">
        <v>530</v>
      </c>
      <c r="G96" s="82" t="s">
        <v>683</v>
      </c>
      <c r="H96" s="82" t="s">
        <v>684</v>
      </c>
      <c r="I96" s="84" t="s">
        <v>76</v>
      </c>
      <c r="J96" s="85" t="s">
        <v>77</v>
      </c>
      <c r="K96" s="85" t="s">
        <v>78</v>
      </c>
      <c r="L96" s="85" t="s">
        <v>79</v>
      </c>
      <c r="M96" s="82">
        <v>75</v>
      </c>
      <c r="N96" s="83" t="str">
        <f t="shared" si="41"/>
        <v>Mencapai kompetensi dengan baik dalam hal</v>
      </c>
      <c r="O96" s="82">
        <v>75</v>
      </c>
      <c r="P96" s="83" t="str">
        <f t="shared" si="22"/>
        <v>Mencapai kompetensi dengan baik dalam hal</v>
      </c>
      <c r="Q96" s="82">
        <v>75</v>
      </c>
      <c r="R96" s="83" t="str">
        <f t="shared" si="42"/>
        <v>Mencapai kompetensi dengan baik dalam hal</v>
      </c>
      <c r="S96" s="82">
        <v>75</v>
      </c>
      <c r="T96" s="83" t="str">
        <f t="shared" si="43"/>
        <v>Mencapai kompetensi dengan baik dalam hal</v>
      </c>
      <c r="U96" s="82">
        <v>74</v>
      </c>
      <c r="V96" s="83" t="str">
        <f t="shared" si="44"/>
        <v>Perlu peningkatan dalam hal</v>
      </c>
      <c r="W96" s="82">
        <v>70</v>
      </c>
      <c r="X96" s="83" t="str">
        <f t="shared" si="45"/>
        <v>Perlu peningkatan dalam hal</v>
      </c>
      <c r="Y96" s="82">
        <v>75</v>
      </c>
      <c r="Z96" s="83" t="str">
        <f t="shared" si="46"/>
        <v>Mencapai kompetensi dengan baik dalam hal</v>
      </c>
      <c r="AA96" s="82">
        <v>70</v>
      </c>
      <c r="AB96" s="83" t="str">
        <f t="shared" si="47"/>
        <v>Perlu peningkatan dalam hal</v>
      </c>
      <c r="AC96" s="82">
        <v>85</v>
      </c>
      <c r="AD96" s="83" t="str">
        <f t="shared" si="48"/>
        <v>Mencapai kompetensi dengan baik dalam hal</v>
      </c>
      <c r="AE96" s="82">
        <v>75</v>
      </c>
      <c r="AF96" s="83" t="str">
        <f t="shared" si="49"/>
        <v>Mencapai kompetensi dengan baik dalam hal</v>
      </c>
      <c r="AG96" s="82">
        <v>90</v>
      </c>
      <c r="AH96" s="83" t="str">
        <f t="shared" si="50"/>
        <v>Mencapai kompetensi dengan sangat baik dalam hal</v>
      </c>
      <c r="AI96" s="82">
        <v>88</v>
      </c>
      <c r="AJ96" s="83" t="str">
        <f t="shared" si="51"/>
        <v>Mencapai kompetensi dengan baik dalam hal</v>
      </c>
      <c r="AK96" s="82">
        <v>88</v>
      </c>
      <c r="AL96" s="83" t="str">
        <f t="shared" si="52"/>
        <v>Mencapai kompetensi dengan baik dalam hal</v>
      </c>
      <c r="AM96" s="82">
        <v>88</v>
      </c>
      <c r="AN96" s="83" t="str">
        <f t="shared" si="53"/>
        <v>Mencapai kompetensi dengan baik dalam hal</v>
      </c>
      <c r="AO96" s="75">
        <f t="shared" si="40"/>
        <v>88.5</v>
      </c>
      <c r="AP96" s="82">
        <v>85</v>
      </c>
      <c r="AQ96" s="83" t="str">
        <f t="shared" si="54"/>
        <v>Mencapai kompetensi dengan baik dalam hal</v>
      </c>
      <c r="AR96" s="82">
        <v>77</v>
      </c>
      <c r="AS96" s="83" t="str">
        <f t="shared" si="55"/>
        <v>Mencapai kompetensi dengan baik dalam hal</v>
      </c>
      <c r="AT96" s="86">
        <v>4</v>
      </c>
      <c r="AU96" s="86" t="s">
        <v>81</v>
      </c>
      <c r="AV96" s="86">
        <v>2</v>
      </c>
      <c r="AW96" s="82">
        <v>1</v>
      </c>
      <c r="AX96" s="82" t="s">
        <v>82</v>
      </c>
      <c r="AY96" s="83" t="s">
        <v>83</v>
      </c>
      <c r="AZ96" s="82" t="s">
        <v>110</v>
      </c>
      <c r="BA96" s="83" t="str">
        <f t="shared" si="37"/>
        <v>Kurang</v>
      </c>
      <c r="BB96" s="82"/>
      <c r="BC96" s="83"/>
      <c r="BD96" s="83"/>
      <c r="BE96" s="82"/>
      <c r="BF96" s="83"/>
      <c r="BG96" s="82"/>
      <c r="BH96" s="82"/>
      <c r="BI96" s="82"/>
      <c r="BJ96" s="82"/>
      <c r="BK96" s="83"/>
      <c r="BM96" s="81"/>
      <c r="BN96" s="81"/>
      <c r="BO96" s="81"/>
      <c r="BP96" s="81"/>
      <c r="BQ96" s="81"/>
      <c r="BR96" s="81"/>
      <c r="BT96" s="81">
        <f t="shared" si="39"/>
        <v>3</v>
      </c>
    </row>
    <row r="97" spans="1:72" ht="23.25" customHeight="1" x14ac:dyDescent="0.25">
      <c r="A97" s="82">
        <v>96</v>
      </c>
      <c r="B97" s="82">
        <v>2525966</v>
      </c>
      <c r="C97" s="82" t="s">
        <v>730</v>
      </c>
      <c r="D97" s="83" t="s">
        <v>731</v>
      </c>
      <c r="E97" s="82" t="s">
        <v>682</v>
      </c>
      <c r="F97" s="82" t="s">
        <v>530</v>
      </c>
      <c r="G97" s="82" t="s">
        <v>683</v>
      </c>
      <c r="H97" s="82" t="s">
        <v>684</v>
      </c>
      <c r="I97" s="84" t="s">
        <v>76</v>
      </c>
      <c r="J97" s="85" t="s">
        <v>77</v>
      </c>
      <c r="K97" s="85" t="s">
        <v>78</v>
      </c>
      <c r="L97" s="85" t="s">
        <v>79</v>
      </c>
      <c r="M97" s="82">
        <v>75</v>
      </c>
      <c r="N97" s="83" t="str">
        <f t="shared" si="41"/>
        <v>Mencapai kompetensi dengan baik dalam hal</v>
      </c>
      <c r="O97" s="82">
        <v>76</v>
      </c>
      <c r="P97" s="83" t="str">
        <f t="shared" si="22"/>
        <v>Mencapai kompetensi dengan baik dalam hal</v>
      </c>
      <c r="Q97" s="82">
        <v>78</v>
      </c>
      <c r="R97" s="83" t="str">
        <f t="shared" si="42"/>
        <v>Mencapai kompetensi dengan baik dalam hal</v>
      </c>
      <c r="S97" s="82">
        <v>78</v>
      </c>
      <c r="T97" s="83" t="str">
        <f t="shared" si="43"/>
        <v>Mencapai kompetensi dengan baik dalam hal</v>
      </c>
      <c r="U97" s="82">
        <v>72</v>
      </c>
      <c r="V97" s="83" t="str">
        <f t="shared" si="44"/>
        <v>Perlu peningkatan dalam hal</v>
      </c>
      <c r="W97" s="82">
        <v>78</v>
      </c>
      <c r="X97" s="83" t="str">
        <f t="shared" si="45"/>
        <v>Mencapai kompetensi dengan baik dalam hal</v>
      </c>
      <c r="Y97" s="82">
        <v>76</v>
      </c>
      <c r="Z97" s="83" t="str">
        <f t="shared" si="46"/>
        <v>Mencapai kompetensi dengan baik dalam hal</v>
      </c>
      <c r="AA97" s="82">
        <v>70</v>
      </c>
      <c r="AB97" s="83" t="str">
        <f t="shared" si="47"/>
        <v>Perlu peningkatan dalam hal</v>
      </c>
      <c r="AC97" s="82">
        <v>75</v>
      </c>
      <c r="AD97" s="83" t="str">
        <f t="shared" si="48"/>
        <v>Mencapai kompetensi dengan baik dalam hal</v>
      </c>
      <c r="AE97" s="82">
        <v>80</v>
      </c>
      <c r="AF97" s="83" t="str">
        <f t="shared" si="49"/>
        <v>Mencapai kompetensi dengan baik dalam hal</v>
      </c>
      <c r="AG97" s="82">
        <v>76</v>
      </c>
      <c r="AH97" s="83" t="str">
        <f t="shared" si="50"/>
        <v>Mencapai kompetensi dengan baik dalam hal</v>
      </c>
      <c r="AI97" s="82">
        <v>76</v>
      </c>
      <c r="AJ97" s="83" t="str">
        <f t="shared" si="51"/>
        <v>Mencapai kompetensi dengan baik dalam hal</v>
      </c>
      <c r="AK97" s="82">
        <v>76</v>
      </c>
      <c r="AL97" s="83" t="str">
        <f t="shared" si="52"/>
        <v>Mencapai kompetensi dengan baik dalam hal</v>
      </c>
      <c r="AM97" s="82">
        <v>76</v>
      </c>
      <c r="AN97" s="83" t="str">
        <f t="shared" si="53"/>
        <v>Mencapai kompetensi dengan baik dalam hal</v>
      </c>
      <c r="AO97" s="75">
        <f t="shared" si="40"/>
        <v>76</v>
      </c>
      <c r="AP97" s="82">
        <v>75</v>
      </c>
      <c r="AQ97" s="83" t="str">
        <f t="shared" si="54"/>
        <v>Mencapai kompetensi dengan baik dalam hal</v>
      </c>
      <c r="AR97" s="82">
        <v>76</v>
      </c>
      <c r="AS97" s="83" t="str">
        <f t="shared" si="55"/>
        <v>Mencapai kompetensi dengan baik dalam hal</v>
      </c>
      <c r="AT97" s="86">
        <v>4</v>
      </c>
      <c r="AU97" s="86" t="s">
        <v>81</v>
      </c>
      <c r="AV97" s="86" t="s">
        <v>81</v>
      </c>
      <c r="AW97" s="82">
        <v>1</v>
      </c>
      <c r="AX97" s="82" t="s">
        <v>82</v>
      </c>
      <c r="AY97" s="83" t="s">
        <v>83</v>
      </c>
      <c r="AZ97" s="82" t="s">
        <v>104</v>
      </c>
      <c r="BA97" s="83" t="str">
        <f t="shared" si="37"/>
        <v>Cukup</v>
      </c>
      <c r="BB97" s="82">
        <v>2</v>
      </c>
      <c r="BC97" s="83" t="s">
        <v>99</v>
      </c>
      <c r="BD97" s="83" t="s">
        <v>83</v>
      </c>
      <c r="BE97" s="82" t="s">
        <v>84</v>
      </c>
      <c r="BF97" s="83" t="str">
        <f t="shared" si="38"/>
        <v>Baik</v>
      </c>
      <c r="BG97" s="82"/>
      <c r="BH97" s="82"/>
      <c r="BI97" s="82"/>
      <c r="BJ97" s="82"/>
      <c r="BK97" s="83"/>
      <c r="BM97" s="81"/>
      <c r="BN97" s="81"/>
      <c r="BO97" s="81"/>
      <c r="BP97" s="81"/>
      <c r="BQ97" s="81"/>
      <c r="BR97" s="81"/>
      <c r="BT97" s="81">
        <f t="shared" si="39"/>
        <v>2</v>
      </c>
    </row>
    <row r="98" spans="1:72" ht="23.25" customHeight="1" x14ac:dyDescent="0.25">
      <c r="A98" s="82">
        <v>97</v>
      </c>
      <c r="B98" s="82">
        <v>2525967</v>
      </c>
      <c r="C98" s="82" t="s">
        <v>732</v>
      </c>
      <c r="D98" s="83" t="s">
        <v>733</v>
      </c>
      <c r="E98" s="82" t="s">
        <v>682</v>
      </c>
      <c r="F98" s="82" t="s">
        <v>530</v>
      </c>
      <c r="G98" s="82" t="s">
        <v>683</v>
      </c>
      <c r="H98" s="82" t="s">
        <v>684</v>
      </c>
      <c r="I98" s="84" t="s">
        <v>76</v>
      </c>
      <c r="J98" s="85" t="s">
        <v>77</v>
      </c>
      <c r="K98" s="85" t="s">
        <v>78</v>
      </c>
      <c r="L98" s="85" t="s">
        <v>79</v>
      </c>
      <c r="M98" s="82">
        <v>79</v>
      </c>
      <c r="N98" s="83" t="str">
        <f t="shared" si="41"/>
        <v>Mencapai kompetensi dengan baik dalam hal</v>
      </c>
      <c r="O98" s="82">
        <v>77</v>
      </c>
      <c r="P98" s="83" t="str">
        <f t="shared" si="22"/>
        <v>Mencapai kompetensi dengan baik dalam hal</v>
      </c>
      <c r="Q98" s="82">
        <v>80</v>
      </c>
      <c r="R98" s="83" t="str">
        <f t="shared" si="42"/>
        <v>Mencapai kompetensi dengan baik dalam hal</v>
      </c>
      <c r="S98" s="82">
        <v>79</v>
      </c>
      <c r="T98" s="83" t="str">
        <f t="shared" si="43"/>
        <v>Mencapai kompetensi dengan baik dalam hal</v>
      </c>
      <c r="U98" s="82">
        <v>80</v>
      </c>
      <c r="V98" s="83" t="str">
        <f t="shared" si="44"/>
        <v>Mencapai kompetensi dengan baik dalam hal</v>
      </c>
      <c r="W98" s="82">
        <v>78</v>
      </c>
      <c r="X98" s="83" t="str">
        <f t="shared" si="45"/>
        <v>Mencapai kompetensi dengan baik dalam hal</v>
      </c>
      <c r="Y98" s="82">
        <v>78</v>
      </c>
      <c r="Z98" s="83" t="str">
        <f t="shared" si="46"/>
        <v>Mencapai kompetensi dengan baik dalam hal</v>
      </c>
      <c r="AA98" s="82">
        <v>79</v>
      </c>
      <c r="AB98" s="83" t="str">
        <f t="shared" si="47"/>
        <v>Mencapai kompetensi dengan baik dalam hal</v>
      </c>
      <c r="AC98" s="82">
        <v>80</v>
      </c>
      <c r="AD98" s="83" t="str">
        <f t="shared" si="48"/>
        <v>Mencapai kompetensi dengan baik dalam hal</v>
      </c>
      <c r="AE98" s="82">
        <v>81</v>
      </c>
      <c r="AF98" s="83" t="str">
        <f t="shared" si="49"/>
        <v>Mencapai kompetensi dengan baik dalam hal</v>
      </c>
      <c r="AG98" s="82">
        <v>76</v>
      </c>
      <c r="AH98" s="83" t="str">
        <f t="shared" si="50"/>
        <v>Mencapai kompetensi dengan baik dalam hal</v>
      </c>
      <c r="AI98" s="82">
        <v>76</v>
      </c>
      <c r="AJ98" s="83" t="str">
        <f t="shared" si="51"/>
        <v>Mencapai kompetensi dengan baik dalam hal</v>
      </c>
      <c r="AK98" s="82">
        <v>76</v>
      </c>
      <c r="AL98" s="83" t="str">
        <f t="shared" si="52"/>
        <v>Mencapai kompetensi dengan baik dalam hal</v>
      </c>
      <c r="AM98" s="82">
        <v>76</v>
      </c>
      <c r="AN98" s="83" t="str">
        <f t="shared" si="53"/>
        <v>Mencapai kompetensi dengan baik dalam hal</v>
      </c>
      <c r="AO98" s="75">
        <f t="shared" si="40"/>
        <v>76</v>
      </c>
      <c r="AP98" s="82">
        <v>80</v>
      </c>
      <c r="AQ98" s="83" t="str">
        <f t="shared" si="54"/>
        <v>Mencapai kompetensi dengan baik dalam hal</v>
      </c>
      <c r="AR98" s="82">
        <v>79</v>
      </c>
      <c r="AS98" s="83" t="str">
        <f t="shared" si="55"/>
        <v>Mencapai kompetensi dengan baik dalam hal</v>
      </c>
      <c r="AT98" s="86" t="s">
        <v>81</v>
      </c>
      <c r="AU98" s="86" t="s">
        <v>81</v>
      </c>
      <c r="AV98" s="86">
        <v>1</v>
      </c>
      <c r="AW98" s="82">
        <v>1</v>
      </c>
      <c r="AX98" s="82" t="s">
        <v>82</v>
      </c>
      <c r="AY98" s="83" t="s">
        <v>83</v>
      </c>
      <c r="AZ98" s="82" t="s">
        <v>84</v>
      </c>
      <c r="BA98" s="83" t="str">
        <f t="shared" ref="BA98:BA109" si="57">VLOOKUP(AZ98,grades6,2,TRUE)</f>
        <v>Baik</v>
      </c>
      <c r="BB98" s="82">
        <v>2</v>
      </c>
      <c r="BC98" s="83" t="s">
        <v>170</v>
      </c>
      <c r="BD98" s="83" t="s">
        <v>83</v>
      </c>
      <c r="BE98" s="82" t="s">
        <v>84</v>
      </c>
      <c r="BF98" s="83" t="str">
        <f t="shared" ref="BF98:BF109" si="58">VLOOKUP(BE98,grades6,2,TRUE)</f>
        <v>Baik</v>
      </c>
      <c r="BG98" s="82"/>
      <c r="BH98" s="82"/>
      <c r="BI98" s="82"/>
      <c r="BJ98" s="82"/>
      <c r="BK98" s="83"/>
      <c r="BM98" s="81"/>
      <c r="BN98" s="81"/>
      <c r="BO98" s="81"/>
      <c r="BP98" s="81"/>
      <c r="BQ98" s="81"/>
      <c r="BR98" s="81"/>
      <c r="BT98" s="81">
        <f t="shared" si="39"/>
        <v>0</v>
      </c>
    </row>
    <row r="99" spans="1:72" ht="23.25" customHeight="1" x14ac:dyDescent="0.25">
      <c r="A99" s="82">
        <v>98</v>
      </c>
      <c r="B99" s="82">
        <v>2525968</v>
      </c>
      <c r="C99" s="82" t="s">
        <v>734</v>
      </c>
      <c r="D99" s="83" t="s">
        <v>735</v>
      </c>
      <c r="E99" s="82" t="s">
        <v>682</v>
      </c>
      <c r="F99" s="82" t="s">
        <v>530</v>
      </c>
      <c r="G99" s="82" t="s">
        <v>683</v>
      </c>
      <c r="H99" s="82" t="s">
        <v>684</v>
      </c>
      <c r="I99" s="84" t="s">
        <v>76</v>
      </c>
      <c r="J99" s="85" t="s">
        <v>77</v>
      </c>
      <c r="K99" s="85" t="s">
        <v>78</v>
      </c>
      <c r="L99" s="85" t="s">
        <v>79</v>
      </c>
      <c r="M99" s="82">
        <v>83</v>
      </c>
      <c r="N99" s="83" t="str">
        <f t="shared" si="41"/>
        <v>Mencapai kompetensi dengan baik dalam hal</v>
      </c>
      <c r="O99" s="82">
        <v>83</v>
      </c>
      <c r="P99" s="83" t="str">
        <f t="shared" si="22"/>
        <v>Mencapai kompetensi dengan baik dalam hal</v>
      </c>
      <c r="Q99" s="82">
        <v>82</v>
      </c>
      <c r="R99" s="83" t="str">
        <f t="shared" si="42"/>
        <v>Mencapai kompetensi dengan baik dalam hal</v>
      </c>
      <c r="S99" s="82">
        <v>80</v>
      </c>
      <c r="T99" s="83" t="str">
        <f t="shared" si="43"/>
        <v>Mencapai kompetensi dengan baik dalam hal</v>
      </c>
      <c r="U99" s="82">
        <v>87</v>
      </c>
      <c r="V99" s="83" t="str">
        <f t="shared" si="44"/>
        <v>Mencapai kompetensi dengan baik dalam hal</v>
      </c>
      <c r="W99" s="82">
        <v>81</v>
      </c>
      <c r="X99" s="83" t="str">
        <f t="shared" si="45"/>
        <v>Mencapai kompetensi dengan baik dalam hal</v>
      </c>
      <c r="Y99" s="82">
        <v>79</v>
      </c>
      <c r="Z99" s="83" t="str">
        <f t="shared" si="46"/>
        <v>Mencapai kompetensi dengan baik dalam hal</v>
      </c>
      <c r="AA99" s="82">
        <v>82</v>
      </c>
      <c r="AB99" s="83" t="str">
        <f t="shared" si="47"/>
        <v>Mencapai kompetensi dengan baik dalam hal</v>
      </c>
      <c r="AC99" s="82">
        <v>88</v>
      </c>
      <c r="AD99" s="83" t="str">
        <f t="shared" si="48"/>
        <v>Mencapai kompetensi dengan baik dalam hal</v>
      </c>
      <c r="AE99" s="82">
        <v>90</v>
      </c>
      <c r="AF99" s="83" t="str">
        <f t="shared" si="49"/>
        <v>Mencapai kompetensi dengan sangat baik dalam hal</v>
      </c>
      <c r="AG99" s="82">
        <v>90</v>
      </c>
      <c r="AH99" s="83" t="str">
        <f t="shared" si="50"/>
        <v>Mencapai kompetensi dengan sangat baik dalam hal</v>
      </c>
      <c r="AI99" s="82">
        <v>90</v>
      </c>
      <c r="AJ99" s="83" t="str">
        <f t="shared" si="51"/>
        <v>Mencapai kompetensi dengan sangat baik dalam hal</v>
      </c>
      <c r="AK99" s="82">
        <v>90</v>
      </c>
      <c r="AL99" s="83" t="str">
        <f t="shared" si="52"/>
        <v>Mencapai kompetensi dengan sangat baik dalam hal</v>
      </c>
      <c r="AM99" s="82">
        <v>90</v>
      </c>
      <c r="AN99" s="83" t="str">
        <f t="shared" si="53"/>
        <v>Mencapai kompetensi dengan sangat baik dalam hal</v>
      </c>
      <c r="AO99" s="75">
        <f t="shared" si="40"/>
        <v>90</v>
      </c>
      <c r="AP99" s="82">
        <v>88</v>
      </c>
      <c r="AQ99" s="83" t="str">
        <f t="shared" si="54"/>
        <v>Mencapai kompetensi dengan baik dalam hal</v>
      </c>
      <c r="AR99" s="82">
        <v>80</v>
      </c>
      <c r="AS99" s="83" t="str">
        <f t="shared" si="55"/>
        <v>Mencapai kompetensi dengan baik dalam hal</v>
      </c>
      <c r="AT99" s="86">
        <v>1</v>
      </c>
      <c r="AU99" s="86" t="s">
        <v>81</v>
      </c>
      <c r="AV99" s="86" t="s">
        <v>81</v>
      </c>
      <c r="AW99" s="82">
        <v>1</v>
      </c>
      <c r="AX99" s="82" t="s">
        <v>82</v>
      </c>
      <c r="AY99" s="83" t="s">
        <v>83</v>
      </c>
      <c r="AZ99" s="82" t="s">
        <v>86</v>
      </c>
      <c r="BA99" s="83" t="str">
        <f t="shared" si="57"/>
        <v>Sangat baik</v>
      </c>
      <c r="BB99" s="82">
        <v>2</v>
      </c>
      <c r="BC99" s="83" t="s">
        <v>103</v>
      </c>
      <c r="BD99" s="83" t="s">
        <v>83</v>
      </c>
      <c r="BE99" s="82" t="s">
        <v>86</v>
      </c>
      <c r="BF99" s="83" t="str">
        <f t="shared" si="58"/>
        <v>Sangat baik</v>
      </c>
      <c r="BG99" s="82"/>
      <c r="BH99" s="82"/>
      <c r="BI99" s="82"/>
      <c r="BJ99" s="82"/>
      <c r="BK99" s="83"/>
      <c r="BM99" s="81"/>
      <c r="BN99" s="81"/>
      <c r="BO99" s="81"/>
      <c r="BP99" s="81"/>
      <c r="BQ99" s="81"/>
      <c r="BR99" s="81"/>
      <c r="BT99" s="81">
        <f t="shared" si="39"/>
        <v>0</v>
      </c>
    </row>
    <row r="100" spans="1:72" ht="23.25" customHeight="1" x14ac:dyDescent="0.25">
      <c r="A100" s="82">
        <v>99</v>
      </c>
      <c r="B100" s="82">
        <v>2525969</v>
      </c>
      <c r="C100" s="82" t="s">
        <v>736</v>
      </c>
      <c r="D100" s="83" t="s">
        <v>737</v>
      </c>
      <c r="E100" s="82" t="s">
        <v>682</v>
      </c>
      <c r="F100" s="82" t="s">
        <v>530</v>
      </c>
      <c r="G100" s="82" t="s">
        <v>683</v>
      </c>
      <c r="H100" s="82" t="s">
        <v>684</v>
      </c>
      <c r="I100" s="84" t="s">
        <v>76</v>
      </c>
      <c r="J100" s="85" t="s">
        <v>77</v>
      </c>
      <c r="K100" s="85" t="s">
        <v>78</v>
      </c>
      <c r="L100" s="85" t="s">
        <v>79</v>
      </c>
      <c r="M100" s="82">
        <v>79</v>
      </c>
      <c r="N100" s="83" t="str">
        <f t="shared" si="41"/>
        <v>Mencapai kompetensi dengan baik dalam hal</v>
      </c>
      <c r="O100" s="82">
        <v>77</v>
      </c>
      <c r="P100" s="83" t="str">
        <f t="shared" si="22"/>
        <v>Mencapai kompetensi dengan baik dalam hal</v>
      </c>
      <c r="Q100" s="82">
        <v>80</v>
      </c>
      <c r="R100" s="83" t="str">
        <f t="shared" si="42"/>
        <v>Mencapai kompetensi dengan baik dalam hal</v>
      </c>
      <c r="S100" s="82">
        <v>79</v>
      </c>
      <c r="T100" s="83" t="str">
        <f t="shared" si="43"/>
        <v>Mencapai kompetensi dengan baik dalam hal</v>
      </c>
      <c r="U100" s="82">
        <v>77</v>
      </c>
      <c r="V100" s="83" t="str">
        <f t="shared" si="44"/>
        <v>Mencapai kompetensi dengan baik dalam hal</v>
      </c>
      <c r="W100" s="82">
        <v>78</v>
      </c>
      <c r="X100" s="83" t="str">
        <f t="shared" si="45"/>
        <v>Mencapai kompetensi dengan baik dalam hal</v>
      </c>
      <c r="Y100" s="82">
        <v>77</v>
      </c>
      <c r="Z100" s="83" t="str">
        <f t="shared" si="46"/>
        <v>Mencapai kompetensi dengan baik dalam hal</v>
      </c>
      <c r="AA100" s="82">
        <v>77</v>
      </c>
      <c r="AB100" s="83" t="str">
        <f t="shared" si="47"/>
        <v>Mencapai kompetensi dengan baik dalam hal</v>
      </c>
      <c r="AC100" s="82">
        <v>81</v>
      </c>
      <c r="AD100" s="83" t="str">
        <f t="shared" si="48"/>
        <v>Mencapai kompetensi dengan baik dalam hal</v>
      </c>
      <c r="AE100" s="82">
        <v>85</v>
      </c>
      <c r="AF100" s="83" t="str">
        <f t="shared" si="49"/>
        <v>Mencapai kompetensi dengan baik dalam hal</v>
      </c>
      <c r="AG100" s="82">
        <v>77</v>
      </c>
      <c r="AH100" s="83" t="str">
        <f t="shared" si="50"/>
        <v>Mencapai kompetensi dengan baik dalam hal</v>
      </c>
      <c r="AI100" s="82">
        <v>77</v>
      </c>
      <c r="AJ100" s="83" t="str">
        <f t="shared" si="51"/>
        <v>Mencapai kompetensi dengan baik dalam hal</v>
      </c>
      <c r="AK100" s="82">
        <v>77</v>
      </c>
      <c r="AL100" s="83" t="str">
        <f t="shared" si="52"/>
        <v>Mencapai kompetensi dengan baik dalam hal</v>
      </c>
      <c r="AM100" s="82">
        <v>77</v>
      </c>
      <c r="AN100" s="83" t="str">
        <f t="shared" si="53"/>
        <v>Mencapai kompetensi dengan baik dalam hal</v>
      </c>
      <c r="AO100" s="75">
        <f t="shared" si="40"/>
        <v>77</v>
      </c>
      <c r="AP100" s="82">
        <v>81</v>
      </c>
      <c r="AQ100" s="83" t="str">
        <f t="shared" si="54"/>
        <v>Mencapai kompetensi dengan baik dalam hal</v>
      </c>
      <c r="AR100" s="82">
        <v>79</v>
      </c>
      <c r="AS100" s="83" t="str">
        <f t="shared" si="55"/>
        <v>Mencapai kompetensi dengan baik dalam hal</v>
      </c>
      <c r="AT100" s="86">
        <v>1</v>
      </c>
      <c r="AU100" s="86" t="s">
        <v>81</v>
      </c>
      <c r="AV100" s="86" t="s">
        <v>81</v>
      </c>
      <c r="AW100" s="82">
        <v>1</v>
      </c>
      <c r="AX100" s="82" t="s">
        <v>82</v>
      </c>
      <c r="AY100" s="83" t="s">
        <v>83</v>
      </c>
      <c r="AZ100" s="82" t="s">
        <v>86</v>
      </c>
      <c r="BA100" s="83" t="str">
        <f t="shared" si="57"/>
        <v>Sangat baik</v>
      </c>
      <c r="BB100" s="82">
        <v>2</v>
      </c>
      <c r="BC100" s="83" t="s">
        <v>170</v>
      </c>
      <c r="BD100" s="83" t="s">
        <v>83</v>
      </c>
      <c r="BE100" s="82" t="s">
        <v>104</v>
      </c>
      <c r="BF100" s="83" t="str">
        <f t="shared" si="58"/>
        <v>Cukup</v>
      </c>
      <c r="BG100" s="82"/>
      <c r="BH100" s="82"/>
      <c r="BI100" s="82"/>
      <c r="BJ100" s="82"/>
      <c r="BK100" s="83"/>
      <c r="BM100" s="81"/>
      <c r="BN100" s="81"/>
      <c r="BO100" s="81"/>
      <c r="BP100" s="81"/>
      <c r="BQ100" s="81"/>
      <c r="BR100" s="81"/>
      <c r="BT100" s="81">
        <f t="shared" si="39"/>
        <v>0</v>
      </c>
    </row>
    <row r="101" spans="1:72" ht="23.25" customHeight="1" x14ac:dyDescent="0.25">
      <c r="A101" s="82">
        <v>100</v>
      </c>
      <c r="B101" s="82">
        <v>2525970</v>
      </c>
      <c r="C101" s="82" t="s">
        <v>738</v>
      </c>
      <c r="D101" s="83" t="s">
        <v>739</v>
      </c>
      <c r="E101" s="82" t="s">
        <v>682</v>
      </c>
      <c r="F101" s="82" t="s">
        <v>530</v>
      </c>
      <c r="G101" s="82" t="s">
        <v>683</v>
      </c>
      <c r="H101" s="82" t="s">
        <v>684</v>
      </c>
      <c r="I101" s="84" t="s">
        <v>76</v>
      </c>
      <c r="J101" s="85" t="s">
        <v>77</v>
      </c>
      <c r="K101" s="85" t="s">
        <v>78</v>
      </c>
      <c r="L101" s="85" t="s">
        <v>79</v>
      </c>
      <c r="M101" s="82">
        <v>80</v>
      </c>
      <c r="N101" s="83" t="str">
        <f t="shared" si="41"/>
        <v>Mencapai kompetensi dengan baik dalam hal</v>
      </c>
      <c r="O101" s="82">
        <v>75</v>
      </c>
      <c r="P101" s="83" t="str">
        <f t="shared" si="22"/>
        <v>Mencapai kompetensi dengan baik dalam hal</v>
      </c>
      <c r="Q101" s="82">
        <v>80</v>
      </c>
      <c r="R101" s="83" t="str">
        <f t="shared" si="42"/>
        <v>Mencapai kompetensi dengan baik dalam hal</v>
      </c>
      <c r="S101" s="82">
        <v>79</v>
      </c>
      <c r="T101" s="83" t="str">
        <f t="shared" si="43"/>
        <v>Mencapai kompetensi dengan baik dalam hal</v>
      </c>
      <c r="U101" s="82">
        <v>77</v>
      </c>
      <c r="V101" s="83" t="str">
        <f t="shared" si="44"/>
        <v>Mencapai kompetensi dengan baik dalam hal</v>
      </c>
      <c r="W101" s="82">
        <v>78</v>
      </c>
      <c r="X101" s="83" t="str">
        <f t="shared" si="45"/>
        <v>Mencapai kompetensi dengan baik dalam hal</v>
      </c>
      <c r="Y101" s="82">
        <v>77</v>
      </c>
      <c r="Z101" s="83" t="str">
        <f t="shared" si="46"/>
        <v>Mencapai kompetensi dengan baik dalam hal</v>
      </c>
      <c r="AA101" s="82">
        <v>79</v>
      </c>
      <c r="AB101" s="83" t="str">
        <f t="shared" si="47"/>
        <v>Mencapai kompetensi dengan baik dalam hal</v>
      </c>
      <c r="AC101" s="82">
        <v>83</v>
      </c>
      <c r="AD101" s="83" t="str">
        <f t="shared" si="48"/>
        <v>Mencapai kompetensi dengan baik dalam hal</v>
      </c>
      <c r="AE101" s="82">
        <v>82</v>
      </c>
      <c r="AF101" s="83" t="str">
        <f t="shared" si="49"/>
        <v>Mencapai kompetensi dengan baik dalam hal</v>
      </c>
      <c r="AG101" s="82">
        <v>76</v>
      </c>
      <c r="AH101" s="83" t="str">
        <f t="shared" si="50"/>
        <v>Mencapai kompetensi dengan baik dalam hal</v>
      </c>
      <c r="AI101" s="82">
        <v>76</v>
      </c>
      <c r="AJ101" s="83" t="str">
        <f t="shared" si="51"/>
        <v>Mencapai kompetensi dengan baik dalam hal</v>
      </c>
      <c r="AK101" s="82">
        <v>76</v>
      </c>
      <c r="AL101" s="83" t="str">
        <f t="shared" si="52"/>
        <v>Mencapai kompetensi dengan baik dalam hal</v>
      </c>
      <c r="AM101" s="82">
        <v>76</v>
      </c>
      <c r="AN101" s="83" t="str">
        <f t="shared" si="53"/>
        <v>Mencapai kompetensi dengan baik dalam hal</v>
      </c>
      <c r="AO101" s="75">
        <f t="shared" si="40"/>
        <v>76</v>
      </c>
      <c r="AP101" s="82">
        <v>83</v>
      </c>
      <c r="AQ101" s="83" t="str">
        <f t="shared" si="54"/>
        <v>Mencapai kompetensi dengan baik dalam hal</v>
      </c>
      <c r="AR101" s="82">
        <v>79</v>
      </c>
      <c r="AS101" s="83" t="str">
        <f t="shared" si="55"/>
        <v>Mencapai kompetensi dengan baik dalam hal</v>
      </c>
      <c r="AT101" s="86" t="s">
        <v>81</v>
      </c>
      <c r="AU101" s="86" t="s">
        <v>81</v>
      </c>
      <c r="AV101" s="86" t="s">
        <v>81</v>
      </c>
      <c r="AW101" s="82">
        <v>1</v>
      </c>
      <c r="AX101" s="82" t="s">
        <v>82</v>
      </c>
      <c r="AY101" s="83" t="s">
        <v>83</v>
      </c>
      <c r="AZ101" s="82" t="s">
        <v>84</v>
      </c>
      <c r="BA101" s="83" t="str">
        <f t="shared" si="57"/>
        <v>Baik</v>
      </c>
      <c r="BB101" s="82">
        <v>2</v>
      </c>
      <c r="BC101" s="83" t="s">
        <v>103</v>
      </c>
      <c r="BD101" s="83" t="s">
        <v>83</v>
      </c>
      <c r="BE101" s="82" t="s">
        <v>84</v>
      </c>
      <c r="BF101" s="83" t="str">
        <f t="shared" si="58"/>
        <v>Baik</v>
      </c>
      <c r="BG101" s="82"/>
      <c r="BH101" s="82"/>
      <c r="BI101" s="82"/>
      <c r="BJ101" s="82"/>
      <c r="BK101" s="83"/>
      <c r="BM101" s="88"/>
      <c r="BN101" s="88"/>
      <c r="BO101" s="88"/>
      <c r="BP101" s="88"/>
      <c r="BQ101" s="88"/>
      <c r="BR101" s="88"/>
      <c r="BT101" s="81">
        <f t="shared" si="39"/>
        <v>0</v>
      </c>
    </row>
    <row r="102" spans="1:72" ht="23.25" customHeight="1" x14ac:dyDescent="0.25">
      <c r="A102" s="82">
        <v>101</v>
      </c>
      <c r="B102" s="82">
        <v>2525971</v>
      </c>
      <c r="C102" s="82" t="s">
        <v>740</v>
      </c>
      <c r="D102" s="83" t="s">
        <v>741</v>
      </c>
      <c r="E102" s="82" t="s">
        <v>682</v>
      </c>
      <c r="F102" s="82" t="s">
        <v>530</v>
      </c>
      <c r="G102" s="82" t="s">
        <v>683</v>
      </c>
      <c r="H102" s="82" t="s">
        <v>684</v>
      </c>
      <c r="I102" s="84" t="s">
        <v>76</v>
      </c>
      <c r="J102" s="85" t="s">
        <v>77</v>
      </c>
      <c r="K102" s="85" t="s">
        <v>78</v>
      </c>
      <c r="L102" s="85" t="s">
        <v>79</v>
      </c>
      <c r="M102" s="82">
        <v>80</v>
      </c>
      <c r="N102" s="83" t="str">
        <f t="shared" si="41"/>
        <v>Mencapai kompetensi dengan baik dalam hal</v>
      </c>
      <c r="O102" s="82">
        <v>82</v>
      </c>
      <c r="P102" s="83" t="str">
        <f t="shared" si="22"/>
        <v>Mencapai kompetensi dengan baik dalam hal</v>
      </c>
      <c r="Q102" s="82">
        <v>82</v>
      </c>
      <c r="R102" s="83" t="str">
        <f t="shared" si="42"/>
        <v>Mencapai kompetensi dengan baik dalam hal</v>
      </c>
      <c r="S102" s="82">
        <v>80</v>
      </c>
      <c r="T102" s="83" t="str">
        <f t="shared" si="43"/>
        <v>Mencapai kompetensi dengan baik dalam hal</v>
      </c>
      <c r="U102" s="82">
        <v>75</v>
      </c>
      <c r="V102" s="83" t="str">
        <f t="shared" si="44"/>
        <v>Mencapai kompetensi dengan baik dalam hal</v>
      </c>
      <c r="W102" s="82">
        <v>83</v>
      </c>
      <c r="X102" s="83" t="str">
        <f t="shared" si="45"/>
        <v>Mencapai kompetensi dengan baik dalam hal</v>
      </c>
      <c r="Y102" s="82">
        <v>80</v>
      </c>
      <c r="Z102" s="83" t="str">
        <f t="shared" si="46"/>
        <v>Mencapai kompetensi dengan baik dalam hal</v>
      </c>
      <c r="AA102" s="82">
        <v>81</v>
      </c>
      <c r="AB102" s="83" t="str">
        <f t="shared" si="47"/>
        <v>Mencapai kompetensi dengan baik dalam hal</v>
      </c>
      <c r="AC102" s="82">
        <v>87</v>
      </c>
      <c r="AD102" s="83" t="str">
        <f t="shared" si="48"/>
        <v>Mencapai kompetensi dengan baik dalam hal</v>
      </c>
      <c r="AE102" s="82">
        <v>89</v>
      </c>
      <c r="AF102" s="83" t="str">
        <f t="shared" si="49"/>
        <v>Mencapai kompetensi dengan baik dalam hal</v>
      </c>
      <c r="AG102" s="82">
        <v>80</v>
      </c>
      <c r="AH102" s="83" t="str">
        <f t="shared" si="50"/>
        <v>Mencapai kompetensi dengan baik dalam hal</v>
      </c>
      <c r="AI102" s="82">
        <v>80</v>
      </c>
      <c r="AJ102" s="83" t="str">
        <f t="shared" si="51"/>
        <v>Mencapai kompetensi dengan baik dalam hal</v>
      </c>
      <c r="AK102" s="82">
        <v>80</v>
      </c>
      <c r="AL102" s="83" t="str">
        <f t="shared" si="52"/>
        <v>Mencapai kompetensi dengan baik dalam hal</v>
      </c>
      <c r="AM102" s="82">
        <v>80</v>
      </c>
      <c r="AN102" s="83" t="str">
        <f t="shared" si="53"/>
        <v>Mencapai kompetensi dengan baik dalam hal</v>
      </c>
      <c r="AO102" s="75">
        <f t="shared" si="40"/>
        <v>80</v>
      </c>
      <c r="AP102" s="82">
        <v>87</v>
      </c>
      <c r="AQ102" s="83" t="str">
        <f t="shared" si="54"/>
        <v>Mencapai kompetensi dengan baik dalam hal</v>
      </c>
      <c r="AR102" s="82">
        <v>80</v>
      </c>
      <c r="AS102" s="83" t="str">
        <f t="shared" si="55"/>
        <v>Mencapai kompetensi dengan baik dalam hal</v>
      </c>
      <c r="AT102" s="86" t="s">
        <v>81</v>
      </c>
      <c r="AU102" s="86" t="s">
        <v>81</v>
      </c>
      <c r="AV102" s="86" t="s">
        <v>81</v>
      </c>
      <c r="AW102" s="82">
        <v>1</v>
      </c>
      <c r="AX102" s="82" t="s">
        <v>82</v>
      </c>
      <c r="AY102" s="83" t="s">
        <v>83</v>
      </c>
      <c r="AZ102" s="82" t="s">
        <v>86</v>
      </c>
      <c r="BA102" s="83" t="str">
        <f t="shared" si="57"/>
        <v>Sangat baik</v>
      </c>
      <c r="BB102" s="82">
        <v>2</v>
      </c>
      <c r="BC102" s="83" t="s">
        <v>108</v>
      </c>
      <c r="BD102" s="83" t="s">
        <v>83</v>
      </c>
      <c r="BE102" s="82" t="s">
        <v>86</v>
      </c>
      <c r="BF102" s="83" t="str">
        <f t="shared" si="58"/>
        <v>Sangat baik</v>
      </c>
      <c r="BG102" s="82"/>
      <c r="BH102" s="82"/>
      <c r="BI102" s="82"/>
      <c r="BJ102" s="82"/>
      <c r="BK102" s="83"/>
      <c r="BM102" s="81"/>
      <c r="BN102" s="81"/>
      <c r="BO102" s="81"/>
      <c r="BP102" s="81"/>
      <c r="BQ102" s="81"/>
      <c r="BR102" s="81"/>
      <c r="BT102" s="81">
        <f t="shared" si="39"/>
        <v>0</v>
      </c>
    </row>
    <row r="103" spans="1:72" ht="23.25" customHeight="1" x14ac:dyDescent="0.25">
      <c r="A103" s="82">
        <v>102</v>
      </c>
      <c r="B103" s="82">
        <v>2525972</v>
      </c>
      <c r="C103" s="82" t="s">
        <v>742</v>
      </c>
      <c r="D103" s="83" t="s">
        <v>743</v>
      </c>
      <c r="E103" s="82" t="s">
        <v>682</v>
      </c>
      <c r="F103" s="82" t="s">
        <v>530</v>
      </c>
      <c r="G103" s="82" t="s">
        <v>683</v>
      </c>
      <c r="H103" s="82" t="s">
        <v>684</v>
      </c>
      <c r="I103" s="84" t="s">
        <v>76</v>
      </c>
      <c r="J103" s="85" t="s">
        <v>77</v>
      </c>
      <c r="K103" s="85" t="s">
        <v>78</v>
      </c>
      <c r="L103" s="85" t="s">
        <v>79</v>
      </c>
      <c r="M103" s="82">
        <v>80</v>
      </c>
      <c r="N103" s="83" t="str">
        <f t="shared" si="41"/>
        <v>Mencapai kompetensi dengan baik dalam hal</v>
      </c>
      <c r="O103" s="82">
        <v>79</v>
      </c>
      <c r="P103" s="83" t="str">
        <f t="shared" si="22"/>
        <v>Mencapai kompetensi dengan baik dalam hal</v>
      </c>
      <c r="Q103" s="82">
        <v>81</v>
      </c>
      <c r="R103" s="83" t="str">
        <f t="shared" si="42"/>
        <v>Mencapai kompetensi dengan baik dalam hal</v>
      </c>
      <c r="S103" s="82">
        <v>78</v>
      </c>
      <c r="T103" s="83" t="str">
        <f t="shared" si="43"/>
        <v>Mencapai kompetensi dengan baik dalam hal</v>
      </c>
      <c r="U103" s="82">
        <v>75</v>
      </c>
      <c r="V103" s="83" t="str">
        <f t="shared" si="44"/>
        <v>Mencapai kompetensi dengan baik dalam hal</v>
      </c>
      <c r="W103" s="82">
        <v>80</v>
      </c>
      <c r="X103" s="83" t="str">
        <f t="shared" si="45"/>
        <v>Mencapai kompetensi dengan baik dalam hal</v>
      </c>
      <c r="Y103" s="82">
        <v>79</v>
      </c>
      <c r="Z103" s="83" t="str">
        <f t="shared" si="46"/>
        <v>Mencapai kompetensi dengan baik dalam hal</v>
      </c>
      <c r="AA103" s="82">
        <v>80</v>
      </c>
      <c r="AB103" s="83" t="str">
        <f t="shared" si="47"/>
        <v>Mencapai kompetensi dengan baik dalam hal</v>
      </c>
      <c r="AC103" s="82">
        <v>84</v>
      </c>
      <c r="AD103" s="83" t="str">
        <f t="shared" si="48"/>
        <v>Mencapai kompetensi dengan baik dalam hal</v>
      </c>
      <c r="AE103" s="82">
        <v>85</v>
      </c>
      <c r="AF103" s="83" t="str">
        <f t="shared" si="49"/>
        <v>Mencapai kompetensi dengan baik dalam hal</v>
      </c>
      <c r="AG103" s="82">
        <v>87</v>
      </c>
      <c r="AH103" s="83" t="str">
        <f t="shared" si="50"/>
        <v>Mencapai kompetensi dengan baik dalam hal</v>
      </c>
      <c r="AI103" s="82">
        <v>87</v>
      </c>
      <c r="AJ103" s="83" t="str">
        <f t="shared" si="51"/>
        <v>Mencapai kompetensi dengan baik dalam hal</v>
      </c>
      <c r="AK103" s="82">
        <v>87</v>
      </c>
      <c r="AL103" s="83" t="str">
        <f t="shared" si="52"/>
        <v>Mencapai kompetensi dengan baik dalam hal</v>
      </c>
      <c r="AM103" s="82">
        <v>87</v>
      </c>
      <c r="AN103" s="83" t="str">
        <f t="shared" si="53"/>
        <v>Mencapai kompetensi dengan baik dalam hal</v>
      </c>
      <c r="AO103" s="75">
        <f t="shared" si="40"/>
        <v>87</v>
      </c>
      <c r="AP103" s="82">
        <v>84</v>
      </c>
      <c r="AQ103" s="83" t="str">
        <f t="shared" si="54"/>
        <v>Mencapai kompetensi dengan baik dalam hal</v>
      </c>
      <c r="AR103" s="82">
        <v>80</v>
      </c>
      <c r="AS103" s="83" t="str">
        <f t="shared" si="55"/>
        <v>Mencapai kompetensi dengan baik dalam hal</v>
      </c>
      <c r="AT103" s="86" t="s">
        <v>81</v>
      </c>
      <c r="AU103" s="86" t="s">
        <v>81</v>
      </c>
      <c r="AV103" s="86" t="s">
        <v>81</v>
      </c>
      <c r="AW103" s="82">
        <v>1</v>
      </c>
      <c r="AX103" s="82" t="s">
        <v>82</v>
      </c>
      <c r="AY103" s="83" t="s">
        <v>83</v>
      </c>
      <c r="AZ103" s="82" t="s">
        <v>84</v>
      </c>
      <c r="BA103" s="83" t="str">
        <f t="shared" si="57"/>
        <v>Baik</v>
      </c>
      <c r="BB103" s="82">
        <v>2</v>
      </c>
      <c r="BC103" s="83" t="s">
        <v>108</v>
      </c>
      <c r="BD103" s="83" t="s">
        <v>83</v>
      </c>
      <c r="BE103" s="82" t="s">
        <v>86</v>
      </c>
      <c r="BF103" s="83" t="str">
        <f t="shared" si="58"/>
        <v>Sangat baik</v>
      </c>
      <c r="BG103" s="82"/>
      <c r="BH103" s="82"/>
      <c r="BI103" s="82"/>
      <c r="BJ103" s="82"/>
      <c r="BK103" s="83"/>
      <c r="BM103" s="88"/>
      <c r="BN103" s="88"/>
      <c r="BO103" s="88"/>
      <c r="BP103" s="88"/>
      <c r="BQ103" s="88"/>
      <c r="BR103" s="88"/>
      <c r="BT103" s="81">
        <f t="shared" si="39"/>
        <v>0</v>
      </c>
    </row>
    <row r="104" spans="1:72" ht="23.25" customHeight="1" x14ac:dyDescent="0.25">
      <c r="A104" s="82">
        <v>103</v>
      </c>
      <c r="B104" s="82">
        <v>2525973</v>
      </c>
      <c r="C104" s="82" t="s">
        <v>744</v>
      </c>
      <c r="D104" s="83" t="s">
        <v>745</v>
      </c>
      <c r="E104" s="82" t="s">
        <v>682</v>
      </c>
      <c r="F104" s="82" t="s">
        <v>530</v>
      </c>
      <c r="G104" s="82" t="s">
        <v>683</v>
      </c>
      <c r="H104" s="82" t="s">
        <v>684</v>
      </c>
      <c r="I104" s="84" t="s">
        <v>76</v>
      </c>
      <c r="J104" s="85" t="s">
        <v>77</v>
      </c>
      <c r="K104" s="85" t="s">
        <v>78</v>
      </c>
      <c r="L104" s="85" t="s">
        <v>79</v>
      </c>
      <c r="M104" s="82">
        <v>78</v>
      </c>
      <c r="N104" s="83" t="str">
        <f t="shared" si="41"/>
        <v>Mencapai kompetensi dengan baik dalam hal</v>
      </c>
      <c r="O104" s="82">
        <v>75</v>
      </c>
      <c r="P104" s="83" t="str">
        <f t="shared" si="22"/>
        <v>Mencapai kompetensi dengan baik dalam hal</v>
      </c>
      <c r="Q104" s="82">
        <v>78</v>
      </c>
      <c r="R104" s="83" t="str">
        <f t="shared" si="42"/>
        <v>Mencapai kompetensi dengan baik dalam hal</v>
      </c>
      <c r="S104" s="82">
        <v>78</v>
      </c>
      <c r="T104" s="83" t="str">
        <f t="shared" si="43"/>
        <v>Mencapai kompetensi dengan baik dalam hal</v>
      </c>
      <c r="U104" s="82">
        <v>74</v>
      </c>
      <c r="V104" s="83" t="str">
        <f t="shared" si="44"/>
        <v>Perlu peningkatan dalam hal</v>
      </c>
      <c r="W104" s="82">
        <v>77</v>
      </c>
      <c r="X104" s="83" t="str">
        <f t="shared" si="45"/>
        <v>Mencapai kompetensi dengan baik dalam hal</v>
      </c>
      <c r="Y104" s="82">
        <v>77</v>
      </c>
      <c r="Z104" s="83" t="str">
        <f t="shared" si="46"/>
        <v>Mencapai kompetensi dengan baik dalam hal</v>
      </c>
      <c r="AA104" s="82">
        <v>70</v>
      </c>
      <c r="AB104" s="83" t="str">
        <f t="shared" si="47"/>
        <v>Perlu peningkatan dalam hal</v>
      </c>
      <c r="AC104" s="82">
        <v>77</v>
      </c>
      <c r="AD104" s="83" t="str">
        <f t="shared" si="48"/>
        <v>Mencapai kompetensi dengan baik dalam hal</v>
      </c>
      <c r="AE104" s="82">
        <v>75</v>
      </c>
      <c r="AF104" s="83" t="str">
        <f t="shared" si="49"/>
        <v>Mencapai kompetensi dengan baik dalam hal</v>
      </c>
      <c r="AG104" s="82">
        <v>75</v>
      </c>
      <c r="AH104" s="83" t="str">
        <f t="shared" si="50"/>
        <v>Mencapai kompetensi dengan baik dalam hal</v>
      </c>
      <c r="AI104" s="82">
        <v>75</v>
      </c>
      <c r="AJ104" s="83" t="str">
        <f t="shared" si="51"/>
        <v>Mencapai kompetensi dengan baik dalam hal</v>
      </c>
      <c r="AK104" s="82">
        <v>75</v>
      </c>
      <c r="AL104" s="83" t="str">
        <f t="shared" si="52"/>
        <v>Mencapai kompetensi dengan baik dalam hal</v>
      </c>
      <c r="AM104" s="82">
        <v>75</v>
      </c>
      <c r="AN104" s="83" t="str">
        <f t="shared" si="53"/>
        <v>Mencapai kompetensi dengan baik dalam hal</v>
      </c>
      <c r="AO104" s="75">
        <f t="shared" si="40"/>
        <v>75</v>
      </c>
      <c r="AP104" s="82">
        <v>77</v>
      </c>
      <c r="AQ104" s="83" t="str">
        <f t="shared" si="54"/>
        <v>Mencapai kompetensi dengan baik dalam hal</v>
      </c>
      <c r="AR104" s="82">
        <v>75</v>
      </c>
      <c r="AS104" s="83" t="str">
        <f t="shared" si="55"/>
        <v>Mencapai kompetensi dengan baik dalam hal</v>
      </c>
      <c r="AT104" s="86">
        <v>14</v>
      </c>
      <c r="AU104" s="86" t="s">
        <v>81</v>
      </c>
      <c r="AV104" s="86" t="s">
        <v>81</v>
      </c>
      <c r="AW104" s="82">
        <v>1</v>
      </c>
      <c r="AX104" s="82" t="s">
        <v>82</v>
      </c>
      <c r="AY104" s="83" t="s">
        <v>83</v>
      </c>
      <c r="AZ104" s="82" t="s">
        <v>110</v>
      </c>
      <c r="BA104" s="83" t="str">
        <f t="shared" si="57"/>
        <v>Kurang</v>
      </c>
      <c r="BB104" s="82">
        <v>2</v>
      </c>
      <c r="BC104" s="83" t="s">
        <v>99</v>
      </c>
      <c r="BD104" s="83" t="s">
        <v>83</v>
      </c>
      <c r="BE104" s="82" t="s">
        <v>104</v>
      </c>
      <c r="BF104" s="83" t="str">
        <f t="shared" si="58"/>
        <v>Cukup</v>
      </c>
      <c r="BG104" s="82"/>
      <c r="BH104" s="82"/>
      <c r="BI104" s="82"/>
      <c r="BJ104" s="82"/>
      <c r="BK104" s="83"/>
      <c r="BM104" s="88"/>
      <c r="BN104" s="88"/>
      <c r="BO104" s="88"/>
      <c r="BP104" s="88"/>
      <c r="BQ104" s="88"/>
      <c r="BR104" s="88"/>
      <c r="BT104" s="81"/>
    </row>
    <row r="105" spans="1:72" ht="23.25" customHeight="1" x14ac:dyDescent="0.25">
      <c r="A105" s="82">
        <v>104</v>
      </c>
      <c r="B105" s="82">
        <v>2525974</v>
      </c>
      <c r="C105" s="82" t="s">
        <v>746</v>
      </c>
      <c r="D105" s="83" t="s">
        <v>747</v>
      </c>
      <c r="E105" s="82" t="s">
        <v>682</v>
      </c>
      <c r="F105" s="82" t="s">
        <v>530</v>
      </c>
      <c r="G105" s="82" t="s">
        <v>683</v>
      </c>
      <c r="H105" s="82" t="s">
        <v>684</v>
      </c>
      <c r="I105" s="84" t="s">
        <v>76</v>
      </c>
      <c r="J105" s="85" t="s">
        <v>77</v>
      </c>
      <c r="K105" s="85" t="s">
        <v>78</v>
      </c>
      <c r="L105" s="85" t="s">
        <v>79</v>
      </c>
      <c r="M105" s="82">
        <v>79</v>
      </c>
      <c r="N105" s="83" t="str">
        <f t="shared" si="41"/>
        <v>Mencapai kompetensi dengan baik dalam hal</v>
      </c>
      <c r="O105" s="82">
        <v>76</v>
      </c>
      <c r="P105" s="83" t="str">
        <f t="shared" si="22"/>
        <v>Mencapai kompetensi dengan baik dalam hal</v>
      </c>
      <c r="Q105" s="82">
        <v>79</v>
      </c>
      <c r="R105" s="83" t="str">
        <f t="shared" si="42"/>
        <v>Mencapai kompetensi dengan baik dalam hal</v>
      </c>
      <c r="S105" s="82">
        <v>78</v>
      </c>
      <c r="T105" s="83" t="str">
        <f t="shared" si="43"/>
        <v>Mencapai kompetensi dengan baik dalam hal</v>
      </c>
      <c r="U105" s="82">
        <v>76</v>
      </c>
      <c r="V105" s="83" t="str">
        <f t="shared" si="44"/>
        <v>Mencapai kompetensi dengan baik dalam hal</v>
      </c>
      <c r="W105" s="82">
        <v>80</v>
      </c>
      <c r="X105" s="83" t="str">
        <f t="shared" si="45"/>
        <v>Mencapai kompetensi dengan baik dalam hal</v>
      </c>
      <c r="Y105" s="82">
        <v>80</v>
      </c>
      <c r="Z105" s="83" t="str">
        <f t="shared" si="46"/>
        <v>Mencapai kompetensi dengan baik dalam hal</v>
      </c>
      <c r="AA105" s="82">
        <v>78</v>
      </c>
      <c r="AB105" s="83" t="str">
        <f t="shared" si="47"/>
        <v>Mencapai kompetensi dengan baik dalam hal</v>
      </c>
      <c r="AC105" s="82">
        <v>78</v>
      </c>
      <c r="AD105" s="83" t="str">
        <f t="shared" si="48"/>
        <v>Mencapai kompetensi dengan baik dalam hal</v>
      </c>
      <c r="AE105" s="82">
        <v>88</v>
      </c>
      <c r="AF105" s="83" t="str">
        <f t="shared" si="49"/>
        <v>Mencapai kompetensi dengan baik dalam hal</v>
      </c>
      <c r="AG105" s="82">
        <v>78</v>
      </c>
      <c r="AH105" s="83" t="str">
        <f t="shared" si="50"/>
        <v>Mencapai kompetensi dengan baik dalam hal</v>
      </c>
      <c r="AI105" s="82">
        <v>78</v>
      </c>
      <c r="AJ105" s="83" t="str">
        <f t="shared" si="51"/>
        <v>Mencapai kompetensi dengan baik dalam hal</v>
      </c>
      <c r="AK105" s="82">
        <v>78</v>
      </c>
      <c r="AL105" s="83" t="str">
        <f t="shared" si="52"/>
        <v>Mencapai kompetensi dengan baik dalam hal</v>
      </c>
      <c r="AM105" s="82">
        <v>78</v>
      </c>
      <c r="AN105" s="83" t="str">
        <f t="shared" si="53"/>
        <v>Mencapai kompetensi dengan baik dalam hal</v>
      </c>
      <c r="AO105" s="75">
        <f t="shared" si="40"/>
        <v>78</v>
      </c>
      <c r="AP105" s="82">
        <v>78</v>
      </c>
      <c r="AQ105" s="83" t="str">
        <f t="shared" si="54"/>
        <v>Mencapai kompetensi dengan baik dalam hal</v>
      </c>
      <c r="AR105" s="82">
        <v>78</v>
      </c>
      <c r="AS105" s="83" t="str">
        <f t="shared" si="55"/>
        <v>Mencapai kompetensi dengan baik dalam hal</v>
      </c>
      <c r="AT105" s="86">
        <v>3</v>
      </c>
      <c r="AU105" s="86" t="s">
        <v>81</v>
      </c>
      <c r="AV105" s="86" t="s">
        <v>81</v>
      </c>
      <c r="AW105" s="82">
        <v>1</v>
      </c>
      <c r="AX105" s="82" t="s">
        <v>82</v>
      </c>
      <c r="AY105" s="83" t="s">
        <v>83</v>
      </c>
      <c r="AZ105" s="82" t="s">
        <v>84</v>
      </c>
      <c r="BA105" s="83" t="str">
        <f t="shared" si="57"/>
        <v>Baik</v>
      </c>
      <c r="BB105" s="82">
        <v>2</v>
      </c>
      <c r="BC105" s="83" t="s">
        <v>125</v>
      </c>
      <c r="BD105" s="83" t="s">
        <v>83</v>
      </c>
      <c r="BE105" s="82" t="s">
        <v>104</v>
      </c>
      <c r="BF105" s="83" t="str">
        <f t="shared" si="58"/>
        <v>Cukup</v>
      </c>
      <c r="BG105" s="82"/>
      <c r="BH105" s="82"/>
      <c r="BI105" s="82"/>
      <c r="BJ105" s="82"/>
      <c r="BK105" s="83"/>
      <c r="BM105" s="88"/>
      <c r="BN105" s="88"/>
      <c r="BO105" s="88"/>
      <c r="BP105" s="88"/>
      <c r="BQ105" s="88"/>
      <c r="BR105" s="88"/>
      <c r="BT105" s="81"/>
    </row>
    <row r="106" spans="1:72" ht="23.25" customHeight="1" x14ac:dyDescent="0.25">
      <c r="A106" s="82">
        <v>105</v>
      </c>
      <c r="B106" s="82">
        <v>2525975</v>
      </c>
      <c r="C106" s="82" t="s">
        <v>748</v>
      </c>
      <c r="D106" s="83" t="s">
        <v>749</v>
      </c>
      <c r="E106" s="82" t="s">
        <v>682</v>
      </c>
      <c r="F106" s="82" t="s">
        <v>530</v>
      </c>
      <c r="G106" s="82" t="s">
        <v>683</v>
      </c>
      <c r="H106" s="82" t="s">
        <v>684</v>
      </c>
      <c r="I106" s="84" t="s">
        <v>76</v>
      </c>
      <c r="J106" s="85" t="s">
        <v>77</v>
      </c>
      <c r="K106" s="85" t="s">
        <v>78</v>
      </c>
      <c r="L106" s="85" t="s">
        <v>79</v>
      </c>
      <c r="M106" s="82">
        <v>79</v>
      </c>
      <c r="N106" s="83" t="str">
        <f t="shared" si="41"/>
        <v>Mencapai kompetensi dengan baik dalam hal</v>
      </c>
      <c r="O106" s="82">
        <v>75</v>
      </c>
      <c r="P106" s="83" t="str">
        <f t="shared" si="22"/>
        <v>Mencapai kompetensi dengan baik dalam hal</v>
      </c>
      <c r="Q106" s="82">
        <v>78</v>
      </c>
      <c r="R106" s="83" t="str">
        <f t="shared" si="42"/>
        <v>Mencapai kompetensi dengan baik dalam hal</v>
      </c>
      <c r="S106" s="82">
        <v>78</v>
      </c>
      <c r="T106" s="83" t="str">
        <f t="shared" si="43"/>
        <v>Mencapai kompetensi dengan baik dalam hal</v>
      </c>
      <c r="U106" s="82">
        <v>74</v>
      </c>
      <c r="V106" s="83" t="str">
        <f t="shared" si="44"/>
        <v>Perlu peningkatan dalam hal</v>
      </c>
      <c r="W106" s="82">
        <v>78</v>
      </c>
      <c r="X106" s="83" t="str">
        <f t="shared" si="45"/>
        <v>Mencapai kompetensi dengan baik dalam hal</v>
      </c>
      <c r="Y106" s="82">
        <v>78</v>
      </c>
      <c r="Z106" s="83" t="str">
        <f t="shared" si="46"/>
        <v>Mencapai kompetensi dengan baik dalam hal</v>
      </c>
      <c r="AA106" s="82">
        <v>72</v>
      </c>
      <c r="AB106" s="83" t="str">
        <f t="shared" si="47"/>
        <v>Perlu peningkatan dalam hal</v>
      </c>
      <c r="AC106" s="82">
        <v>76</v>
      </c>
      <c r="AD106" s="83" t="str">
        <f t="shared" si="48"/>
        <v>Mencapai kompetensi dengan baik dalam hal</v>
      </c>
      <c r="AE106" s="82">
        <v>80</v>
      </c>
      <c r="AF106" s="83" t="str">
        <f t="shared" si="49"/>
        <v>Mencapai kompetensi dengan baik dalam hal</v>
      </c>
      <c r="AG106" s="82">
        <v>76</v>
      </c>
      <c r="AH106" s="83" t="str">
        <f t="shared" si="50"/>
        <v>Mencapai kompetensi dengan baik dalam hal</v>
      </c>
      <c r="AI106" s="82">
        <v>75</v>
      </c>
      <c r="AJ106" s="83" t="str">
        <f t="shared" si="51"/>
        <v>Mencapai kompetensi dengan baik dalam hal</v>
      </c>
      <c r="AK106" s="82">
        <v>76</v>
      </c>
      <c r="AL106" s="83" t="str">
        <f t="shared" si="52"/>
        <v>Mencapai kompetensi dengan baik dalam hal</v>
      </c>
      <c r="AM106" s="82">
        <v>76</v>
      </c>
      <c r="AN106" s="83" t="str">
        <f t="shared" si="53"/>
        <v>Mencapai kompetensi dengan baik dalam hal</v>
      </c>
      <c r="AO106" s="75">
        <f t="shared" si="40"/>
        <v>75.75</v>
      </c>
      <c r="AP106" s="82">
        <v>76</v>
      </c>
      <c r="AQ106" s="83" t="str">
        <f t="shared" si="54"/>
        <v>Mencapai kompetensi dengan baik dalam hal</v>
      </c>
      <c r="AR106" s="82">
        <v>76</v>
      </c>
      <c r="AS106" s="83" t="str">
        <f t="shared" si="55"/>
        <v>Mencapai kompetensi dengan baik dalam hal</v>
      </c>
      <c r="AT106" s="86">
        <v>1</v>
      </c>
      <c r="AU106" s="86" t="s">
        <v>81</v>
      </c>
      <c r="AV106" s="86" t="s">
        <v>81</v>
      </c>
      <c r="AW106" s="82">
        <v>1</v>
      </c>
      <c r="AX106" s="82" t="s">
        <v>82</v>
      </c>
      <c r="AY106" s="83" t="s">
        <v>83</v>
      </c>
      <c r="AZ106" s="82" t="s">
        <v>84</v>
      </c>
      <c r="BA106" s="83" t="str">
        <f t="shared" si="57"/>
        <v>Baik</v>
      </c>
      <c r="BB106" s="82">
        <v>2</v>
      </c>
      <c r="BC106" s="83" t="s">
        <v>170</v>
      </c>
      <c r="BD106" s="83" t="s">
        <v>83</v>
      </c>
      <c r="BE106" s="82" t="s">
        <v>104</v>
      </c>
      <c r="BF106" s="83" t="str">
        <f t="shared" si="58"/>
        <v>Cukup</v>
      </c>
      <c r="BG106" s="82"/>
      <c r="BH106" s="82"/>
      <c r="BI106" s="82"/>
      <c r="BJ106" s="82"/>
      <c r="BK106" s="83"/>
      <c r="BM106" s="81"/>
      <c r="BN106" s="81"/>
      <c r="BO106" s="81"/>
      <c r="BP106" s="81"/>
      <c r="BQ106" s="81"/>
      <c r="BR106" s="81"/>
      <c r="BT106" s="81">
        <f>COUNTIFS(M106:AR106,"&gt;=0",M106:AR106,"&lt;75")</f>
        <v>2</v>
      </c>
    </row>
    <row r="107" spans="1:72" ht="23.25" customHeight="1" x14ac:dyDescent="0.25">
      <c r="A107" s="82">
        <v>106</v>
      </c>
      <c r="B107" s="82">
        <v>2525976</v>
      </c>
      <c r="C107" s="82" t="s">
        <v>750</v>
      </c>
      <c r="D107" s="83" t="s">
        <v>751</v>
      </c>
      <c r="E107" s="82" t="s">
        <v>682</v>
      </c>
      <c r="F107" s="82" t="s">
        <v>530</v>
      </c>
      <c r="G107" s="82" t="s">
        <v>683</v>
      </c>
      <c r="H107" s="82" t="s">
        <v>684</v>
      </c>
      <c r="I107" s="84" t="s">
        <v>76</v>
      </c>
      <c r="J107" s="85" t="s">
        <v>77</v>
      </c>
      <c r="K107" s="85" t="s">
        <v>78</v>
      </c>
      <c r="L107" s="85" t="s">
        <v>79</v>
      </c>
      <c r="M107" s="82">
        <v>82</v>
      </c>
      <c r="N107" s="83" t="str">
        <f t="shared" si="41"/>
        <v>Mencapai kompetensi dengan baik dalam hal</v>
      </c>
      <c r="O107" s="82">
        <v>77</v>
      </c>
      <c r="P107" s="83" t="str">
        <f t="shared" si="22"/>
        <v>Mencapai kompetensi dengan baik dalam hal</v>
      </c>
      <c r="Q107" s="82">
        <v>80</v>
      </c>
      <c r="R107" s="83" t="str">
        <f t="shared" si="42"/>
        <v>Mencapai kompetensi dengan baik dalam hal</v>
      </c>
      <c r="S107" s="82">
        <v>78</v>
      </c>
      <c r="T107" s="83" t="str">
        <f t="shared" si="43"/>
        <v>Mencapai kompetensi dengan baik dalam hal</v>
      </c>
      <c r="U107" s="82">
        <v>76</v>
      </c>
      <c r="V107" s="83" t="str">
        <f t="shared" si="44"/>
        <v>Mencapai kompetensi dengan baik dalam hal</v>
      </c>
      <c r="W107" s="82">
        <v>81</v>
      </c>
      <c r="X107" s="83" t="str">
        <f t="shared" si="45"/>
        <v>Mencapai kompetensi dengan baik dalam hal</v>
      </c>
      <c r="Y107" s="82">
        <v>79</v>
      </c>
      <c r="Z107" s="83" t="str">
        <f t="shared" si="46"/>
        <v>Mencapai kompetensi dengan baik dalam hal</v>
      </c>
      <c r="AA107" s="82">
        <v>77</v>
      </c>
      <c r="AB107" s="83" t="str">
        <f t="shared" si="47"/>
        <v>Mencapai kompetensi dengan baik dalam hal</v>
      </c>
      <c r="AC107" s="82">
        <v>86</v>
      </c>
      <c r="AD107" s="83" t="str">
        <f t="shared" si="48"/>
        <v>Mencapai kompetensi dengan baik dalam hal</v>
      </c>
      <c r="AE107" s="82">
        <v>88</v>
      </c>
      <c r="AF107" s="83" t="str">
        <f t="shared" si="49"/>
        <v>Mencapai kompetensi dengan baik dalam hal</v>
      </c>
      <c r="AG107" s="82">
        <v>78</v>
      </c>
      <c r="AH107" s="83" t="str">
        <f t="shared" si="50"/>
        <v>Mencapai kompetensi dengan baik dalam hal</v>
      </c>
      <c r="AI107" s="82">
        <v>78</v>
      </c>
      <c r="AJ107" s="83" t="str">
        <f t="shared" si="51"/>
        <v>Mencapai kompetensi dengan baik dalam hal</v>
      </c>
      <c r="AK107" s="82">
        <v>78</v>
      </c>
      <c r="AL107" s="83" t="str">
        <f t="shared" si="52"/>
        <v>Mencapai kompetensi dengan baik dalam hal</v>
      </c>
      <c r="AM107" s="82">
        <v>78</v>
      </c>
      <c r="AN107" s="83" t="str">
        <f t="shared" si="53"/>
        <v>Mencapai kompetensi dengan baik dalam hal</v>
      </c>
      <c r="AO107" s="75">
        <f t="shared" si="40"/>
        <v>78</v>
      </c>
      <c r="AP107" s="82">
        <v>86</v>
      </c>
      <c r="AQ107" s="83" t="str">
        <f t="shared" si="54"/>
        <v>Mencapai kompetensi dengan baik dalam hal</v>
      </c>
      <c r="AR107" s="82">
        <v>80</v>
      </c>
      <c r="AS107" s="83" t="str">
        <f t="shared" si="55"/>
        <v>Mencapai kompetensi dengan baik dalam hal</v>
      </c>
      <c r="AT107" s="86">
        <v>2</v>
      </c>
      <c r="AU107" s="86" t="s">
        <v>81</v>
      </c>
      <c r="AV107" s="86" t="s">
        <v>81</v>
      </c>
      <c r="AW107" s="82">
        <v>1</v>
      </c>
      <c r="AX107" s="82" t="s">
        <v>82</v>
      </c>
      <c r="AY107" s="83" t="s">
        <v>83</v>
      </c>
      <c r="AZ107" s="82" t="s">
        <v>84</v>
      </c>
      <c r="BA107" s="83" t="str">
        <f t="shared" si="57"/>
        <v>Baik</v>
      </c>
      <c r="BB107" s="82">
        <v>2</v>
      </c>
      <c r="BC107" s="83" t="s">
        <v>125</v>
      </c>
      <c r="BD107" s="83" t="s">
        <v>83</v>
      </c>
      <c r="BE107" s="82" t="s">
        <v>104</v>
      </c>
      <c r="BF107" s="83" t="str">
        <f t="shared" si="58"/>
        <v>Cukup</v>
      </c>
      <c r="BG107" s="82"/>
      <c r="BH107" s="82"/>
      <c r="BI107" s="82"/>
      <c r="BJ107" s="82"/>
      <c r="BK107" s="83"/>
      <c r="BM107" s="81"/>
      <c r="BN107" s="81"/>
      <c r="BO107" s="81"/>
      <c r="BP107" s="81"/>
      <c r="BQ107" s="81"/>
      <c r="BR107" s="81"/>
      <c r="BT107" s="81">
        <f>COUNTIFS(M107:AR107,"&gt;=0",M107:AR107,"&lt;75")</f>
        <v>0</v>
      </c>
    </row>
    <row r="108" spans="1:72" s="94" customFormat="1" ht="23.25" customHeight="1" thickBot="1" x14ac:dyDescent="0.3">
      <c r="A108" s="96">
        <v>107</v>
      </c>
      <c r="B108" s="96">
        <v>2525977</v>
      </c>
      <c r="C108" s="96" t="s">
        <v>752</v>
      </c>
      <c r="D108" s="97" t="s">
        <v>753</v>
      </c>
      <c r="E108" s="96" t="s">
        <v>682</v>
      </c>
      <c r="F108" s="96" t="s">
        <v>530</v>
      </c>
      <c r="G108" s="96" t="s">
        <v>683</v>
      </c>
      <c r="H108" s="96" t="s">
        <v>684</v>
      </c>
      <c r="I108" s="98" t="s">
        <v>76</v>
      </c>
      <c r="J108" s="99" t="s">
        <v>77</v>
      </c>
      <c r="K108" s="99" t="s">
        <v>78</v>
      </c>
      <c r="L108" s="99" t="s">
        <v>79</v>
      </c>
      <c r="M108" s="96">
        <v>80</v>
      </c>
      <c r="N108" s="97" t="str">
        <f t="shared" si="41"/>
        <v>Mencapai kompetensi dengan baik dalam hal</v>
      </c>
      <c r="O108" s="96">
        <v>76</v>
      </c>
      <c r="P108" s="97" t="str">
        <f t="shared" si="22"/>
        <v>Mencapai kompetensi dengan baik dalam hal</v>
      </c>
      <c r="Q108" s="96">
        <v>79</v>
      </c>
      <c r="R108" s="97" t="str">
        <f t="shared" si="42"/>
        <v>Mencapai kompetensi dengan baik dalam hal</v>
      </c>
      <c r="S108" s="96">
        <v>78</v>
      </c>
      <c r="T108" s="97" t="str">
        <f t="shared" si="43"/>
        <v>Mencapai kompetensi dengan baik dalam hal</v>
      </c>
      <c r="U108" s="96">
        <v>76</v>
      </c>
      <c r="V108" s="97" t="str">
        <f t="shared" si="44"/>
        <v>Mencapai kompetensi dengan baik dalam hal</v>
      </c>
      <c r="W108" s="96">
        <v>81</v>
      </c>
      <c r="X108" s="97" t="str">
        <f t="shared" si="45"/>
        <v>Mencapai kompetensi dengan baik dalam hal</v>
      </c>
      <c r="Y108" s="96">
        <v>78</v>
      </c>
      <c r="Z108" s="97" t="str">
        <f t="shared" si="46"/>
        <v>Mencapai kompetensi dengan baik dalam hal</v>
      </c>
      <c r="AA108" s="96">
        <v>74</v>
      </c>
      <c r="AB108" s="97" t="str">
        <f t="shared" si="47"/>
        <v>Perlu peningkatan dalam hal</v>
      </c>
      <c r="AC108" s="96">
        <v>86</v>
      </c>
      <c r="AD108" s="97" t="str">
        <f t="shared" si="48"/>
        <v>Mencapai kompetensi dengan baik dalam hal</v>
      </c>
      <c r="AE108" s="96">
        <v>86</v>
      </c>
      <c r="AF108" s="97" t="str">
        <f t="shared" si="49"/>
        <v>Mencapai kompetensi dengan baik dalam hal</v>
      </c>
      <c r="AG108" s="96">
        <v>76</v>
      </c>
      <c r="AH108" s="97" t="str">
        <f t="shared" si="50"/>
        <v>Mencapai kompetensi dengan baik dalam hal</v>
      </c>
      <c r="AI108" s="96">
        <v>76</v>
      </c>
      <c r="AJ108" s="97" t="str">
        <f t="shared" si="51"/>
        <v>Mencapai kompetensi dengan baik dalam hal</v>
      </c>
      <c r="AK108" s="96">
        <v>76</v>
      </c>
      <c r="AL108" s="97" t="str">
        <f t="shared" si="52"/>
        <v>Mencapai kompetensi dengan baik dalam hal</v>
      </c>
      <c r="AM108" s="96">
        <v>76</v>
      </c>
      <c r="AN108" s="97" t="str">
        <f t="shared" si="53"/>
        <v>Mencapai kompetensi dengan baik dalam hal</v>
      </c>
      <c r="AO108" s="75">
        <f t="shared" si="40"/>
        <v>76</v>
      </c>
      <c r="AP108" s="96">
        <v>86</v>
      </c>
      <c r="AQ108" s="97" t="str">
        <f t="shared" si="54"/>
        <v>Mencapai kompetensi dengan baik dalam hal</v>
      </c>
      <c r="AR108" s="96">
        <v>79</v>
      </c>
      <c r="AS108" s="97" t="str">
        <f t="shared" si="55"/>
        <v>Mencapai kompetensi dengan baik dalam hal</v>
      </c>
      <c r="AT108" s="100" t="s">
        <v>81</v>
      </c>
      <c r="AU108" s="100" t="s">
        <v>81</v>
      </c>
      <c r="AV108" s="100" t="s">
        <v>81</v>
      </c>
      <c r="AW108" s="96">
        <v>1</v>
      </c>
      <c r="AX108" s="96" t="s">
        <v>82</v>
      </c>
      <c r="AY108" s="97" t="s">
        <v>83</v>
      </c>
      <c r="AZ108" s="96" t="s">
        <v>84</v>
      </c>
      <c r="BA108" s="97" t="str">
        <f t="shared" si="57"/>
        <v>Baik</v>
      </c>
      <c r="BB108" s="96">
        <v>2</v>
      </c>
      <c r="BC108" s="97" t="s">
        <v>108</v>
      </c>
      <c r="BD108" s="97" t="s">
        <v>83</v>
      </c>
      <c r="BE108" s="96" t="s">
        <v>86</v>
      </c>
      <c r="BF108" s="97" t="str">
        <f t="shared" si="58"/>
        <v>Sangat baik</v>
      </c>
      <c r="BG108" s="96"/>
      <c r="BH108" s="96"/>
      <c r="BI108" s="96"/>
      <c r="BJ108" s="96"/>
      <c r="BK108" s="97"/>
      <c r="BM108" s="95"/>
      <c r="BN108" s="95"/>
      <c r="BO108" s="95"/>
      <c r="BP108" s="95"/>
      <c r="BQ108" s="95"/>
      <c r="BR108" s="95"/>
      <c r="BT108" s="95"/>
    </row>
    <row r="109" spans="1:72" ht="8.25" customHeight="1" thickTop="1" thickBot="1" x14ac:dyDescent="0.3">
      <c r="A109" s="101"/>
      <c r="B109" s="101"/>
      <c r="C109" s="101"/>
      <c r="D109" s="102"/>
      <c r="E109" s="101"/>
      <c r="F109" s="101"/>
      <c r="G109" s="103"/>
      <c r="H109" s="104"/>
      <c r="I109" s="105"/>
      <c r="J109" s="106"/>
      <c r="K109" s="106"/>
      <c r="L109" s="106"/>
      <c r="M109" s="101"/>
      <c r="N109" s="72"/>
      <c r="O109" s="101"/>
      <c r="P109" s="72" t="str">
        <f t="shared" si="22"/>
        <v>Perlu peningkatan dalam hal</v>
      </c>
      <c r="Q109" s="101"/>
      <c r="R109" s="72"/>
      <c r="S109" s="101"/>
      <c r="T109" s="72"/>
      <c r="U109" s="101"/>
      <c r="V109" s="72"/>
      <c r="W109" s="101"/>
      <c r="X109" s="72"/>
      <c r="Y109" s="101"/>
      <c r="Z109" s="72"/>
      <c r="AA109" s="101"/>
      <c r="AB109" s="72"/>
      <c r="AC109" s="101"/>
      <c r="AD109" s="72"/>
      <c r="AE109" s="101"/>
      <c r="AF109" s="72"/>
      <c r="AG109" s="101"/>
      <c r="AH109" s="72"/>
      <c r="AI109" s="101"/>
      <c r="AJ109" s="72"/>
      <c r="AK109" s="101"/>
      <c r="AL109" s="72"/>
      <c r="AM109" s="101"/>
      <c r="AN109" s="72"/>
      <c r="AO109" s="75" t="e">
        <f t="shared" si="40"/>
        <v>#DIV/0!</v>
      </c>
      <c r="AP109" s="101"/>
      <c r="AQ109" s="72"/>
      <c r="AR109" s="101"/>
      <c r="AS109" s="72"/>
      <c r="AT109" s="101"/>
      <c r="AU109" s="101"/>
      <c r="AV109" s="101"/>
      <c r="AW109" s="101"/>
      <c r="AX109" s="101"/>
      <c r="AY109" s="102"/>
      <c r="AZ109" s="101"/>
      <c r="BA109" s="72" t="e">
        <f t="shared" si="57"/>
        <v>#N/A</v>
      </c>
      <c r="BB109" s="101"/>
      <c r="BC109" s="102"/>
      <c r="BD109" s="102"/>
      <c r="BE109" s="101"/>
      <c r="BF109" s="72" t="e">
        <f t="shared" si="58"/>
        <v>#N/A</v>
      </c>
      <c r="BG109" s="101"/>
      <c r="BH109" s="101"/>
      <c r="BI109" s="101"/>
      <c r="BJ109" s="101"/>
      <c r="BK109" s="101"/>
      <c r="BT109" s="81">
        <f>COUNTIFS(M109:AR109,"&gt;=0",M109:AR109,"&lt;75")</f>
        <v>0</v>
      </c>
    </row>
    <row r="110" spans="1:72" ht="12.75" thickTop="1" x14ac:dyDescent="0.25"/>
  </sheetData>
  <mergeCells count="1">
    <mergeCell ref="BT1:BU1"/>
  </mergeCells>
  <conditionalFormatting sqref="N2:N109 R2:R109 T2:T109 V2:V109 X2:X109 Z2:Z109 AB2:AB109 AD2:AD109 AF2:AF109 AH2:AH109 AJ2:AJ109 AL2:AL109 AS2:AS109 AQ2:AQ109 AN2:AO109">
    <cfRule type="cellIs" dxfId="73" priority="13" operator="lessThan">
      <formula>70</formula>
    </cfRule>
  </conditionalFormatting>
  <conditionalFormatting sqref="BT2:BT12 BT14:BT109">
    <cfRule type="cellIs" dxfId="72" priority="12" operator="greaterThan">
      <formula>0</formula>
    </cfRule>
  </conditionalFormatting>
  <conditionalFormatting sqref="N2:N109 R2:R109 T2:T109 V2:V109 X2:X109 Z2:Z109 AB2:AB109 AD2:AD109 AF2:AF109 AH2:AH109 AJ2:AJ109 AL2:AL109 AQ2:AQ109 AN2:AO109">
    <cfRule type="cellIs" dxfId="71" priority="11" operator="lessThan">
      <formula>75</formula>
    </cfRule>
  </conditionalFormatting>
  <conditionalFormatting sqref="BT13">
    <cfRule type="cellIs" dxfId="70" priority="10" operator="greaterThan">
      <formula>0</formula>
    </cfRule>
  </conditionalFormatting>
  <conditionalFormatting sqref="P2:P109">
    <cfRule type="cellIs" dxfId="69" priority="9" operator="lessThan">
      <formula>70</formula>
    </cfRule>
  </conditionalFormatting>
  <conditionalFormatting sqref="P2:P109">
    <cfRule type="cellIs" dxfId="68" priority="8" operator="lessThan">
      <formula>75</formula>
    </cfRule>
  </conditionalFormatting>
  <conditionalFormatting sqref="AZ2:AZ108">
    <cfRule type="cellIs" dxfId="67" priority="5" operator="lessThan">
      <formula>70</formula>
    </cfRule>
  </conditionalFormatting>
  <conditionalFormatting sqref="AZ2:AZ108">
    <cfRule type="cellIs" dxfId="66" priority="4" operator="lessThan">
      <formula>75</formula>
    </cfRule>
  </conditionalFormatting>
  <conditionalFormatting sqref="AX2:AX108">
    <cfRule type="cellIs" dxfId="65" priority="7" operator="lessThan">
      <formula>70</formula>
    </cfRule>
  </conditionalFormatting>
  <conditionalFormatting sqref="AX2:AX108">
    <cfRule type="cellIs" dxfId="64" priority="6" operator="lessThan">
      <formula>75</formula>
    </cfRule>
  </conditionalFormatting>
  <conditionalFormatting sqref="BA2:BA109">
    <cfRule type="cellIs" dxfId="63" priority="3" operator="lessThan">
      <formula>70</formula>
    </cfRule>
  </conditionalFormatting>
  <conditionalFormatting sqref="BF2:BF109">
    <cfRule type="cellIs" dxfId="62" priority="2" operator="lessThan">
      <formula>70</formula>
    </cfRule>
  </conditionalFormatting>
  <conditionalFormatting sqref="BK2:BK108">
    <cfRule type="cellIs" dxfId="61" priority="1" operator="lessThan">
      <formula>70</formula>
    </cfRule>
  </conditionalFormatting>
  <printOptions horizontalCentered="1"/>
  <pageMargins left="0.19685039370078741" right="0.19685039370078741" top="0.39370078740157483" bottom="0.39370078740157483" header="0.31496062992125984" footer="0.31496062992125984"/>
  <pageSetup paperSize="8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39"/>
  <sheetViews>
    <sheetView zoomScale="85" zoomScaleNormal="85" workbookViewId="0">
      <pane xSplit="10" ySplit="1" topLeftCell="BB2" activePane="bottomRight" state="frozen"/>
      <selection pane="topRight" activeCell="K1" sqref="K1"/>
      <selection pane="bottomLeft" activeCell="A2" sqref="A2"/>
      <selection pane="bottomRight" activeCell="BH4" sqref="BH4"/>
    </sheetView>
  </sheetViews>
  <sheetFormatPr defaultColWidth="9.140625" defaultRowHeight="15" x14ac:dyDescent="0.25"/>
  <cols>
    <col min="1" max="1" width="4.85546875" style="22" bestFit="1" customWidth="1"/>
    <col min="2" max="2" width="10" style="22" customWidth="1"/>
    <col min="3" max="3" width="13.5703125" style="22" bestFit="1" customWidth="1"/>
    <col min="4" max="4" width="33.28515625" style="19" bestFit="1" customWidth="1"/>
    <col min="5" max="5" width="9.140625" style="22" customWidth="1"/>
    <col min="6" max="6" width="39.140625" style="22" customWidth="1"/>
    <col min="7" max="7" width="18.140625" style="19" customWidth="1"/>
    <col min="8" max="8" width="19.5703125" style="19" customWidth="1"/>
    <col min="9" max="9" width="8.140625" style="22" customWidth="1"/>
    <col min="10" max="10" width="9.85546875" style="19" customWidth="1"/>
    <col min="11" max="11" width="7" style="22" customWidth="1"/>
    <col min="12" max="12" width="9.140625" style="22" hidden="1" customWidth="1"/>
    <col min="13" max="13" width="7.140625" style="22" customWidth="1"/>
    <col min="14" max="14" width="9.140625" style="22" hidden="1" customWidth="1"/>
    <col min="15" max="15" width="8.140625" style="22" customWidth="1"/>
    <col min="16" max="16" width="9.140625" style="22" hidden="1" customWidth="1"/>
    <col min="17" max="17" width="10.140625" style="22" customWidth="1"/>
    <col min="18" max="18" width="9.140625" style="22" hidden="1" customWidth="1"/>
    <col min="19" max="19" width="9.140625" style="22"/>
    <col min="20" max="20" width="9.140625" style="22" hidden="1" customWidth="1"/>
    <col min="21" max="21" width="6.42578125" style="22" customWidth="1"/>
    <col min="22" max="22" width="40" style="22" hidden="1" customWidth="1"/>
    <col min="23" max="23" width="7" style="22" customWidth="1"/>
    <col min="24" max="24" width="9.140625" style="22" hidden="1" customWidth="1"/>
    <col min="25" max="25" width="11.7109375" style="22" customWidth="1"/>
    <col min="26" max="26" width="7.7109375" style="22" hidden="1" customWidth="1"/>
    <col min="27" max="27" width="7.28515625" style="22" customWidth="1"/>
    <col min="28" max="28" width="9.140625" style="22" hidden="1" customWidth="1"/>
    <col min="29" max="29" width="7.5703125" style="22" customWidth="1"/>
    <col min="30" max="30" width="9.140625" style="22" hidden="1" customWidth="1"/>
    <col min="31" max="31" width="0" style="22" hidden="1" customWidth="1"/>
    <col min="32" max="32" width="9.140625" style="22" hidden="1" customWidth="1"/>
    <col min="33" max="33" width="0" style="22" hidden="1" customWidth="1"/>
    <col min="34" max="34" width="9.140625" style="22" hidden="1" customWidth="1"/>
    <col min="35" max="35" width="8.140625" style="22" hidden="1" customWidth="1"/>
    <col min="36" max="36" width="9.140625" style="22" hidden="1" customWidth="1"/>
    <col min="37" max="37" width="9.140625" style="22" customWidth="1"/>
    <col min="38" max="38" width="9.140625" style="22"/>
    <col min="39" max="39" width="9.140625" style="22" hidden="1" customWidth="1"/>
    <col min="40" max="40" width="7.85546875" style="22" customWidth="1"/>
    <col min="41" max="41" width="9.140625" style="22" hidden="1" customWidth="1"/>
    <col min="42" max="44" width="7" style="19" customWidth="1"/>
    <col min="45" max="45" width="3.140625" style="19" bestFit="1" customWidth="1"/>
    <col min="46" max="46" width="9" style="19" bestFit="1" customWidth="1"/>
    <col min="47" max="47" width="16.5703125" style="19" hidden="1" customWidth="1"/>
    <col min="48" max="48" width="5.42578125" style="19" customWidth="1"/>
    <col min="49" max="49" width="16" style="19" bestFit="1" customWidth="1"/>
    <col min="50" max="50" width="3.140625" style="19" bestFit="1" customWidth="1"/>
    <col min="51" max="51" width="19" style="19" bestFit="1" customWidth="1"/>
    <col min="52" max="52" width="25.42578125" style="19" hidden="1" customWidth="1"/>
    <col min="53" max="53" width="4.28515625" style="22" bestFit="1" customWidth="1"/>
    <col min="54" max="54" width="11.85546875" style="19" bestFit="1" customWidth="1"/>
    <col min="55" max="55" width="3.140625" style="19" bestFit="1" customWidth="1"/>
    <col min="56" max="56" width="6.7109375" style="19" bestFit="1" customWidth="1"/>
    <col min="57" max="57" width="9.42578125" style="19" bestFit="1" customWidth="1"/>
    <col min="58" max="58" width="4.28515625" style="19" bestFit="1" customWidth="1"/>
    <col min="59" max="59" width="4.85546875" style="19" bestFit="1" customWidth="1"/>
    <col min="60" max="60" width="11.140625" style="19" customWidth="1"/>
    <col min="61" max="62" width="9.140625" style="19"/>
    <col min="63" max="63" width="36.5703125" style="19" bestFit="1" customWidth="1"/>
    <col min="64" max="65" width="9.140625" style="19"/>
    <col min="66" max="66" width="29.5703125" style="19" bestFit="1" customWidth="1"/>
    <col min="67" max="16384" width="9.140625" style="19"/>
  </cols>
  <sheetData>
    <row r="1" spans="1:67" s="6" customFormat="1" ht="32.25" customHeight="1" thickTop="1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754</v>
      </c>
      <c r="AF1" s="2" t="s">
        <v>755</v>
      </c>
      <c r="AG1" s="2" t="s">
        <v>756</v>
      </c>
      <c r="AH1" s="2" t="s">
        <v>757</v>
      </c>
      <c r="AI1" s="2" t="s">
        <v>758</v>
      </c>
      <c r="AJ1" s="2" t="s">
        <v>759</v>
      </c>
      <c r="AK1" s="2" t="s">
        <v>287</v>
      </c>
      <c r="AL1" s="2" t="s">
        <v>43</v>
      </c>
      <c r="AM1" s="2" t="s">
        <v>192</v>
      </c>
      <c r="AN1" s="2" t="s">
        <v>45</v>
      </c>
      <c r="AO1" s="2" t="s">
        <v>46</v>
      </c>
      <c r="AP1" s="2" t="s">
        <v>50</v>
      </c>
      <c r="AQ1" s="2" t="s">
        <v>51</v>
      </c>
      <c r="AR1" s="2" t="s">
        <v>52</v>
      </c>
      <c r="AS1" s="2" t="s">
        <v>53</v>
      </c>
      <c r="AT1" s="2" t="s">
        <v>54</v>
      </c>
      <c r="AU1" s="2" t="s">
        <v>55</v>
      </c>
      <c r="AV1" s="2" t="s">
        <v>56</v>
      </c>
      <c r="AW1" s="2" t="s">
        <v>57</v>
      </c>
      <c r="AX1" s="2" t="s">
        <v>58</v>
      </c>
      <c r="AY1" s="2" t="s">
        <v>59</v>
      </c>
      <c r="AZ1" s="2" t="s">
        <v>60</v>
      </c>
      <c r="BA1" s="2" t="s">
        <v>61</v>
      </c>
      <c r="BB1" s="2" t="s">
        <v>62</v>
      </c>
      <c r="BC1" s="2" t="s">
        <v>63</v>
      </c>
      <c r="BD1" s="2" t="s">
        <v>64</v>
      </c>
      <c r="BE1" s="2" t="s">
        <v>65</v>
      </c>
      <c r="BF1" s="2" t="s">
        <v>66</v>
      </c>
      <c r="BG1" s="2" t="s">
        <v>67</v>
      </c>
      <c r="BH1" s="108"/>
      <c r="BJ1" s="52" t="s">
        <v>68</v>
      </c>
      <c r="BK1" s="52"/>
      <c r="BL1" s="109"/>
      <c r="BM1" s="109" t="s">
        <v>69</v>
      </c>
      <c r="BN1" s="109"/>
      <c r="BO1" s="109"/>
    </row>
    <row r="2" spans="1:67" ht="24.95" customHeight="1" thickTop="1" thickBot="1" x14ac:dyDescent="0.3">
      <c r="A2" s="7">
        <v>1</v>
      </c>
      <c r="B2" s="7">
        <v>2525834</v>
      </c>
      <c r="C2" s="7" t="s">
        <v>760</v>
      </c>
      <c r="D2" s="17" t="s">
        <v>761</v>
      </c>
      <c r="E2" s="7" t="s">
        <v>762</v>
      </c>
      <c r="F2" s="7" t="s">
        <v>763</v>
      </c>
      <c r="G2" s="7" t="s">
        <v>764</v>
      </c>
      <c r="H2" s="7" t="s">
        <v>765</v>
      </c>
      <c r="I2" s="10" t="s">
        <v>76</v>
      </c>
      <c r="J2" s="11" t="s">
        <v>77</v>
      </c>
      <c r="K2" s="7">
        <v>77</v>
      </c>
      <c r="L2" s="17" t="str">
        <f t="shared" ref="L2:L37" si="0">VLOOKUP(K2,grades1,2,TRUE)</f>
        <v>Mencapai kompetensi dengan baik dalam hal</v>
      </c>
      <c r="M2" s="7">
        <v>75</v>
      </c>
      <c r="N2" s="17" t="str">
        <f t="shared" ref="N2:N37" si="1">VLOOKUP(M2,grades1,2,TRUE)</f>
        <v>Mencapai kompetensi dengan baik dalam hal</v>
      </c>
      <c r="O2" s="7">
        <v>76</v>
      </c>
      <c r="P2" s="17" t="str">
        <f t="shared" ref="P2:P37" si="2">VLOOKUP(O2,grades1,2,TRUE)</f>
        <v>Mencapai kompetensi dengan baik dalam hal</v>
      </c>
      <c r="Q2" s="7">
        <v>78</v>
      </c>
      <c r="R2" s="17" t="str">
        <f t="shared" ref="R2:R37" si="3">VLOOKUP(Q2,grades1,2,TRUE)</f>
        <v>Mencapai kompetensi dengan baik dalam hal</v>
      </c>
      <c r="S2" s="7">
        <v>81</v>
      </c>
      <c r="T2" s="17" t="str">
        <f t="shared" ref="T2:AH37" si="4">VLOOKUP(S2,grades1,2,TRUE)</f>
        <v>Mencapai kompetensi dengan baik dalam hal</v>
      </c>
      <c r="U2" s="7">
        <v>78</v>
      </c>
      <c r="V2" s="17" t="str">
        <f t="shared" si="4"/>
        <v>Mencapai kompetensi dengan baik dalam hal</v>
      </c>
      <c r="W2" s="7">
        <v>80</v>
      </c>
      <c r="X2" s="17" t="str">
        <f t="shared" si="4"/>
        <v>Mencapai kompetensi dengan baik dalam hal</v>
      </c>
      <c r="Y2" s="7">
        <v>77</v>
      </c>
      <c r="Z2" s="17" t="str">
        <f t="shared" si="4"/>
        <v>Mencapai kompetensi dengan baik dalam hal</v>
      </c>
      <c r="AA2" s="7">
        <v>83</v>
      </c>
      <c r="AB2" s="17" t="str">
        <f t="shared" si="4"/>
        <v>Mencapai kompetensi dengan baik dalam hal</v>
      </c>
      <c r="AC2" s="7">
        <v>85</v>
      </c>
      <c r="AD2" s="17" t="str">
        <f t="shared" si="4"/>
        <v>Mencapai kompetensi dengan baik dalam hal</v>
      </c>
      <c r="AE2" s="7">
        <v>87</v>
      </c>
      <c r="AF2" s="17" t="str">
        <f t="shared" si="4"/>
        <v>Mencapai kompetensi dengan baik dalam hal</v>
      </c>
      <c r="AG2" s="7">
        <v>87</v>
      </c>
      <c r="AH2" s="17" t="str">
        <f t="shared" si="4"/>
        <v>Mencapai kompetensi dengan baik dalam hal</v>
      </c>
      <c r="AI2" s="7">
        <v>86</v>
      </c>
      <c r="AJ2" s="17" t="str">
        <f t="shared" ref="AJ2:AJ37" si="5">VLOOKUP(AI2,grades1,2,TRUE)</f>
        <v>Mencapai kompetensi dengan baik dalam hal</v>
      </c>
      <c r="AK2" s="59">
        <f>AVERAGE(AI2,AG2,AE2)</f>
        <v>86.666666666666671</v>
      </c>
      <c r="AL2" s="7">
        <v>83</v>
      </c>
      <c r="AM2" s="17" t="str">
        <f t="shared" ref="AM2:AM37" si="6">VLOOKUP(AL2,grades1,2,TRUE)</f>
        <v>Mencapai kompetensi dengan baik dalam hal</v>
      </c>
      <c r="AN2" s="7">
        <v>76</v>
      </c>
      <c r="AO2" s="17" t="str">
        <f t="shared" ref="AO2:AO37" si="7">VLOOKUP(AN2,grades1,2,TRUE)</f>
        <v>Mencapai kompetensi dengan baik dalam hal</v>
      </c>
      <c r="AP2" s="16" t="s">
        <v>81</v>
      </c>
      <c r="AQ2" s="16" t="s">
        <v>81</v>
      </c>
      <c r="AR2" s="16" t="s">
        <v>81</v>
      </c>
      <c r="AS2" s="7">
        <v>1</v>
      </c>
      <c r="AT2" s="7" t="s">
        <v>82</v>
      </c>
      <c r="AU2" s="17" t="s">
        <v>83</v>
      </c>
      <c r="AV2" s="7" t="s">
        <v>84</v>
      </c>
      <c r="AW2" s="17" t="str">
        <f t="shared" ref="AW2:AW37" si="8">VLOOKUP(AV2,grades4,2,TRUE)</f>
        <v>Baik</v>
      </c>
      <c r="AX2" s="7">
        <v>2</v>
      </c>
      <c r="AY2" s="17" t="s">
        <v>429</v>
      </c>
      <c r="AZ2" s="17" t="s">
        <v>83</v>
      </c>
      <c r="BA2" s="7" t="s">
        <v>86</v>
      </c>
      <c r="BB2" s="17" t="str">
        <f t="shared" ref="BB2:BB37" si="9">VLOOKUP(BA2,grades4,2,TRUE)</f>
        <v>Sangat baik</v>
      </c>
      <c r="BC2" s="7"/>
      <c r="BD2" s="7"/>
      <c r="BE2" s="7"/>
      <c r="BF2" s="7"/>
      <c r="BG2" s="17"/>
      <c r="BH2" s="54"/>
      <c r="BJ2" s="55" t="s">
        <v>88</v>
      </c>
      <c r="BK2" s="55" t="s">
        <v>89</v>
      </c>
      <c r="BL2" s="110"/>
      <c r="BM2" s="111" t="s">
        <v>90</v>
      </c>
      <c r="BN2" s="111" t="s">
        <v>91</v>
      </c>
      <c r="BO2" s="112"/>
    </row>
    <row r="3" spans="1:67" ht="24.95" customHeight="1" thickTop="1" thickBot="1" x14ac:dyDescent="0.3">
      <c r="A3" s="23">
        <v>2</v>
      </c>
      <c r="B3" s="23">
        <v>2525835</v>
      </c>
      <c r="C3" s="23" t="s">
        <v>766</v>
      </c>
      <c r="D3" s="18" t="s">
        <v>767</v>
      </c>
      <c r="E3" s="23" t="s">
        <v>762</v>
      </c>
      <c r="F3" s="23" t="s">
        <v>763</v>
      </c>
      <c r="G3" s="23" t="s">
        <v>764</v>
      </c>
      <c r="H3" s="23" t="s">
        <v>765</v>
      </c>
      <c r="I3" s="60" t="s">
        <v>76</v>
      </c>
      <c r="J3" s="61" t="s">
        <v>77</v>
      </c>
      <c r="K3" s="23">
        <v>76</v>
      </c>
      <c r="L3" s="18" t="str">
        <f t="shared" si="0"/>
        <v>Mencapai kompetensi dengan baik dalam hal</v>
      </c>
      <c r="M3" s="23">
        <v>76</v>
      </c>
      <c r="N3" s="18" t="str">
        <f t="shared" si="1"/>
        <v>Mencapai kompetensi dengan baik dalam hal</v>
      </c>
      <c r="O3" s="23">
        <v>75</v>
      </c>
      <c r="P3" s="18" t="str">
        <f t="shared" si="2"/>
        <v>Mencapai kompetensi dengan baik dalam hal</v>
      </c>
      <c r="Q3" s="23">
        <v>78</v>
      </c>
      <c r="R3" s="18" t="str">
        <f t="shared" si="3"/>
        <v>Mencapai kompetensi dengan baik dalam hal</v>
      </c>
      <c r="S3" s="23">
        <v>79</v>
      </c>
      <c r="T3" s="18" t="str">
        <f t="shared" si="4"/>
        <v>Mencapai kompetensi dengan baik dalam hal</v>
      </c>
      <c r="U3" s="23">
        <v>75</v>
      </c>
      <c r="V3" s="18" t="str">
        <f t="shared" si="4"/>
        <v>Mencapai kompetensi dengan baik dalam hal</v>
      </c>
      <c r="W3" s="23">
        <v>75</v>
      </c>
      <c r="X3" s="18" t="str">
        <f t="shared" si="4"/>
        <v>Mencapai kompetensi dengan baik dalam hal</v>
      </c>
      <c r="Y3" s="23">
        <v>75</v>
      </c>
      <c r="Z3" s="18" t="str">
        <f t="shared" si="4"/>
        <v>Mencapai kompetensi dengan baik dalam hal</v>
      </c>
      <c r="AA3" s="23">
        <v>78</v>
      </c>
      <c r="AB3" s="18" t="str">
        <f t="shared" si="4"/>
        <v>Mencapai kompetensi dengan baik dalam hal</v>
      </c>
      <c r="AC3" s="23">
        <v>89</v>
      </c>
      <c r="AD3" s="18" t="str">
        <f t="shared" si="4"/>
        <v>Mencapai kompetensi dengan baik dalam hal</v>
      </c>
      <c r="AE3" s="23">
        <v>81</v>
      </c>
      <c r="AF3" s="18" t="str">
        <f t="shared" si="4"/>
        <v>Mencapai kompetensi dengan baik dalam hal</v>
      </c>
      <c r="AG3" s="23">
        <v>80</v>
      </c>
      <c r="AH3" s="18" t="str">
        <f t="shared" si="4"/>
        <v>Mencapai kompetensi dengan baik dalam hal</v>
      </c>
      <c r="AI3" s="23">
        <v>84</v>
      </c>
      <c r="AJ3" s="18" t="str">
        <f t="shared" si="5"/>
        <v>Mencapai kompetensi dengan baik dalam hal</v>
      </c>
      <c r="AK3" s="62">
        <f t="shared" ref="AK3:AK37" si="10">AVERAGE(AI3,AG3,AE3)</f>
        <v>81.666666666666671</v>
      </c>
      <c r="AL3" s="23">
        <v>78</v>
      </c>
      <c r="AM3" s="18" t="str">
        <f t="shared" si="6"/>
        <v>Mencapai kompetensi dengan baik dalam hal</v>
      </c>
      <c r="AN3" s="23">
        <v>75</v>
      </c>
      <c r="AO3" s="18" t="str">
        <f t="shared" si="7"/>
        <v>Mencapai kompetensi dengan baik dalam hal</v>
      </c>
      <c r="AP3" s="113">
        <v>1</v>
      </c>
      <c r="AQ3" s="113" t="s">
        <v>81</v>
      </c>
      <c r="AR3" s="113" t="s">
        <v>81</v>
      </c>
      <c r="AS3" s="23">
        <v>1</v>
      </c>
      <c r="AT3" s="23" t="s">
        <v>82</v>
      </c>
      <c r="AU3" s="18" t="s">
        <v>83</v>
      </c>
      <c r="AV3" s="23" t="s">
        <v>84</v>
      </c>
      <c r="AW3" s="18" t="str">
        <f t="shared" si="8"/>
        <v>Baik</v>
      </c>
      <c r="AX3" s="23">
        <v>2</v>
      </c>
      <c r="AY3" s="18" t="s">
        <v>108</v>
      </c>
      <c r="AZ3" s="18" t="s">
        <v>83</v>
      </c>
      <c r="BA3" s="23" t="s">
        <v>86</v>
      </c>
      <c r="BB3" s="18" t="str">
        <f t="shared" si="9"/>
        <v>Sangat baik</v>
      </c>
      <c r="BC3" s="23"/>
      <c r="BD3" s="23"/>
      <c r="BE3" s="23"/>
      <c r="BF3" s="23"/>
      <c r="BG3" s="18"/>
      <c r="BH3" s="54"/>
      <c r="BJ3" s="55">
        <v>0</v>
      </c>
      <c r="BK3" s="56" t="s">
        <v>95</v>
      </c>
      <c r="BL3" s="110"/>
      <c r="BM3" s="111" t="s">
        <v>86</v>
      </c>
      <c r="BN3" s="111" t="s">
        <v>96</v>
      </c>
      <c r="BO3" s="112"/>
    </row>
    <row r="4" spans="1:67" ht="24.95" customHeight="1" thickTop="1" thickBot="1" x14ac:dyDescent="0.3">
      <c r="A4" s="23">
        <v>3</v>
      </c>
      <c r="B4" s="23">
        <v>2525836</v>
      </c>
      <c r="C4" s="23" t="s">
        <v>768</v>
      </c>
      <c r="D4" s="18" t="s">
        <v>769</v>
      </c>
      <c r="E4" s="23" t="s">
        <v>762</v>
      </c>
      <c r="F4" s="23" t="s">
        <v>763</v>
      </c>
      <c r="G4" s="23" t="s">
        <v>764</v>
      </c>
      <c r="H4" s="23" t="s">
        <v>765</v>
      </c>
      <c r="I4" s="60" t="s">
        <v>76</v>
      </c>
      <c r="J4" s="61" t="s">
        <v>77</v>
      </c>
      <c r="K4" s="23">
        <v>75</v>
      </c>
      <c r="L4" s="18" t="str">
        <f t="shared" si="0"/>
        <v>Mencapai kompetensi dengan baik dalam hal</v>
      </c>
      <c r="M4" s="23">
        <v>77</v>
      </c>
      <c r="N4" s="18" t="str">
        <f t="shared" si="1"/>
        <v>Mencapai kompetensi dengan baik dalam hal</v>
      </c>
      <c r="O4" s="23">
        <v>75</v>
      </c>
      <c r="P4" s="18" t="str">
        <f t="shared" si="2"/>
        <v>Mencapai kompetensi dengan baik dalam hal</v>
      </c>
      <c r="Q4" s="23">
        <v>78</v>
      </c>
      <c r="R4" s="18" t="str">
        <f t="shared" si="3"/>
        <v>Mencapai kompetensi dengan baik dalam hal</v>
      </c>
      <c r="S4" s="23">
        <v>75</v>
      </c>
      <c r="T4" s="18" t="str">
        <f t="shared" si="4"/>
        <v>Mencapai kompetensi dengan baik dalam hal</v>
      </c>
      <c r="U4" s="23">
        <v>75</v>
      </c>
      <c r="V4" s="18" t="str">
        <f t="shared" si="4"/>
        <v>Mencapai kompetensi dengan baik dalam hal</v>
      </c>
      <c r="W4" s="23">
        <v>75</v>
      </c>
      <c r="X4" s="18" t="str">
        <f t="shared" si="4"/>
        <v>Mencapai kompetensi dengan baik dalam hal</v>
      </c>
      <c r="Y4" s="23">
        <v>75</v>
      </c>
      <c r="Z4" s="18" t="str">
        <f t="shared" si="4"/>
        <v>Mencapai kompetensi dengan baik dalam hal</v>
      </c>
      <c r="AA4" s="23">
        <v>75</v>
      </c>
      <c r="AB4" s="18" t="str">
        <f t="shared" si="4"/>
        <v>Mencapai kompetensi dengan baik dalam hal</v>
      </c>
      <c r="AC4" s="23">
        <v>83</v>
      </c>
      <c r="AD4" s="18" t="str">
        <f t="shared" si="4"/>
        <v>Mencapai kompetensi dengan baik dalam hal</v>
      </c>
      <c r="AE4" s="23">
        <v>77</v>
      </c>
      <c r="AF4" s="18" t="str">
        <f t="shared" si="4"/>
        <v>Mencapai kompetensi dengan baik dalam hal</v>
      </c>
      <c r="AG4" s="23">
        <v>76</v>
      </c>
      <c r="AH4" s="18" t="str">
        <f t="shared" si="4"/>
        <v>Mencapai kompetensi dengan baik dalam hal</v>
      </c>
      <c r="AI4" s="23">
        <v>79</v>
      </c>
      <c r="AJ4" s="18" t="str">
        <f t="shared" si="5"/>
        <v>Mencapai kompetensi dengan baik dalam hal</v>
      </c>
      <c r="AK4" s="62">
        <f t="shared" si="10"/>
        <v>77.333333333333329</v>
      </c>
      <c r="AL4" s="23">
        <v>75</v>
      </c>
      <c r="AM4" s="18" t="str">
        <f t="shared" si="6"/>
        <v>Mencapai kompetensi dengan baik dalam hal</v>
      </c>
      <c r="AN4" s="23">
        <v>75</v>
      </c>
      <c r="AO4" s="18" t="str">
        <f t="shared" si="7"/>
        <v>Mencapai kompetensi dengan baik dalam hal</v>
      </c>
      <c r="AP4" s="113">
        <v>1</v>
      </c>
      <c r="AQ4" s="113" t="s">
        <v>81</v>
      </c>
      <c r="AR4" s="113" t="s">
        <v>81</v>
      </c>
      <c r="AS4" s="23">
        <v>1</v>
      </c>
      <c r="AT4" s="23" t="s">
        <v>82</v>
      </c>
      <c r="AU4" s="18" t="s">
        <v>83</v>
      </c>
      <c r="AV4" s="23" t="s">
        <v>86</v>
      </c>
      <c r="AW4" s="18" t="str">
        <f t="shared" si="8"/>
        <v>Sangat baik</v>
      </c>
      <c r="AX4" s="23">
        <v>2</v>
      </c>
      <c r="AY4" s="18" t="s">
        <v>99</v>
      </c>
      <c r="AZ4" s="18" t="s">
        <v>83</v>
      </c>
      <c r="BA4" s="23" t="s">
        <v>84</v>
      </c>
      <c r="BB4" s="18" t="str">
        <f t="shared" si="9"/>
        <v>Baik</v>
      </c>
      <c r="BC4" s="23"/>
      <c r="BD4" s="23"/>
      <c r="BE4" s="23"/>
      <c r="BF4" s="23"/>
      <c r="BG4" s="18"/>
      <c r="BH4" s="54"/>
      <c r="BJ4" s="55">
        <v>60</v>
      </c>
      <c r="BK4" s="56" t="s">
        <v>95</v>
      </c>
      <c r="BL4" s="110"/>
      <c r="BM4" s="111" t="s">
        <v>84</v>
      </c>
      <c r="BN4" s="111" t="s">
        <v>100</v>
      </c>
      <c r="BO4" s="112"/>
    </row>
    <row r="5" spans="1:67" ht="24.95" customHeight="1" thickTop="1" thickBot="1" x14ac:dyDescent="0.3">
      <c r="A5" s="23">
        <v>4</v>
      </c>
      <c r="B5" s="23">
        <v>2525837</v>
      </c>
      <c r="C5" s="23" t="s">
        <v>770</v>
      </c>
      <c r="D5" s="18" t="s">
        <v>771</v>
      </c>
      <c r="E5" s="23" t="s">
        <v>762</v>
      </c>
      <c r="F5" s="23" t="s">
        <v>763</v>
      </c>
      <c r="G5" s="23" t="s">
        <v>764</v>
      </c>
      <c r="H5" s="23" t="s">
        <v>765</v>
      </c>
      <c r="I5" s="60" t="s">
        <v>76</v>
      </c>
      <c r="J5" s="61" t="s">
        <v>77</v>
      </c>
      <c r="K5" s="23">
        <v>78</v>
      </c>
      <c r="L5" s="18" t="str">
        <f t="shared" si="0"/>
        <v>Mencapai kompetensi dengan baik dalam hal</v>
      </c>
      <c r="M5" s="23">
        <v>77</v>
      </c>
      <c r="N5" s="18" t="str">
        <f t="shared" si="1"/>
        <v>Mencapai kompetensi dengan baik dalam hal</v>
      </c>
      <c r="O5" s="23">
        <v>75</v>
      </c>
      <c r="P5" s="18" t="str">
        <f t="shared" si="2"/>
        <v>Mencapai kompetensi dengan baik dalam hal</v>
      </c>
      <c r="Q5" s="23">
        <v>78</v>
      </c>
      <c r="R5" s="18" t="str">
        <f t="shared" si="3"/>
        <v>Mencapai kompetensi dengan baik dalam hal</v>
      </c>
      <c r="S5" s="23">
        <v>84</v>
      </c>
      <c r="T5" s="18" t="str">
        <f t="shared" si="4"/>
        <v>Mencapai kompetensi dengan baik dalam hal</v>
      </c>
      <c r="U5" s="23">
        <v>76</v>
      </c>
      <c r="V5" s="18" t="str">
        <f t="shared" si="4"/>
        <v>Mencapai kompetensi dengan baik dalam hal</v>
      </c>
      <c r="W5" s="23">
        <v>78</v>
      </c>
      <c r="X5" s="18" t="str">
        <f t="shared" si="4"/>
        <v>Mencapai kompetensi dengan baik dalam hal</v>
      </c>
      <c r="Y5" s="23">
        <v>79</v>
      </c>
      <c r="Z5" s="18" t="str">
        <f t="shared" si="4"/>
        <v>Mencapai kompetensi dengan baik dalam hal</v>
      </c>
      <c r="AA5" s="23">
        <v>84</v>
      </c>
      <c r="AB5" s="18" t="str">
        <f t="shared" si="4"/>
        <v>Mencapai kompetensi dengan baik dalam hal</v>
      </c>
      <c r="AC5" s="23">
        <v>88</v>
      </c>
      <c r="AD5" s="18" t="str">
        <f t="shared" si="4"/>
        <v>Mencapai kompetensi dengan baik dalam hal</v>
      </c>
      <c r="AE5" s="23">
        <v>82</v>
      </c>
      <c r="AF5" s="18" t="str">
        <f t="shared" si="4"/>
        <v>Mencapai kompetensi dengan baik dalam hal</v>
      </c>
      <c r="AG5" s="23">
        <v>82</v>
      </c>
      <c r="AH5" s="18" t="str">
        <f t="shared" ref="AH5:AH37" si="11">VLOOKUP(AG5,grades1,2,TRUE)</f>
        <v>Mencapai kompetensi dengan baik dalam hal</v>
      </c>
      <c r="AI5" s="23">
        <v>82</v>
      </c>
      <c r="AJ5" s="18" t="str">
        <f t="shared" si="5"/>
        <v>Mencapai kompetensi dengan baik dalam hal</v>
      </c>
      <c r="AK5" s="62">
        <f t="shared" si="10"/>
        <v>82</v>
      </c>
      <c r="AL5" s="23">
        <v>84</v>
      </c>
      <c r="AM5" s="18" t="str">
        <f t="shared" si="6"/>
        <v>Mencapai kompetensi dengan baik dalam hal</v>
      </c>
      <c r="AN5" s="23">
        <v>75</v>
      </c>
      <c r="AO5" s="18" t="str">
        <f t="shared" si="7"/>
        <v>Mencapai kompetensi dengan baik dalam hal</v>
      </c>
      <c r="AP5" s="113" t="s">
        <v>81</v>
      </c>
      <c r="AQ5" s="113" t="s">
        <v>81</v>
      </c>
      <c r="AR5" s="113" t="s">
        <v>81</v>
      </c>
      <c r="AS5" s="23">
        <v>1</v>
      </c>
      <c r="AT5" s="23" t="s">
        <v>82</v>
      </c>
      <c r="AU5" s="18" t="s">
        <v>83</v>
      </c>
      <c r="AV5" s="23" t="s">
        <v>86</v>
      </c>
      <c r="AW5" s="18" t="str">
        <f t="shared" si="8"/>
        <v>Sangat baik</v>
      </c>
      <c r="AX5" s="23">
        <v>2</v>
      </c>
      <c r="AY5" s="18" t="s">
        <v>134</v>
      </c>
      <c r="AZ5" s="18" t="s">
        <v>83</v>
      </c>
      <c r="BA5" s="23" t="s">
        <v>84</v>
      </c>
      <c r="BB5" s="18" t="str">
        <f t="shared" si="9"/>
        <v>Baik</v>
      </c>
      <c r="BC5" s="23"/>
      <c r="BD5" s="23"/>
      <c r="BE5" s="23"/>
      <c r="BF5" s="23"/>
      <c r="BG5" s="18"/>
      <c r="BH5" s="54"/>
      <c r="BJ5" s="55">
        <v>70</v>
      </c>
      <c r="BK5" s="56" t="s">
        <v>95</v>
      </c>
      <c r="BL5" s="110"/>
      <c r="BM5" s="111" t="s">
        <v>104</v>
      </c>
      <c r="BN5" s="111" t="s">
        <v>105</v>
      </c>
      <c r="BO5" s="112"/>
    </row>
    <row r="6" spans="1:67" ht="24.95" customHeight="1" thickTop="1" thickBot="1" x14ac:dyDescent="0.3">
      <c r="A6" s="23">
        <v>5</v>
      </c>
      <c r="B6" s="23">
        <v>2525838</v>
      </c>
      <c r="C6" s="23" t="s">
        <v>772</v>
      </c>
      <c r="D6" s="18" t="s">
        <v>773</v>
      </c>
      <c r="E6" s="23" t="s">
        <v>762</v>
      </c>
      <c r="F6" s="23" t="s">
        <v>763</v>
      </c>
      <c r="G6" s="23" t="s">
        <v>764</v>
      </c>
      <c r="H6" s="23" t="s">
        <v>765</v>
      </c>
      <c r="I6" s="60" t="s">
        <v>76</v>
      </c>
      <c r="J6" s="61" t="s">
        <v>77</v>
      </c>
      <c r="K6" s="23">
        <v>80</v>
      </c>
      <c r="L6" s="18" t="str">
        <f t="shared" si="0"/>
        <v>Mencapai kompetensi dengan baik dalam hal</v>
      </c>
      <c r="M6" s="23">
        <v>77</v>
      </c>
      <c r="N6" s="18" t="str">
        <f t="shared" si="1"/>
        <v>Mencapai kompetensi dengan baik dalam hal</v>
      </c>
      <c r="O6" s="23">
        <v>75</v>
      </c>
      <c r="P6" s="18" t="str">
        <f t="shared" si="2"/>
        <v>Mencapai kompetensi dengan baik dalam hal</v>
      </c>
      <c r="Q6" s="23">
        <v>78</v>
      </c>
      <c r="R6" s="18" t="str">
        <f t="shared" si="3"/>
        <v>Mencapai kompetensi dengan baik dalam hal</v>
      </c>
      <c r="S6" s="23">
        <v>82</v>
      </c>
      <c r="T6" s="18" t="str">
        <f t="shared" si="4"/>
        <v>Mencapai kompetensi dengan baik dalam hal</v>
      </c>
      <c r="U6" s="23">
        <v>80</v>
      </c>
      <c r="V6" s="18" t="str">
        <f t="shared" si="4"/>
        <v>Mencapai kompetensi dengan baik dalam hal</v>
      </c>
      <c r="W6" s="23">
        <v>75</v>
      </c>
      <c r="X6" s="18" t="str">
        <f t="shared" si="4"/>
        <v>Mencapai kompetensi dengan baik dalam hal</v>
      </c>
      <c r="Y6" s="23">
        <v>80</v>
      </c>
      <c r="Z6" s="18" t="str">
        <f t="shared" si="4"/>
        <v>Mencapai kompetensi dengan baik dalam hal</v>
      </c>
      <c r="AA6" s="23">
        <v>80</v>
      </c>
      <c r="AB6" s="18" t="str">
        <f t="shared" si="4"/>
        <v>Mencapai kompetensi dengan baik dalam hal</v>
      </c>
      <c r="AC6" s="23">
        <v>86</v>
      </c>
      <c r="AD6" s="18" t="str">
        <f t="shared" si="4"/>
        <v>Mencapai kompetensi dengan baik dalam hal</v>
      </c>
      <c r="AE6" s="23">
        <v>81</v>
      </c>
      <c r="AF6" s="18" t="str">
        <f t="shared" si="4"/>
        <v>Mencapai kompetensi dengan baik dalam hal</v>
      </c>
      <c r="AG6" s="23">
        <v>77</v>
      </c>
      <c r="AH6" s="18" t="str">
        <f t="shared" si="11"/>
        <v>Mencapai kompetensi dengan baik dalam hal</v>
      </c>
      <c r="AI6" s="23">
        <v>82</v>
      </c>
      <c r="AJ6" s="18" t="str">
        <f t="shared" si="5"/>
        <v>Mencapai kompetensi dengan baik dalam hal</v>
      </c>
      <c r="AK6" s="62">
        <f t="shared" si="10"/>
        <v>80</v>
      </c>
      <c r="AL6" s="23">
        <v>80</v>
      </c>
      <c r="AM6" s="18" t="str">
        <f t="shared" si="6"/>
        <v>Mencapai kompetensi dengan baik dalam hal</v>
      </c>
      <c r="AN6" s="23">
        <v>79</v>
      </c>
      <c r="AO6" s="18" t="str">
        <f t="shared" si="7"/>
        <v>Mencapai kompetensi dengan baik dalam hal</v>
      </c>
      <c r="AP6" s="113" t="s">
        <v>81</v>
      </c>
      <c r="AQ6" s="113" t="s">
        <v>81</v>
      </c>
      <c r="AR6" s="113" t="s">
        <v>81</v>
      </c>
      <c r="AS6" s="23">
        <v>1</v>
      </c>
      <c r="AT6" s="23" t="s">
        <v>82</v>
      </c>
      <c r="AU6" s="18" t="s">
        <v>83</v>
      </c>
      <c r="AV6" s="23" t="s">
        <v>84</v>
      </c>
      <c r="AW6" s="18" t="str">
        <f t="shared" si="8"/>
        <v>Baik</v>
      </c>
      <c r="AX6" s="23">
        <v>2</v>
      </c>
      <c r="AY6" s="18" t="s">
        <v>579</v>
      </c>
      <c r="AZ6" s="18" t="s">
        <v>83</v>
      </c>
      <c r="BA6" s="23" t="s">
        <v>84</v>
      </c>
      <c r="BB6" s="18" t="str">
        <f t="shared" si="9"/>
        <v>Baik</v>
      </c>
      <c r="BC6" s="23"/>
      <c r="BD6" s="23"/>
      <c r="BE6" s="23"/>
      <c r="BF6" s="23"/>
      <c r="BG6" s="18"/>
      <c r="BH6" s="54"/>
      <c r="BJ6" s="55">
        <v>75</v>
      </c>
      <c r="BK6" s="56" t="s">
        <v>109</v>
      </c>
      <c r="BL6" s="110"/>
      <c r="BM6" s="111" t="s">
        <v>110</v>
      </c>
      <c r="BN6" s="111" t="s">
        <v>111</v>
      </c>
      <c r="BO6" s="112"/>
    </row>
    <row r="7" spans="1:67" ht="24.95" customHeight="1" thickTop="1" thickBot="1" x14ac:dyDescent="0.3">
      <c r="A7" s="23">
        <v>6</v>
      </c>
      <c r="B7" s="23">
        <v>2525839</v>
      </c>
      <c r="C7" s="23" t="s">
        <v>774</v>
      </c>
      <c r="D7" s="18" t="s">
        <v>775</v>
      </c>
      <c r="E7" s="23" t="s">
        <v>762</v>
      </c>
      <c r="F7" s="23" t="s">
        <v>763</v>
      </c>
      <c r="G7" s="23" t="s">
        <v>764</v>
      </c>
      <c r="H7" s="23" t="s">
        <v>765</v>
      </c>
      <c r="I7" s="60" t="s">
        <v>76</v>
      </c>
      <c r="J7" s="61" t="s">
        <v>77</v>
      </c>
      <c r="K7" s="23">
        <v>75</v>
      </c>
      <c r="L7" s="18" t="str">
        <f t="shared" si="0"/>
        <v>Mencapai kompetensi dengan baik dalam hal</v>
      </c>
      <c r="M7" s="23">
        <v>75</v>
      </c>
      <c r="N7" s="18" t="str">
        <f t="shared" si="1"/>
        <v>Mencapai kompetensi dengan baik dalam hal</v>
      </c>
      <c r="O7" s="23">
        <v>75</v>
      </c>
      <c r="P7" s="18" t="str">
        <f t="shared" si="2"/>
        <v>Mencapai kompetensi dengan baik dalam hal</v>
      </c>
      <c r="Q7" s="23">
        <v>78</v>
      </c>
      <c r="R7" s="18" t="str">
        <f t="shared" si="3"/>
        <v>Mencapai kompetensi dengan baik dalam hal</v>
      </c>
      <c r="S7" s="23">
        <v>75</v>
      </c>
      <c r="T7" s="18" t="str">
        <f t="shared" si="4"/>
        <v>Mencapai kompetensi dengan baik dalam hal</v>
      </c>
      <c r="U7" s="23">
        <v>75</v>
      </c>
      <c r="V7" s="18" t="str">
        <f t="shared" si="4"/>
        <v>Mencapai kompetensi dengan baik dalam hal</v>
      </c>
      <c r="W7" s="23">
        <v>80</v>
      </c>
      <c r="X7" s="18" t="str">
        <f t="shared" si="4"/>
        <v>Mencapai kompetensi dengan baik dalam hal</v>
      </c>
      <c r="Y7" s="23">
        <v>75</v>
      </c>
      <c r="Z7" s="18" t="str">
        <f t="shared" si="4"/>
        <v>Mencapai kompetensi dengan baik dalam hal</v>
      </c>
      <c r="AA7" s="23">
        <v>83</v>
      </c>
      <c r="AB7" s="18" t="str">
        <f t="shared" si="4"/>
        <v>Mencapai kompetensi dengan baik dalam hal</v>
      </c>
      <c r="AC7" s="23">
        <v>88</v>
      </c>
      <c r="AD7" s="18" t="str">
        <f t="shared" si="4"/>
        <v>Mencapai kompetensi dengan baik dalam hal</v>
      </c>
      <c r="AE7" s="23">
        <v>79</v>
      </c>
      <c r="AF7" s="18" t="str">
        <f t="shared" si="4"/>
        <v>Mencapai kompetensi dengan baik dalam hal</v>
      </c>
      <c r="AG7" s="23">
        <v>76</v>
      </c>
      <c r="AH7" s="18" t="str">
        <f t="shared" si="11"/>
        <v>Mencapai kompetensi dengan baik dalam hal</v>
      </c>
      <c r="AI7" s="23">
        <v>80</v>
      </c>
      <c r="AJ7" s="18" t="str">
        <f t="shared" si="5"/>
        <v>Mencapai kompetensi dengan baik dalam hal</v>
      </c>
      <c r="AK7" s="62">
        <f t="shared" si="10"/>
        <v>78.333333333333329</v>
      </c>
      <c r="AL7" s="23">
        <v>83</v>
      </c>
      <c r="AM7" s="18" t="str">
        <f t="shared" si="6"/>
        <v>Mencapai kompetensi dengan baik dalam hal</v>
      </c>
      <c r="AN7" s="23">
        <v>75</v>
      </c>
      <c r="AO7" s="18" t="str">
        <f t="shared" si="7"/>
        <v>Mencapai kompetensi dengan baik dalam hal</v>
      </c>
      <c r="AP7" s="113" t="s">
        <v>81</v>
      </c>
      <c r="AQ7" s="113" t="s">
        <v>81</v>
      </c>
      <c r="AR7" s="113" t="s">
        <v>81</v>
      </c>
      <c r="AS7" s="23">
        <v>1</v>
      </c>
      <c r="AT7" s="23" t="s">
        <v>82</v>
      </c>
      <c r="AU7" s="18" t="s">
        <v>83</v>
      </c>
      <c r="AV7" s="23" t="s">
        <v>84</v>
      </c>
      <c r="AW7" s="18" t="str">
        <f t="shared" si="8"/>
        <v>Baik</v>
      </c>
      <c r="AX7" s="23">
        <v>2</v>
      </c>
      <c r="AY7" s="18" t="s">
        <v>170</v>
      </c>
      <c r="AZ7" s="18" t="s">
        <v>83</v>
      </c>
      <c r="BA7" s="23" t="s">
        <v>84</v>
      </c>
      <c r="BB7" s="18" t="str">
        <f t="shared" si="9"/>
        <v>Baik</v>
      </c>
      <c r="BC7" s="23"/>
      <c r="BD7" s="23"/>
      <c r="BE7" s="23"/>
      <c r="BF7" s="23"/>
      <c r="BG7" s="18"/>
      <c r="BH7" s="54"/>
      <c r="BJ7" s="55">
        <v>80</v>
      </c>
      <c r="BK7" s="56" t="s">
        <v>109</v>
      </c>
      <c r="BL7" s="110"/>
      <c r="BM7" s="111"/>
      <c r="BN7" s="111"/>
      <c r="BO7" s="112"/>
    </row>
    <row r="8" spans="1:67" ht="24.95" customHeight="1" thickTop="1" thickBot="1" x14ac:dyDescent="0.3">
      <c r="A8" s="23">
        <v>7</v>
      </c>
      <c r="B8" s="23">
        <v>2525840</v>
      </c>
      <c r="C8" s="23" t="s">
        <v>776</v>
      </c>
      <c r="D8" s="18" t="s">
        <v>777</v>
      </c>
      <c r="E8" s="23" t="s">
        <v>762</v>
      </c>
      <c r="F8" s="23" t="s">
        <v>763</v>
      </c>
      <c r="G8" s="23" t="s">
        <v>764</v>
      </c>
      <c r="H8" s="23" t="s">
        <v>765</v>
      </c>
      <c r="I8" s="60" t="s">
        <v>76</v>
      </c>
      <c r="J8" s="61" t="s">
        <v>77</v>
      </c>
      <c r="K8" s="23">
        <v>76</v>
      </c>
      <c r="L8" s="18" t="str">
        <f t="shared" si="0"/>
        <v>Mencapai kompetensi dengan baik dalam hal</v>
      </c>
      <c r="M8" s="23">
        <v>75</v>
      </c>
      <c r="N8" s="18" t="str">
        <f t="shared" si="1"/>
        <v>Mencapai kompetensi dengan baik dalam hal</v>
      </c>
      <c r="O8" s="23">
        <v>75</v>
      </c>
      <c r="P8" s="18" t="str">
        <f t="shared" si="2"/>
        <v>Mencapai kompetensi dengan baik dalam hal</v>
      </c>
      <c r="Q8" s="23">
        <v>79</v>
      </c>
      <c r="R8" s="18" t="str">
        <f t="shared" si="3"/>
        <v>Mencapai kompetensi dengan baik dalam hal</v>
      </c>
      <c r="S8" s="23">
        <v>79</v>
      </c>
      <c r="T8" s="18" t="str">
        <f t="shared" si="4"/>
        <v>Mencapai kompetensi dengan baik dalam hal</v>
      </c>
      <c r="U8" s="23">
        <v>75</v>
      </c>
      <c r="V8" s="18" t="str">
        <f t="shared" si="4"/>
        <v>Mencapai kompetensi dengan baik dalam hal</v>
      </c>
      <c r="W8" s="23">
        <v>75</v>
      </c>
      <c r="X8" s="18" t="str">
        <f t="shared" si="4"/>
        <v>Mencapai kompetensi dengan baik dalam hal</v>
      </c>
      <c r="Y8" s="23">
        <v>78</v>
      </c>
      <c r="Z8" s="18" t="str">
        <f t="shared" si="4"/>
        <v>Mencapai kompetensi dengan baik dalam hal</v>
      </c>
      <c r="AA8" s="23">
        <v>87</v>
      </c>
      <c r="AB8" s="18" t="str">
        <f t="shared" si="4"/>
        <v>Mencapai kompetensi dengan baik dalam hal</v>
      </c>
      <c r="AC8" s="23">
        <v>84</v>
      </c>
      <c r="AD8" s="18" t="str">
        <f t="shared" si="4"/>
        <v>Mencapai kompetensi dengan baik dalam hal</v>
      </c>
      <c r="AE8" s="23">
        <v>84</v>
      </c>
      <c r="AF8" s="18" t="str">
        <f t="shared" si="4"/>
        <v>Mencapai kompetensi dengan baik dalam hal</v>
      </c>
      <c r="AG8" s="23">
        <v>84</v>
      </c>
      <c r="AH8" s="18" t="str">
        <f t="shared" si="11"/>
        <v>Mencapai kompetensi dengan baik dalam hal</v>
      </c>
      <c r="AI8" s="23">
        <v>84</v>
      </c>
      <c r="AJ8" s="18" t="str">
        <f t="shared" si="5"/>
        <v>Mencapai kompetensi dengan baik dalam hal</v>
      </c>
      <c r="AK8" s="62">
        <f t="shared" si="10"/>
        <v>84</v>
      </c>
      <c r="AL8" s="23">
        <v>87</v>
      </c>
      <c r="AM8" s="18" t="str">
        <f t="shared" si="6"/>
        <v>Mencapai kompetensi dengan baik dalam hal</v>
      </c>
      <c r="AN8" s="23">
        <v>75</v>
      </c>
      <c r="AO8" s="18" t="str">
        <f t="shared" si="7"/>
        <v>Mencapai kompetensi dengan baik dalam hal</v>
      </c>
      <c r="AP8" s="113">
        <v>2</v>
      </c>
      <c r="AQ8" s="113" t="s">
        <v>81</v>
      </c>
      <c r="AR8" s="113" t="s">
        <v>81</v>
      </c>
      <c r="AS8" s="23">
        <v>1</v>
      </c>
      <c r="AT8" s="23" t="s">
        <v>82</v>
      </c>
      <c r="AU8" s="18" t="s">
        <v>83</v>
      </c>
      <c r="AV8" s="23" t="s">
        <v>86</v>
      </c>
      <c r="AW8" s="18" t="str">
        <f t="shared" si="8"/>
        <v>Sangat baik</v>
      </c>
      <c r="AX8" s="23">
        <v>2</v>
      </c>
      <c r="AY8" s="18" t="s">
        <v>429</v>
      </c>
      <c r="AZ8" s="18" t="s">
        <v>83</v>
      </c>
      <c r="BA8" s="23" t="s">
        <v>86</v>
      </c>
      <c r="BB8" s="18" t="str">
        <f t="shared" si="9"/>
        <v>Sangat baik</v>
      </c>
      <c r="BC8" s="23"/>
      <c r="BD8" s="23"/>
      <c r="BE8" s="23"/>
      <c r="BF8" s="23"/>
      <c r="BG8" s="18"/>
      <c r="BH8" s="54"/>
      <c r="BJ8" s="55">
        <v>85</v>
      </c>
      <c r="BK8" s="56" t="s">
        <v>109</v>
      </c>
      <c r="BL8" s="110"/>
      <c r="BM8" s="112"/>
      <c r="BN8" s="112"/>
      <c r="BO8" s="112"/>
    </row>
    <row r="9" spans="1:67" ht="24.95" customHeight="1" thickTop="1" thickBot="1" x14ac:dyDescent="0.3">
      <c r="A9" s="23">
        <v>8</v>
      </c>
      <c r="B9" s="23">
        <v>2525841</v>
      </c>
      <c r="C9" s="23" t="s">
        <v>778</v>
      </c>
      <c r="D9" s="18" t="s">
        <v>779</v>
      </c>
      <c r="E9" s="23" t="s">
        <v>762</v>
      </c>
      <c r="F9" s="23" t="s">
        <v>763</v>
      </c>
      <c r="G9" s="23" t="s">
        <v>764</v>
      </c>
      <c r="H9" s="23" t="s">
        <v>765</v>
      </c>
      <c r="I9" s="60" t="s">
        <v>76</v>
      </c>
      <c r="J9" s="61" t="s">
        <v>77</v>
      </c>
      <c r="K9" s="23">
        <v>76</v>
      </c>
      <c r="L9" s="18" t="str">
        <f t="shared" si="0"/>
        <v>Mencapai kompetensi dengan baik dalam hal</v>
      </c>
      <c r="M9" s="23">
        <v>75</v>
      </c>
      <c r="N9" s="18" t="str">
        <f t="shared" si="1"/>
        <v>Mencapai kompetensi dengan baik dalam hal</v>
      </c>
      <c r="O9" s="23">
        <v>76</v>
      </c>
      <c r="P9" s="18" t="str">
        <f t="shared" si="2"/>
        <v>Mencapai kompetensi dengan baik dalam hal</v>
      </c>
      <c r="Q9" s="23">
        <v>78</v>
      </c>
      <c r="R9" s="18" t="str">
        <f t="shared" si="3"/>
        <v>Mencapai kompetensi dengan baik dalam hal</v>
      </c>
      <c r="S9" s="23">
        <v>75</v>
      </c>
      <c r="T9" s="18" t="str">
        <f t="shared" si="4"/>
        <v>Mencapai kompetensi dengan baik dalam hal</v>
      </c>
      <c r="U9" s="23">
        <v>84</v>
      </c>
      <c r="V9" s="18" t="str">
        <f t="shared" si="4"/>
        <v>Mencapai kompetensi dengan baik dalam hal</v>
      </c>
      <c r="W9" s="23">
        <v>79</v>
      </c>
      <c r="X9" s="18" t="str">
        <f t="shared" si="4"/>
        <v>Mencapai kompetensi dengan baik dalam hal</v>
      </c>
      <c r="Y9" s="23">
        <v>75</v>
      </c>
      <c r="Z9" s="18" t="str">
        <f t="shared" si="4"/>
        <v>Mencapai kompetensi dengan baik dalam hal</v>
      </c>
      <c r="AA9" s="23">
        <v>84</v>
      </c>
      <c r="AB9" s="18" t="str">
        <f t="shared" si="4"/>
        <v>Mencapai kompetensi dengan baik dalam hal</v>
      </c>
      <c r="AC9" s="23">
        <v>85</v>
      </c>
      <c r="AD9" s="18" t="str">
        <f t="shared" si="4"/>
        <v>Mencapai kompetensi dengan baik dalam hal</v>
      </c>
      <c r="AE9" s="23">
        <v>85</v>
      </c>
      <c r="AF9" s="18" t="str">
        <f t="shared" si="4"/>
        <v>Mencapai kompetensi dengan baik dalam hal</v>
      </c>
      <c r="AG9" s="23">
        <v>82</v>
      </c>
      <c r="AH9" s="18" t="str">
        <f t="shared" si="11"/>
        <v>Mencapai kompetensi dengan baik dalam hal</v>
      </c>
      <c r="AI9" s="23">
        <v>87</v>
      </c>
      <c r="AJ9" s="18" t="str">
        <f t="shared" si="5"/>
        <v>Mencapai kompetensi dengan baik dalam hal</v>
      </c>
      <c r="AK9" s="62">
        <f t="shared" si="10"/>
        <v>84.666666666666671</v>
      </c>
      <c r="AL9" s="23">
        <v>84</v>
      </c>
      <c r="AM9" s="18" t="str">
        <f t="shared" si="6"/>
        <v>Mencapai kompetensi dengan baik dalam hal</v>
      </c>
      <c r="AN9" s="23">
        <v>76</v>
      </c>
      <c r="AO9" s="18" t="str">
        <f t="shared" si="7"/>
        <v>Mencapai kompetensi dengan baik dalam hal</v>
      </c>
      <c r="AP9" s="113" t="s">
        <v>81</v>
      </c>
      <c r="AQ9" s="113" t="s">
        <v>81</v>
      </c>
      <c r="AR9" s="113" t="s">
        <v>81</v>
      </c>
      <c r="AS9" s="23">
        <v>1</v>
      </c>
      <c r="AT9" s="23" t="s">
        <v>82</v>
      </c>
      <c r="AU9" s="18" t="s">
        <v>83</v>
      </c>
      <c r="AV9" s="23" t="s">
        <v>84</v>
      </c>
      <c r="AW9" s="18" t="str">
        <f t="shared" si="8"/>
        <v>Baik</v>
      </c>
      <c r="AX9" s="23">
        <v>2</v>
      </c>
      <c r="AY9" s="18" t="s">
        <v>125</v>
      </c>
      <c r="AZ9" s="18" t="s">
        <v>83</v>
      </c>
      <c r="BA9" s="23" t="s">
        <v>104</v>
      </c>
      <c r="BB9" s="18" t="str">
        <f t="shared" si="9"/>
        <v>Cukup</v>
      </c>
      <c r="BC9" s="23"/>
      <c r="BD9" s="23"/>
      <c r="BE9" s="23"/>
      <c r="BF9" s="23"/>
      <c r="BG9" s="18"/>
      <c r="BH9" s="54"/>
      <c r="BJ9" s="55">
        <v>90</v>
      </c>
      <c r="BK9" s="56" t="s">
        <v>120</v>
      </c>
      <c r="BL9" s="110"/>
      <c r="BM9" s="112"/>
      <c r="BN9" s="112"/>
      <c r="BO9" s="112"/>
    </row>
    <row r="10" spans="1:67" ht="24.95" customHeight="1" thickTop="1" thickBot="1" x14ac:dyDescent="0.3">
      <c r="A10" s="23">
        <v>9</v>
      </c>
      <c r="B10" s="23">
        <v>2525842</v>
      </c>
      <c r="C10" s="23" t="s">
        <v>780</v>
      </c>
      <c r="D10" s="18" t="s">
        <v>781</v>
      </c>
      <c r="E10" s="23" t="s">
        <v>762</v>
      </c>
      <c r="F10" s="23" t="s">
        <v>763</v>
      </c>
      <c r="G10" s="23" t="s">
        <v>764</v>
      </c>
      <c r="H10" s="23" t="s">
        <v>765</v>
      </c>
      <c r="I10" s="60" t="s">
        <v>76</v>
      </c>
      <c r="J10" s="61" t="s">
        <v>77</v>
      </c>
      <c r="K10" s="23">
        <v>80</v>
      </c>
      <c r="L10" s="18" t="str">
        <f t="shared" si="0"/>
        <v>Mencapai kompetensi dengan baik dalam hal</v>
      </c>
      <c r="M10" s="23">
        <v>75</v>
      </c>
      <c r="N10" s="18" t="str">
        <f t="shared" si="1"/>
        <v>Mencapai kompetensi dengan baik dalam hal</v>
      </c>
      <c r="O10" s="23">
        <v>75</v>
      </c>
      <c r="P10" s="18" t="str">
        <f t="shared" si="2"/>
        <v>Mencapai kompetensi dengan baik dalam hal</v>
      </c>
      <c r="Q10" s="23">
        <v>79</v>
      </c>
      <c r="R10" s="18" t="str">
        <f t="shared" si="3"/>
        <v>Mencapai kompetensi dengan baik dalam hal</v>
      </c>
      <c r="S10" s="23">
        <v>80</v>
      </c>
      <c r="T10" s="18" t="str">
        <f t="shared" si="4"/>
        <v>Mencapai kompetensi dengan baik dalam hal</v>
      </c>
      <c r="U10" s="23">
        <v>75</v>
      </c>
      <c r="V10" s="18" t="str">
        <f t="shared" si="4"/>
        <v>Mencapai kompetensi dengan baik dalam hal</v>
      </c>
      <c r="W10" s="23">
        <v>75</v>
      </c>
      <c r="X10" s="18" t="str">
        <f t="shared" si="4"/>
        <v>Mencapai kompetensi dengan baik dalam hal</v>
      </c>
      <c r="Y10" s="23">
        <v>78</v>
      </c>
      <c r="Z10" s="18" t="str">
        <f t="shared" si="4"/>
        <v>Mencapai kompetensi dengan baik dalam hal</v>
      </c>
      <c r="AA10" s="23">
        <v>86</v>
      </c>
      <c r="AB10" s="18" t="str">
        <f t="shared" si="4"/>
        <v>Mencapai kompetensi dengan baik dalam hal</v>
      </c>
      <c r="AC10" s="23">
        <v>86</v>
      </c>
      <c r="AD10" s="18" t="str">
        <f t="shared" si="4"/>
        <v>Mencapai kompetensi dengan baik dalam hal</v>
      </c>
      <c r="AE10" s="23">
        <v>86</v>
      </c>
      <c r="AF10" s="18" t="str">
        <f t="shared" si="4"/>
        <v>Mencapai kompetensi dengan baik dalam hal</v>
      </c>
      <c r="AG10" s="23">
        <v>87</v>
      </c>
      <c r="AH10" s="18" t="str">
        <f t="shared" si="11"/>
        <v>Mencapai kompetensi dengan baik dalam hal</v>
      </c>
      <c r="AI10" s="23">
        <v>87</v>
      </c>
      <c r="AJ10" s="18" t="str">
        <f t="shared" si="5"/>
        <v>Mencapai kompetensi dengan baik dalam hal</v>
      </c>
      <c r="AK10" s="62">
        <f t="shared" si="10"/>
        <v>86.666666666666671</v>
      </c>
      <c r="AL10" s="23">
        <v>86</v>
      </c>
      <c r="AM10" s="18" t="str">
        <f t="shared" si="6"/>
        <v>Mencapai kompetensi dengan baik dalam hal</v>
      </c>
      <c r="AN10" s="23">
        <v>75</v>
      </c>
      <c r="AO10" s="18" t="str">
        <f t="shared" si="7"/>
        <v>Mencapai kompetensi dengan baik dalam hal</v>
      </c>
      <c r="AP10" s="113">
        <v>1</v>
      </c>
      <c r="AQ10" s="113" t="s">
        <v>81</v>
      </c>
      <c r="AR10" s="113" t="s">
        <v>81</v>
      </c>
      <c r="AS10" s="23">
        <v>1</v>
      </c>
      <c r="AT10" s="23" t="s">
        <v>82</v>
      </c>
      <c r="AU10" s="18" t="s">
        <v>83</v>
      </c>
      <c r="AV10" s="23" t="s">
        <v>86</v>
      </c>
      <c r="AW10" s="18" t="str">
        <f t="shared" si="8"/>
        <v>Sangat baik</v>
      </c>
      <c r="AX10" s="23">
        <v>2</v>
      </c>
      <c r="AY10" s="18" t="s">
        <v>579</v>
      </c>
      <c r="AZ10" s="18" t="s">
        <v>83</v>
      </c>
      <c r="BA10" s="23" t="s">
        <v>84</v>
      </c>
      <c r="BB10" s="18" t="str">
        <f t="shared" si="9"/>
        <v>Baik</v>
      </c>
      <c r="BC10" s="23"/>
      <c r="BD10" s="23"/>
      <c r="BE10" s="23"/>
      <c r="BF10" s="23"/>
      <c r="BG10" s="18"/>
      <c r="BH10" s="54"/>
      <c r="BJ10" s="55">
        <v>95</v>
      </c>
      <c r="BK10" s="56" t="s">
        <v>120</v>
      </c>
      <c r="BL10" s="110"/>
      <c r="BM10" s="112"/>
      <c r="BN10" s="112"/>
      <c r="BO10" s="112"/>
    </row>
    <row r="11" spans="1:67" ht="24.95" customHeight="1" thickTop="1" thickBot="1" x14ac:dyDescent="0.3">
      <c r="A11" s="23">
        <v>10</v>
      </c>
      <c r="B11" s="23">
        <v>2525843</v>
      </c>
      <c r="C11" s="23" t="s">
        <v>782</v>
      </c>
      <c r="D11" s="18" t="s">
        <v>783</v>
      </c>
      <c r="E11" s="23" t="s">
        <v>762</v>
      </c>
      <c r="F11" s="23" t="s">
        <v>763</v>
      </c>
      <c r="G11" s="23" t="s">
        <v>764</v>
      </c>
      <c r="H11" s="23" t="s">
        <v>765</v>
      </c>
      <c r="I11" s="60" t="s">
        <v>76</v>
      </c>
      <c r="J11" s="61" t="s">
        <v>77</v>
      </c>
      <c r="K11" s="23">
        <v>75</v>
      </c>
      <c r="L11" s="18" t="str">
        <f t="shared" si="0"/>
        <v>Mencapai kompetensi dengan baik dalam hal</v>
      </c>
      <c r="M11" s="23">
        <v>75</v>
      </c>
      <c r="N11" s="18" t="str">
        <f t="shared" si="1"/>
        <v>Mencapai kompetensi dengan baik dalam hal</v>
      </c>
      <c r="O11" s="23">
        <v>76</v>
      </c>
      <c r="P11" s="18" t="str">
        <f t="shared" si="2"/>
        <v>Mencapai kompetensi dengan baik dalam hal</v>
      </c>
      <c r="Q11" s="23">
        <v>79</v>
      </c>
      <c r="R11" s="18" t="str">
        <f t="shared" si="3"/>
        <v>Mencapai kompetensi dengan baik dalam hal</v>
      </c>
      <c r="S11" s="23">
        <v>77</v>
      </c>
      <c r="T11" s="18" t="str">
        <f t="shared" si="4"/>
        <v>Mencapai kompetensi dengan baik dalam hal</v>
      </c>
      <c r="U11" s="23">
        <v>75</v>
      </c>
      <c r="V11" s="18" t="str">
        <f t="shared" si="4"/>
        <v>Mencapai kompetensi dengan baik dalam hal</v>
      </c>
      <c r="W11" s="23">
        <v>78</v>
      </c>
      <c r="X11" s="18" t="str">
        <f t="shared" si="4"/>
        <v>Mencapai kompetensi dengan baik dalam hal</v>
      </c>
      <c r="Y11" s="23">
        <v>76</v>
      </c>
      <c r="Z11" s="18" t="str">
        <f t="shared" si="4"/>
        <v>Mencapai kompetensi dengan baik dalam hal</v>
      </c>
      <c r="AA11" s="23">
        <v>82</v>
      </c>
      <c r="AB11" s="18" t="str">
        <f t="shared" si="4"/>
        <v>Mencapai kompetensi dengan baik dalam hal</v>
      </c>
      <c r="AC11" s="23">
        <v>84</v>
      </c>
      <c r="AD11" s="18" t="str">
        <f t="shared" si="4"/>
        <v>Mencapai kompetensi dengan baik dalam hal</v>
      </c>
      <c r="AE11" s="23">
        <v>82</v>
      </c>
      <c r="AF11" s="18" t="str">
        <f t="shared" si="4"/>
        <v>Mencapai kompetensi dengan baik dalam hal</v>
      </c>
      <c r="AG11" s="23">
        <v>78</v>
      </c>
      <c r="AH11" s="18" t="str">
        <f t="shared" si="11"/>
        <v>Mencapai kompetensi dengan baik dalam hal</v>
      </c>
      <c r="AI11" s="23">
        <v>82</v>
      </c>
      <c r="AJ11" s="18" t="str">
        <f t="shared" si="5"/>
        <v>Mencapai kompetensi dengan baik dalam hal</v>
      </c>
      <c r="AK11" s="62">
        <f t="shared" si="10"/>
        <v>80.666666666666671</v>
      </c>
      <c r="AL11" s="23">
        <v>82</v>
      </c>
      <c r="AM11" s="18" t="str">
        <f t="shared" si="6"/>
        <v>Mencapai kompetensi dengan baik dalam hal</v>
      </c>
      <c r="AN11" s="23">
        <v>75</v>
      </c>
      <c r="AO11" s="18" t="str">
        <f t="shared" si="7"/>
        <v>Mencapai kompetensi dengan baik dalam hal</v>
      </c>
      <c r="AP11" s="113" t="s">
        <v>81</v>
      </c>
      <c r="AQ11" s="113" t="s">
        <v>81</v>
      </c>
      <c r="AR11" s="113" t="s">
        <v>81</v>
      </c>
      <c r="AS11" s="23">
        <v>1</v>
      </c>
      <c r="AT11" s="23" t="s">
        <v>82</v>
      </c>
      <c r="AU11" s="18" t="s">
        <v>83</v>
      </c>
      <c r="AV11" s="23" t="s">
        <v>86</v>
      </c>
      <c r="AW11" s="18" t="str">
        <f t="shared" si="8"/>
        <v>Sangat baik</v>
      </c>
      <c r="AX11" s="23">
        <v>2</v>
      </c>
      <c r="AY11" s="18" t="s">
        <v>103</v>
      </c>
      <c r="AZ11" s="18" t="s">
        <v>83</v>
      </c>
      <c r="BA11" s="23" t="s">
        <v>84</v>
      </c>
      <c r="BB11" s="18" t="str">
        <f t="shared" si="9"/>
        <v>Baik</v>
      </c>
      <c r="BC11" s="23"/>
      <c r="BD11" s="23"/>
      <c r="BE11" s="23"/>
      <c r="BF11" s="23"/>
      <c r="BG11" s="18"/>
      <c r="BH11" s="54"/>
      <c r="BJ11" s="55">
        <v>100</v>
      </c>
      <c r="BK11" s="56" t="s">
        <v>120</v>
      </c>
      <c r="BL11" s="110"/>
      <c r="BM11" s="112"/>
      <c r="BN11" s="112"/>
      <c r="BO11" s="112"/>
    </row>
    <row r="12" spans="1:67" ht="24.95" customHeight="1" thickTop="1" x14ac:dyDescent="0.25">
      <c r="A12" s="23">
        <v>11</v>
      </c>
      <c r="B12" s="23">
        <v>2525844</v>
      </c>
      <c r="C12" s="23" t="s">
        <v>784</v>
      </c>
      <c r="D12" s="18" t="s">
        <v>785</v>
      </c>
      <c r="E12" s="23" t="s">
        <v>762</v>
      </c>
      <c r="F12" s="23" t="s">
        <v>763</v>
      </c>
      <c r="G12" s="23" t="s">
        <v>764</v>
      </c>
      <c r="H12" s="23" t="s">
        <v>765</v>
      </c>
      <c r="I12" s="60" t="s">
        <v>76</v>
      </c>
      <c r="J12" s="61" t="s">
        <v>77</v>
      </c>
      <c r="K12" s="23">
        <v>80</v>
      </c>
      <c r="L12" s="18" t="str">
        <f t="shared" si="0"/>
        <v>Mencapai kompetensi dengan baik dalam hal</v>
      </c>
      <c r="M12" s="23">
        <v>75</v>
      </c>
      <c r="N12" s="18" t="str">
        <f t="shared" si="1"/>
        <v>Mencapai kompetensi dengan baik dalam hal</v>
      </c>
      <c r="O12" s="23">
        <v>77</v>
      </c>
      <c r="P12" s="18" t="str">
        <f t="shared" si="2"/>
        <v>Mencapai kompetensi dengan baik dalam hal</v>
      </c>
      <c r="Q12" s="23">
        <v>79</v>
      </c>
      <c r="R12" s="18" t="str">
        <f t="shared" si="3"/>
        <v>Mencapai kompetensi dengan baik dalam hal</v>
      </c>
      <c r="S12" s="23">
        <v>84</v>
      </c>
      <c r="T12" s="18" t="str">
        <f t="shared" si="4"/>
        <v>Mencapai kompetensi dengan baik dalam hal</v>
      </c>
      <c r="U12" s="23">
        <v>84</v>
      </c>
      <c r="V12" s="18" t="str">
        <f t="shared" si="4"/>
        <v>Mencapai kompetensi dengan baik dalam hal</v>
      </c>
      <c r="W12" s="23">
        <v>76</v>
      </c>
      <c r="X12" s="18" t="str">
        <f t="shared" si="4"/>
        <v>Mencapai kompetensi dengan baik dalam hal</v>
      </c>
      <c r="Y12" s="23">
        <v>78</v>
      </c>
      <c r="Z12" s="18" t="str">
        <f t="shared" si="4"/>
        <v>Mencapai kompetensi dengan baik dalam hal</v>
      </c>
      <c r="AA12" s="23">
        <v>83</v>
      </c>
      <c r="AB12" s="18" t="str">
        <f t="shared" si="4"/>
        <v>Mencapai kompetensi dengan baik dalam hal</v>
      </c>
      <c r="AC12" s="23">
        <v>84</v>
      </c>
      <c r="AD12" s="18" t="str">
        <f t="shared" si="4"/>
        <v>Mencapai kompetensi dengan baik dalam hal</v>
      </c>
      <c r="AE12" s="23">
        <v>86</v>
      </c>
      <c r="AF12" s="18" t="str">
        <f t="shared" si="4"/>
        <v>Mencapai kompetensi dengan baik dalam hal</v>
      </c>
      <c r="AG12" s="23">
        <v>87</v>
      </c>
      <c r="AH12" s="18" t="str">
        <f t="shared" si="11"/>
        <v>Mencapai kompetensi dengan baik dalam hal</v>
      </c>
      <c r="AI12" s="23">
        <v>87</v>
      </c>
      <c r="AJ12" s="18" t="str">
        <f t="shared" si="5"/>
        <v>Mencapai kompetensi dengan baik dalam hal</v>
      </c>
      <c r="AK12" s="62">
        <f t="shared" si="10"/>
        <v>86.666666666666671</v>
      </c>
      <c r="AL12" s="23">
        <v>83</v>
      </c>
      <c r="AM12" s="18" t="str">
        <f t="shared" si="6"/>
        <v>Mencapai kompetensi dengan baik dalam hal</v>
      </c>
      <c r="AN12" s="23">
        <v>75</v>
      </c>
      <c r="AO12" s="18" t="str">
        <f t="shared" si="7"/>
        <v>Mencapai kompetensi dengan baik dalam hal</v>
      </c>
      <c r="AP12" s="113" t="s">
        <v>81</v>
      </c>
      <c r="AQ12" s="113" t="s">
        <v>81</v>
      </c>
      <c r="AR12" s="113" t="s">
        <v>81</v>
      </c>
      <c r="AS12" s="23">
        <v>1</v>
      </c>
      <c r="AT12" s="23" t="s">
        <v>82</v>
      </c>
      <c r="AU12" s="18" t="s">
        <v>83</v>
      </c>
      <c r="AV12" s="23" t="s">
        <v>86</v>
      </c>
      <c r="AW12" s="18" t="str">
        <f t="shared" si="8"/>
        <v>Sangat baik</v>
      </c>
      <c r="AX12" s="23">
        <v>2</v>
      </c>
      <c r="AY12" s="18" t="s">
        <v>99</v>
      </c>
      <c r="AZ12" s="18" t="s">
        <v>83</v>
      </c>
      <c r="BA12" s="23" t="s">
        <v>84</v>
      </c>
      <c r="BB12" s="18" t="str">
        <f t="shared" si="9"/>
        <v>Baik</v>
      </c>
      <c r="BC12" s="23"/>
      <c r="BD12" s="23"/>
      <c r="BE12" s="23"/>
      <c r="BF12" s="23"/>
      <c r="BG12" s="18"/>
      <c r="BH12" s="54"/>
      <c r="BJ12" s="112"/>
      <c r="BK12" s="112"/>
      <c r="BL12" s="110"/>
      <c r="BM12" s="112"/>
      <c r="BN12" s="112"/>
      <c r="BO12" s="112"/>
    </row>
    <row r="13" spans="1:67" ht="24.95" customHeight="1" x14ac:dyDescent="0.25">
      <c r="A13" s="23">
        <v>12</v>
      </c>
      <c r="B13" s="23">
        <v>2525845</v>
      </c>
      <c r="C13" s="23" t="s">
        <v>786</v>
      </c>
      <c r="D13" s="18" t="s">
        <v>787</v>
      </c>
      <c r="E13" s="23" t="s">
        <v>762</v>
      </c>
      <c r="F13" s="23" t="s">
        <v>763</v>
      </c>
      <c r="G13" s="23" t="s">
        <v>764</v>
      </c>
      <c r="H13" s="23" t="s">
        <v>765</v>
      </c>
      <c r="I13" s="60" t="s">
        <v>76</v>
      </c>
      <c r="J13" s="61" t="s">
        <v>77</v>
      </c>
      <c r="K13" s="23">
        <v>75</v>
      </c>
      <c r="L13" s="18" t="str">
        <f t="shared" si="0"/>
        <v>Mencapai kompetensi dengan baik dalam hal</v>
      </c>
      <c r="M13" s="23">
        <v>75</v>
      </c>
      <c r="N13" s="18" t="str">
        <f t="shared" si="1"/>
        <v>Mencapai kompetensi dengan baik dalam hal</v>
      </c>
      <c r="O13" s="23">
        <v>75</v>
      </c>
      <c r="P13" s="18" t="str">
        <f t="shared" si="2"/>
        <v>Mencapai kompetensi dengan baik dalam hal</v>
      </c>
      <c r="Q13" s="23">
        <v>80</v>
      </c>
      <c r="R13" s="18" t="str">
        <f t="shared" si="3"/>
        <v>Mencapai kompetensi dengan baik dalam hal</v>
      </c>
      <c r="S13" s="23">
        <v>80</v>
      </c>
      <c r="T13" s="18" t="str">
        <f t="shared" si="4"/>
        <v>Mencapai kompetensi dengan baik dalam hal</v>
      </c>
      <c r="U13" s="23">
        <v>75</v>
      </c>
      <c r="V13" s="18" t="str">
        <f t="shared" si="4"/>
        <v>Mencapai kompetensi dengan baik dalam hal</v>
      </c>
      <c r="W13" s="23">
        <v>77</v>
      </c>
      <c r="X13" s="18" t="str">
        <f t="shared" si="4"/>
        <v>Mencapai kompetensi dengan baik dalam hal</v>
      </c>
      <c r="Y13" s="23">
        <v>77</v>
      </c>
      <c r="Z13" s="18" t="str">
        <f t="shared" si="4"/>
        <v>Mencapai kompetensi dengan baik dalam hal</v>
      </c>
      <c r="AA13" s="23">
        <v>80</v>
      </c>
      <c r="AB13" s="18" t="str">
        <f t="shared" si="4"/>
        <v>Mencapai kompetensi dengan baik dalam hal</v>
      </c>
      <c r="AC13" s="23">
        <v>85</v>
      </c>
      <c r="AD13" s="18" t="str">
        <f t="shared" si="4"/>
        <v>Mencapai kompetensi dengan baik dalam hal</v>
      </c>
      <c r="AE13" s="23">
        <v>79</v>
      </c>
      <c r="AF13" s="18" t="str">
        <f t="shared" si="4"/>
        <v>Mencapai kompetensi dengan baik dalam hal</v>
      </c>
      <c r="AG13" s="23">
        <v>81</v>
      </c>
      <c r="AH13" s="18" t="str">
        <f t="shared" si="11"/>
        <v>Mencapai kompetensi dengan baik dalam hal</v>
      </c>
      <c r="AI13" s="23">
        <v>80</v>
      </c>
      <c r="AJ13" s="18" t="str">
        <f t="shared" si="5"/>
        <v>Mencapai kompetensi dengan baik dalam hal</v>
      </c>
      <c r="AK13" s="62">
        <f t="shared" si="10"/>
        <v>80</v>
      </c>
      <c r="AL13" s="23">
        <v>80</v>
      </c>
      <c r="AM13" s="18" t="str">
        <f t="shared" si="6"/>
        <v>Mencapai kompetensi dengan baik dalam hal</v>
      </c>
      <c r="AN13" s="23">
        <v>75</v>
      </c>
      <c r="AO13" s="18" t="str">
        <f t="shared" si="7"/>
        <v>Mencapai kompetensi dengan baik dalam hal</v>
      </c>
      <c r="AP13" s="113" t="s">
        <v>81</v>
      </c>
      <c r="AQ13" s="113" t="s">
        <v>81</v>
      </c>
      <c r="AR13" s="113" t="s">
        <v>81</v>
      </c>
      <c r="AS13" s="23">
        <v>1</v>
      </c>
      <c r="AT13" s="23" t="s">
        <v>82</v>
      </c>
      <c r="AU13" s="18" t="s">
        <v>83</v>
      </c>
      <c r="AV13" s="23" t="s">
        <v>84</v>
      </c>
      <c r="AW13" s="18" t="str">
        <f t="shared" si="8"/>
        <v>Baik</v>
      </c>
      <c r="AX13" s="23">
        <v>2</v>
      </c>
      <c r="AY13" s="18" t="s">
        <v>103</v>
      </c>
      <c r="AZ13" s="18" t="s">
        <v>83</v>
      </c>
      <c r="BA13" s="23" t="s">
        <v>84</v>
      </c>
      <c r="BB13" s="18" t="str">
        <f t="shared" si="9"/>
        <v>Baik</v>
      </c>
      <c r="BC13" s="23"/>
      <c r="BD13" s="23"/>
      <c r="BE13" s="23"/>
      <c r="BF13" s="23"/>
      <c r="BG13" s="18"/>
      <c r="BH13" s="54"/>
      <c r="BJ13" s="112"/>
      <c r="BK13" s="112"/>
      <c r="BL13" s="110"/>
      <c r="BM13" s="112"/>
      <c r="BN13" s="112"/>
      <c r="BO13" s="112"/>
    </row>
    <row r="14" spans="1:67" ht="24.95" customHeight="1" x14ac:dyDescent="0.25">
      <c r="A14" s="23">
        <v>13</v>
      </c>
      <c r="B14" s="23">
        <v>2525846</v>
      </c>
      <c r="C14" s="23" t="s">
        <v>788</v>
      </c>
      <c r="D14" s="18" t="s">
        <v>789</v>
      </c>
      <c r="E14" s="23" t="s">
        <v>762</v>
      </c>
      <c r="F14" s="23" t="s">
        <v>763</v>
      </c>
      <c r="G14" s="23" t="s">
        <v>764</v>
      </c>
      <c r="H14" s="23" t="s">
        <v>765</v>
      </c>
      <c r="I14" s="60" t="s">
        <v>76</v>
      </c>
      <c r="J14" s="61" t="s">
        <v>77</v>
      </c>
      <c r="K14" s="23">
        <v>75</v>
      </c>
      <c r="L14" s="18" t="str">
        <f t="shared" si="0"/>
        <v>Mencapai kompetensi dengan baik dalam hal</v>
      </c>
      <c r="M14" s="23">
        <v>75</v>
      </c>
      <c r="N14" s="18" t="str">
        <f t="shared" si="1"/>
        <v>Mencapai kompetensi dengan baik dalam hal</v>
      </c>
      <c r="O14" s="23">
        <v>75</v>
      </c>
      <c r="P14" s="18" t="str">
        <f t="shared" si="2"/>
        <v>Mencapai kompetensi dengan baik dalam hal</v>
      </c>
      <c r="Q14" s="23">
        <v>78</v>
      </c>
      <c r="R14" s="18" t="str">
        <f t="shared" si="3"/>
        <v>Mencapai kompetensi dengan baik dalam hal</v>
      </c>
      <c r="S14" s="23">
        <v>79</v>
      </c>
      <c r="T14" s="18" t="str">
        <f t="shared" si="4"/>
        <v>Mencapai kompetensi dengan baik dalam hal</v>
      </c>
      <c r="U14" s="23">
        <v>77</v>
      </c>
      <c r="V14" s="18" t="str">
        <f t="shared" si="4"/>
        <v>Mencapai kompetensi dengan baik dalam hal</v>
      </c>
      <c r="W14" s="23">
        <v>75</v>
      </c>
      <c r="X14" s="18" t="str">
        <f t="shared" si="4"/>
        <v>Mencapai kompetensi dengan baik dalam hal</v>
      </c>
      <c r="Y14" s="23">
        <v>78</v>
      </c>
      <c r="Z14" s="18" t="str">
        <f t="shared" si="4"/>
        <v>Mencapai kompetensi dengan baik dalam hal</v>
      </c>
      <c r="AA14" s="23">
        <v>77</v>
      </c>
      <c r="AB14" s="18" t="str">
        <f t="shared" si="4"/>
        <v>Mencapai kompetensi dengan baik dalam hal</v>
      </c>
      <c r="AC14" s="23">
        <v>85</v>
      </c>
      <c r="AD14" s="18" t="str">
        <f t="shared" si="4"/>
        <v>Mencapai kompetensi dengan baik dalam hal</v>
      </c>
      <c r="AE14" s="23">
        <v>81</v>
      </c>
      <c r="AF14" s="18" t="str">
        <f t="shared" si="4"/>
        <v>Mencapai kompetensi dengan baik dalam hal</v>
      </c>
      <c r="AG14" s="23">
        <v>84</v>
      </c>
      <c r="AH14" s="18" t="str">
        <f t="shared" si="11"/>
        <v>Mencapai kompetensi dengan baik dalam hal</v>
      </c>
      <c r="AI14" s="23">
        <v>84</v>
      </c>
      <c r="AJ14" s="18" t="str">
        <f t="shared" si="5"/>
        <v>Mencapai kompetensi dengan baik dalam hal</v>
      </c>
      <c r="AK14" s="62">
        <f t="shared" si="10"/>
        <v>83</v>
      </c>
      <c r="AL14" s="23">
        <v>77</v>
      </c>
      <c r="AM14" s="18" t="str">
        <f t="shared" si="6"/>
        <v>Mencapai kompetensi dengan baik dalam hal</v>
      </c>
      <c r="AN14" s="23">
        <v>75</v>
      </c>
      <c r="AO14" s="18" t="str">
        <f t="shared" si="7"/>
        <v>Mencapai kompetensi dengan baik dalam hal</v>
      </c>
      <c r="AP14" s="113">
        <v>1</v>
      </c>
      <c r="AQ14" s="113" t="s">
        <v>81</v>
      </c>
      <c r="AR14" s="113" t="s">
        <v>81</v>
      </c>
      <c r="AS14" s="23">
        <v>1</v>
      </c>
      <c r="AT14" s="23" t="s">
        <v>82</v>
      </c>
      <c r="AU14" s="18" t="s">
        <v>83</v>
      </c>
      <c r="AV14" s="23" t="s">
        <v>104</v>
      </c>
      <c r="AW14" s="18" t="str">
        <f t="shared" si="8"/>
        <v>Cukup</v>
      </c>
      <c r="AX14" s="23">
        <v>2</v>
      </c>
      <c r="AY14" s="18" t="s">
        <v>99</v>
      </c>
      <c r="AZ14" s="18" t="s">
        <v>83</v>
      </c>
      <c r="BA14" s="23" t="s">
        <v>84</v>
      </c>
      <c r="BB14" s="18" t="str">
        <f t="shared" si="9"/>
        <v>Baik</v>
      </c>
      <c r="BC14" s="23"/>
      <c r="BD14" s="23"/>
      <c r="BE14" s="23"/>
      <c r="BF14" s="23"/>
      <c r="BG14" s="18"/>
      <c r="BH14" s="54"/>
    </row>
    <row r="15" spans="1:67" ht="24.95" customHeight="1" x14ac:dyDescent="0.25">
      <c r="A15" s="23">
        <v>14</v>
      </c>
      <c r="B15" s="23">
        <v>2525847</v>
      </c>
      <c r="C15" s="23" t="s">
        <v>790</v>
      </c>
      <c r="D15" s="18" t="s">
        <v>791</v>
      </c>
      <c r="E15" s="23" t="s">
        <v>762</v>
      </c>
      <c r="F15" s="23" t="s">
        <v>763</v>
      </c>
      <c r="G15" s="23" t="s">
        <v>764</v>
      </c>
      <c r="H15" s="23" t="s">
        <v>765</v>
      </c>
      <c r="I15" s="60" t="s">
        <v>76</v>
      </c>
      <c r="J15" s="61" t="s">
        <v>77</v>
      </c>
      <c r="K15" s="23">
        <v>81</v>
      </c>
      <c r="L15" s="18" t="str">
        <f t="shared" si="0"/>
        <v>Mencapai kompetensi dengan baik dalam hal</v>
      </c>
      <c r="M15" s="23">
        <v>75</v>
      </c>
      <c r="N15" s="18" t="str">
        <f t="shared" si="1"/>
        <v>Mencapai kompetensi dengan baik dalam hal</v>
      </c>
      <c r="O15" s="23">
        <v>75</v>
      </c>
      <c r="P15" s="18" t="str">
        <f t="shared" si="2"/>
        <v>Mencapai kompetensi dengan baik dalam hal</v>
      </c>
      <c r="Q15" s="23">
        <v>79</v>
      </c>
      <c r="R15" s="18" t="str">
        <f t="shared" si="3"/>
        <v>Mencapai kompetensi dengan baik dalam hal</v>
      </c>
      <c r="S15" s="23">
        <v>77</v>
      </c>
      <c r="T15" s="18" t="str">
        <f t="shared" si="4"/>
        <v>Mencapai kompetensi dengan baik dalam hal</v>
      </c>
      <c r="U15" s="23">
        <v>75</v>
      </c>
      <c r="V15" s="18" t="str">
        <f t="shared" si="4"/>
        <v>Mencapai kompetensi dengan baik dalam hal</v>
      </c>
      <c r="W15" s="23">
        <v>75</v>
      </c>
      <c r="X15" s="18" t="str">
        <f t="shared" si="4"/>
        <v>Mencapai kompetensi dengan baik dalam hal</v>
      </c>
      <c r="Y15" s="23">
        <v>76</v>
      </c>
      <c r="Z15" s="18" t="str">
        <f t="shared" si="4"/>
        <v>Mencapai kompetensi dengan baik dalam hal</v>
      </c>
      <c r="AA15" s="23">
        <v>76</v>
      </c>
      <c r="AB15" s="18" t="str">
        <f t="shared" si="4"/>
        <v>Mencapai kompetensi dengan baik dalam hal</v>
      </c>
      <c r="AC15" s="23">
        <v>82</v>
      </c>
      <c r="AD15" s="18" t="str">
        <f t="shared" si="4"/>
        <v>Mencapai kompetensi dengan baik dalam hal</v>
      </c>
      <c r="AE15" s="23">
        <v>80</v>
      </c>
      <c r="AF15" s="18" t="str">
        <f t="shared" si="4"/>
        <v>Mencapai kompetensi dengan baik dalam hal</v>
      </c>
      <c r="AG15" s="23">
        <v>76</v>
      </c>
      <c r="AH15" s="18" t="str">
        <f t="shared" si="11"/>
        <v>Mencapai kompetensi dengan baik dalam hal</v>
      </c>
      <c r="AI15" s="23">
        <v>80</v>
      </c>
      <c r="AJ15" s="18" t="str">
        <f t="shared" si="5"/>
        <v>Mencapai kompetensi dengan baik dalam hal</v>
      </c>
      <c r="AK15" s="62">
        <f t="shared" si="10"/>
        <v>78.666666666666671</v>
      </c>
      <c r="AL15" s="23">
        <v>76</v>
      </c>
      <c r="AM15" s="18" t="str">
        <f t="shared" si="6"/>
        <v>Mencapai kompetensi dengan baik dalam hal</v>
      </c>
      <c r="AN15" s="23">
        <v>75</v>
      </c>
      <c r="AO15" s="18" t="str">
        <f t="shared" si="7"/>
        <v>Mencapai kompetensi dengan baik dalam hal</v>
      </c>
      <c r="AP15" s="113" t="s">
        <v>81</v>
      </c>
      <c r="AQ15" s="113" t="s">
        <v>81</v>
      </c>
      <c r="AR15" s="113" t="s">
        <v>81</v>
      </c>
      <c r="AS15" s="23">
        <v>1</v>
      </c>
      <c r="AT15" s="23" t="s">
        <v>82</v>
      </c>
      <c r="AU15" s="18" t="s">
        <v>83</v>
      </c>
      <c r="AV15" s="23" t="s">
        <v>84</v>
      </c>
      <c r="AW15" s="18" t="str">
        <f t="shared" si="8"/>
        <v>Baik</v>
      </c>
      <c r="AX15" s="23">
        <v>2</v>
      </c>
      <c r="AY15" s="18" t="s">
        <v>108</v>
      </c>
      <c r="AZ15" s="18" t="s">
        <v>83</v>
      </c>
      <c r="BA15" s="23" t="s">
        <v>86</v>
      </c>
      <c r="BB15" s="18" t="str">
        <f t="shared" si="9"/>
        <v>Sangat baik</v>
      </c>
      <c r="BC15" s="23"/>
      <c r="BD15" s="23"/>
      <c r="BE15" s="23"/>
      <c r="BF15" s="23"/>
      <c r="BG15" s="18"/>
      <c r="BH15" s="54"/>
    </row>
    <row r="16" spans="1:67" ht="24.95" customHeight="1" x14ac:dyDescent="0.25">
      <c r="A16" s="23">
        <v>15</v>
      </c>
      <c r="B16" s="23">
        <v>2525848</v>
      </c>
      <c r="C16" s="23" t="s">
        <v>792</v>
      </c>
      <c r="D16" s="18" t="s">
        <v>793</v>
      </c>
      <c r="E16" s="23" t="s">
        <v>762</v>
      </c>
      <c r="F16" s="23" t="s">
        <v>763</v>
      </c>
      <c r="G16" s="23" t="s">
        <v>764</v>
      </c>
      <c r="H16" s="23" t="s">
        <v>765</v>
      </c>
      <c r="I16" s="60" t="s">
        <v>76</v>
      </c>
      <c r="J16" s="61" t="s">
        <v>77</v>
      </c>
      <c r="K16" s="23">
        <v>78</v>
      </c>
      <c r="L16" s="18" t="str">
        <f t="shared" si="0"/>
        <v>Mencapai kompetensi dengan baik dalam hal</v>
      </c>
      <c r="M16" s="23">
        <v>75</v>
      </c>
      <c r="N16" s="18" t="str">
        <f t="shared" si="1"/>
        <v>Mencapai kompetensi dengan baik dalam hal</v>
      </c>
      <c r="O16" s="23">
        <v>75</v>
      </c>
      <c r="P16" s="18" t="str">
        <f t="shared" si="2"/>
        <v>Mencapai kompetensi dengan baik dalam hal</v>
      </c>
      <c r="Q16" s="23">
        <v>79</v>
      </c>
      <c r="R16" s="18" t="str">
        <f t="shared" si="3"/>
        <v>Mencapai kompetensi dengan baik dalam hal</v>
      </c>
      <c r="S16" s="23">
        <v>79</v>
      </c>
      <c r="T16" s="18" t="str">
        <f t="shared" si="4"/>
        <v>Mencapai kompetensi dengan baik dalam hal</v>
      </c>
      <c r="U16" s="23">
        <v>75</v>
      </c>
      <c r="V16" s="18" t="str">
        <f t="shared" si="4"/>
        <v>Mencapai kompetensi dengan baik dalam hal</v>
      </c>
      <c r="W16" s="23">
        <v>76</v>
      </c>
      <c r="X16" s="18" t="str">
        <f t="shared" si="4"/>
        <v>Mencapai kompetensi dengan baik dalam hal</v>
      </c>
      <c r="Y16" s="23">
        <v>75</v>
      </c>
      <c r="Z16" s="18" t="str">
        <f t="shared" si="4"/>
        <v>Mencapai kompetensi dengan baik dalam hal</v>
      </c>
      <c r="AA16" s="23">
        <v>80</v>
      </c>
      <c r="AB16" s="18" t="str">
        <f t="shared" si="4"/>
        <v>Mencapai kompetensi dengan baik dalam hal</v>
      </c>
      <c r="AC16" s="23">
        <v>84</v>
      </c>
      <c r="AD16" s="18" t="str">
        <f t="shared" si="4"/>
        <v>Mencapai kompetensi dengan baik dalam hal</v>
      </c>
      <c r="AE16" s="23">
        <v>75</v>
      </c>
      <c r="AF16" s="18" t="str">
        <f t="shared" si="4"/>
        <v>Mencapai kompetensi dengan baik dalam hal</v>
      </c>
      <c r="AG16" s="23">
        <v>76</v>
      </c>
      <c r="AH16" s="18" t="str">
        <f t="shared" si="11"/>
        <v>Mencapai kompetensi dengan baik dalam hal</v>
      </c>
      <c r="AI16" s="23">
        <v>76</v>
      </c>
      <c r="AJ16" s="18" t="str">
        <f t="shared" si="5"/>
        <v>Mencapai kompetensi dengan baik dalam hal</v>
      </c>
      <c r="AK16" s="62">
        <f t="shared" si="10"/>
        <v>75.666666666666671</v>
      </c>
      <c r="AL16" s="23">
        <v>80</v>
      </c>
      <c r="AM16" s="18" t="str">
        <f t="shared" si="6"/>
        <v>Mencapai kompetensi dengan baik dalam hal</v>
      </c>
      <c r="AN16" s="23">
        <v>75</v>
      </c>
      <c r="AO16" s="18" t="str">
        <f t="shared" si="7"/>
        <v>Mencapai kompetensi dengan baik dalam hal</v>
      </c>
      <c r="AP16" s="113" t="s">
        <v>81</v>
      </c>
      <c r="AQ16" s="113" t="s">
        <v>81</v>
      </c>
      <c r="AR16" s="113" t="s">
        <v>81</v>
      </c>
      <c r="AS16" s="23">
        <v>1</v>
      </c>
      <c r="AT16" s="23" t="s">
        <v>82</v>
      </c>
      <c r="AU16" s="18" t="s">
        <v>83</v>
      </c>
      <c r="AV16" s="23" t="s">
        <v>84</v>
      </c>
      <c r="AW16" s="18" t="str">
        <f t="shared" si="8"/>
        <v>Baik</v>
      </c>
      <c r="AX16" s="23">
        <v>2</v>
      </c>
      <c r="AY16" s="18" t="s">
        <v>125</v>
      </c>
      <c r="AZ16" s="18" t="s">
        <v>83</v>
      </c>
      <c r="BA16" s="23" t="s">
        <v>104</v>
      </c>
      <c r="BB16" s="18" t="str">
        <f t="shared" si="9"/>
        <v>Cukup</v>
      </c>
      <c r="BC16" s="23"/>
      <c r="BD16" s="23"/>
      <c r="BE16" s="23"/>
      <c r="BF16" s="23"/>
      <c r="BG16" s="18"/>
      <c r="BH16" s="54"/>
    </row>
    <row r="17" spans="1:60" ht="24.95" customHeight="1" x14ac:dyDescent="0.25">
      <c r="A17" s="23">
        <v>16</v>
      </c>
      <c r="B17" s="23">
        <v>2525849</v>
      </c>
      <c r="C17" s="23" t="s">
        <v>794</v>
      </c>
      <c r="D17" s="18" t="s">
        <v>795</v>
      </c>
      <c r="E17" s="23" t="s">
        <v>762</v>
      </c>
      <c r="F17" s="23" t="s">
        <v>763</v>
      </c>
      <c r="G17" s="23" t="s">
        <v>764</v>
      </c>
      <c r="H17" s="23" t="s">
        <v>765</v>
      </c>
      <c r="I17" s="60" t="s">
        <v>76</v>
      </c>
      <c r="J17" s="61" t="s">
        <v>77</v>
      </c>
      <c r="K17" s="23">
        <v>76</v>
      </c>
      <c r="L17" s="18" t="str">
        <f t="shared" si="0"/>
        <v>Mencapai kompetensi dengan baik dalam hal</v>
      </c>
      <c r="M17" s="23">
        <v>75</v>
      </c>
      <c r="N17" s="18" t="str">
        <f t="shared" si="1"/>
        <v>Mencapai kompetensi dengan baik dalam hal</v>
      </c>
      <c r="O17" s="23">
        <v>80</v>
      </c>
      <c r="P17" s="18" t="str">
        <f t="shared" si="2"/>
        <v>Mencapai kompetensi dengan baik dalam hal</v>
      </c>
      <c r="Q17" s="23">
        <v>79</v>
      </c>
      <c r="R17" s="18" t="str">
        <f t="shared" si="3"/>
        <v>Mencapai kompetensi dengan baik dalam hal</v>
      </c>
      <c r="S17" s="23">
        <v>82</v>
      </c>
      <c r="T17" s="18" t="str">
        <f t="shared" si="4"/>
        <v>Mencapai kompetensi dengan baik dalam hal</v>
      </c>
      <c r="U17" s="23">
        <v>75</v>
      </c>
      <c r="V17" s="18" t="str">
        <f t="shared" si="4"/>
        <v>Mencapai kompetensi dengan baik dalam hal</v>
      </c>
      <c r="W17" s="23">
        <v>82</v>
      </c>
      <c r="X17" s="18" t="str">
        <f t="shared" si="4"/>
        <v>Mencapai kompetensi dengan baik dalam hal</v>
      </c>
      <c r="Y17" s="23">
        <v>79</v>
      </c>
      <c r="Z17" s="18" t="str">
        <f t="shared" si="4"/>
        <v>Mencapai kompetensi dengan baik dalam hal</v>
      </c>
      <c r="AA17" s="23">
        <v>89</v>
      </c>
      <c r="AB17" s="18" t="str">
        <f t="shared" si="4"/>
        <v>Mencapai kompetensi dengan baik dalam hal</v>
      </c>
      <c r="AC17" s="23">
        <v>88</v>
      </c>
      <c r="AD17" s="18" t="str">
        <f t="shared" si="4"/>
        <v>Mencapai kompetensi dengan baik dalam hal</v>
      </c>
      <c r="AE17" s="23">
        <v>84</v>
      </c>
      <c r="AF17" s="18" t="str">
        <f t="shared" si="4"/>
        <v>Mencapai kompetensi dengan baik dalam hal</v>
      </c>
      <c r="AG17" s="23">
        <v>87</v>
      </c>
      <c r="AH17" s="18" t="str">
        <f t="shared" si="11"/>
        <v>Mencapai kompetensi dengan baik dalam hal</v>
      </c>
      <c r="AI17" s="23">
        <v>87</v>
      </c>
      <c r="AJ17" s="18" t="str">
        <f t="shared" si="5"/>
        <v>Mencapai kompetensi dengan baik dalam hal</v>
      </c>
      <c r="AK17" s="62">
        <f t="shared" si="10"/>
        <v>86</v>
      </c>
      <c r="AL17" s="23">
        <v>89</v>
      </c>
      <c r="AM17" s="18" t="str">
        <f t="shared" si="6"/>
        <v>Mencapai kompetensi dengan baik dalam hal</v>
      </c>
      <c r="AN17" s="23">
        <v>78</v>
      </c>
      <c r="AO17" s="18" t="str">
        <f t="shared" si="7"/>
        <v>Mencapai kompetensi dengan baik dalam hal</v>
      </c>
      <c r="AP17" s="113">
        <v>2</v>
      </c>
      <c r="AQ17" s="113" t="s">
        <v>81</v>
      </c>
      <c r="AR17" s="113" t="s">
        <v>81</v>
      </c>
      <c r="AS17" s="23">
        <v>1</v>
      </c>
      <c r="AT17" s="23" t="s">
        <v>82</v>
      </c>
      <c r="AU17" s="18" t="s">
        <v>83</v>
      </c>
      <c r="AV17" s="23" t="s">
        <v>86</v>
      </c>
      <c r="AW17" s="18" t="str">
        <f t="shared" si="8"/>
        <v>Sangat baik</v>
      </c>
      <c r="AX17" s="23">
        <v>2</v>
      </c>
      <c r="AY17" s="18" t="s">
        <v>170</v>
      </c>
      <c r="AZ17" s="18" t="s">
        <v>83</v>
      </c>
      <c r="BA17" s="23" t="s">
        <v>84</v>
      </c>
      <c r="BB17" s="18" t="str">
        <f t="shared" si="9"/>
        <v>Baik</v>
      </c>
      <c r="BC17" s="23"/>
      <c r="BD17" s="23"/>
      <c r="BE17" s="23"/>
      <c r="BF17" s="23"/>
      <c r="BG17" s="18"/>
      <c r="BH17" s="54"/>
    </row>
    <row r="18" spans="1:60" ht="24.95" customHeight="1" x14ac:dyDescent="0.25">
      <c r="A18" s="23">
        <v>17</v>
      </c>
      <c r="B18" s="23">
        <v>2525850</v>
      </c>
      <c r="C18" s="23" t="s">
        <v>796</v>
      </c>
      <c r="D18" s="18" t="s">
        <v>797</v>
      </c>
      <c r="E18" s="23" t="s">
        <v>762</v>
      </c>
      <c r="F18" s="23" t="s">
        <v>763</v>
      </c>
      <c r="G18" s="23" t="s">
        <v>764</v>
      </c>
      <c r="H18" s="23" t="s">
        <v>765</v>
      </c>
      <c r="I18" s="60" t="s">
        <v>76</v>
      </c>
      <c r="J18" s="61" t="s">
        <v>77</v>
      </c>
      <c r="K18" s="23">
        <v>76</v>
      </c>
      <c r="L18" s="18" t="str">
        <f t="shared" si="0"/>
        <v>Mencapai kompetensi dengan baik dalam hal</v>
      </c>
      <c r="M18" s="23">
        <v>75</v>
      </c>
      <c r="N18" s="18" t="str">
        <f t="shared" si="1"/>
        <v>Mencapai kompetensi dengan baik dalam hal</v>
      </c>
      <c r="O18" s="23">
        <v>75</v>
      </c>
      <c r="P18" s="18" t="str">
        <f t="shared" si="2"/>
        <v>Mencapai kompetensi dengan baik dalam hal</v>
      </c>
      <c r="Q18" s="23">
        <v>79</v>
      </c>
      <c r="R18" s="18" t="str">
        <f t="shared" si="3"/>
        <v>Mencapai kompetensi dengan baik dalam hal</v>
      </c>
      <c r="S18" s="23">
        <v>77</v>
      </c>
      <c r="T18" s="18" t="str">
        <f t="shared" si="4"/>
        <v>Mencapai kompetensi dengan baik dalam hal</v>
      </c>
      <c r="U18" s="23">
        <v>75</v>
      </c>
      <c r="V18" s="18" t="str">
        <f t="shared" si="4"/>
        <v>Mencapai kompetensi dengan baik dalam hal</v>
      </c>
      <c r="W18" s="23">
        <v>75</v>
      </c>
      <c r="X18" s="18" t="str">
        <f t="shared" si="4"/>
        <v>Mencapai kompetensi dengan baik dalam hal</v>
      </c>
      <c r="Y18" s="23">
        <v>78</v>
      </c>
      <c r="Z18" s="18" t="str">
        <f t="shared" si="4"/>
        <v>Mencapai kompetensi dengan baik dalam hal</v>
      </c>
      <c r="AA18" s="23">
        <v>75</v>
      </c>
      <c r="AB18" s="18" t="str">
        <f t="shared" si="4"/>
        <v>Mencapai kompetensi dengan baik dalam hal</v>
      </c>
      <c r="AC18" s="23">
        <v>81</v>
      </c>
      <c r="AD18" s="18" t="str">
        <f t="shared" si="4"/>
        <v>Mencapai kompetensi dengan baik dalam hal</v>
      </c>
      <c r="AE18" s="23">
        <v>79</v>
      </c>
      <c r="AF18" s="18" t="str">
        <f t="shared" si="4"/>
        <v>Mencapai kompetensi dengan baik dalam hal</v>
      </c>
      <c r="AG18" s="23">
        <v>76</v>
      </c>
      <c r="AH18" s="18" t="str">
        <f t="shared" si="11"/>
        <v>Mencapai kompetensi dengan baik dalam hal</v>
      </c>
      <c r="AI18" s="23">
        <v>80</v>
      </c>
      <c r="AJ18" s="18" t="str">
        <f t="shared" si="5"/>
        <v>Mencapai kompetensi dengan baik dalam hal</v>
      </c>
      <c r="AK18" s="62">
        <f t="shared" si="10"/>
        <v>78.333333333333329</v>
      </c>
      <c r="AL18" s="23">
        <v>75</v>
      </c>
      <c r="AM18" s="18" t="str">
        <f t="shared" si="6"/>
        <v>Mencapai kompetensi dengan baik dalam hal</v>
      </c>
      <c r="AN18" s="23">
        <v>75</v>
      </c>
      <c r="AO18" s="18" t="str">
        <f t="shared" si="7"/>
        <v>Mencapai kompetensi dengan baik dalam hal</v>
      </c>
      <c r="AP18" s="113">
        <v>4</v>
      </c>
      <c r="AQ18" s="113" t="s">
        <v>81</v>
      </c>
      <c r="AR18" s="113" t="s">
        <v>81</v>
      </c>
      <c r="AS18" s="23">
        <v>1</v>
      </c>
      <c r="AT18" s="23" t="s">
        <v>82</v>
      </c>
      <c r="AU18" s="18" t="s">
        <v>83</v>
      </c>
      <c r="AV18" s="23" t="s">
        <v>84</v>
      </c>
      <c r="AW18" s="18" t="str">
        <f t="shared" si="8"/>
        <v>Baik</v>
      </c>
      <c r="AX18" s="23">
        <v>2</v>
      </c>
      <c r="AY18" s="18" t="s">
        <v>429</v>
      </c>
      <c r="AZ18" s="18" t="s">
        <v>83</v>
      </c>
      <c r="BA18" s="23" t="s">
        <v>86</v>
      </c>
      <c r="BB18" s="18" t="str">
        <f t="shared" si="9"/>
        <v>Sangat baik</v>
      </c>
      <c r="BC18" s="23"/>
      <c r="BD18" s="23"/>
      <c r="BE18" s="23"/>
      <c r="BF18" s="23"/>
      <c r="BG18" s="18"/>
      <c r="BH18" s="54"/>
    </row>
    <row r="19" spans="1:60" ht="24.95" customHeight="1" x14ac:dyDescent="0.25">
      <c r="A19" s="23">
        <v>18</v>
      </c>
      <c r="B19" s="23">
        <v>2525851</v>
      </c>
      <c r="C19" s="23" t="s">
        <v>798</v>
      </c>
      <c r="D19" s="18" t="s">
        <v>799</v>
      </c>
      <c r="E19" s="23" t="s">
        <v>762</v>
      </c>
      <c r="F19" s="23" t="s">
        <v>763</v>
      </c>
      <c r="G19" s="23" t="s">
        <v>764</v>
      </c>
      <c r="H19" s="23" t="s">
        <v>765</v>
      </c>
      <c r="I19" s="60" t="s">
        <v>76</v>
      </c>
      <c r="J19" s="61" t="s">
        <v>77</v>
      </c>
      <c r="K19" s="23">
        <v>81</v>
      </c>
      <c r="L19" s="18" t="str">
        <f t="shared" si="0"/>
        <v>Mencapai kompetensi dengan baik dalam hal</v>
      </c>
      <c r="M19" s="23">
        <v>75</v>
      </c>
      <c r="N19" s="18" t="str">
        <f t="shared" si="1"/>
        <v>Mencapai kompetensi dengan baik dalam hal</v>
      </c>
      <c r="O19" s="23">
        <v>75</v>
      </c>
      <c r="P19" s="18" t="str">
        <f t="shared" si="2"/>
        <v>Mencapai kompetensi dengan baik dalam hal</v>
      </c>
      <c r="Q19" s="23">
        <v>79</v>
      </c>
      <c r="R19" s="18" t="str">
        <f t="shared" si="3"/>
        <v>Mencapai kompetensi dengan baik dalam hal</v>
      </c>
      <c r="S19" s="23">
        <v>85</v>
      </c>
      <c r="T19" s="18" t="str">
        <f t="shared" si="4"/>
        <v>Mencapai kompetensi dengan baik dalam hal</v>
      </c>
      <c r="U19" s="23">
        <v>75</v>
      </c>
      <c r="V19" s="18" t="str">
        <f t="shared" si="4"/>
        <v>Mencapai kompetensi dengan baik dalam hal</v>
      </c>
      <c r="W19" s="23">
        <v>75</v>
      </c>
      <c r="X19" s="18" t="str">
        <f t="shared" si="4"/>
        <v>Mencapai kompetensi dengan baik dalam hal</v>
      </c>
      <c r="Y19" s="23">
        <v>75</v>
      </c>
      <c r="Z19" s="18" t="str">
        <f t="shared" si="4"/>
        <v>Mencapai kompetensi dengan baik dalam hal</v>
      </c>
      <c r="AA19" s="23">
        <v>84</v>
      </c>
      <c r="AB19" s="18" t="str">
        <f t="shared" si="4"/>
        <v>Mencapai kompetensi dengan baik dalam hal</v>
      </c>
      <c r="AC19" s="23">
        <v>84</v>
      </c>
      <c r="AD19" s="18" t="str">
        <f t="shared" si="4"/>
        <v>Mencapai kompetensi dengan baik dalam hal</v>
      </c>
      <c r="AE19" s="23">
        <v>80</v>
      </c>
      <c r="AF19" s="18" t="str">
        <f t="shared" si="4"/>
        <v>Mencapai kompetensi dengan baik dalam hal</v>
      </c>
      <c r="AG19" s="23">
        <v>77</v>
      </c>
      <c r="AH19" s="18" t="str">
        <f t="shared" si="11"/>
        <v>Mencapai kompetensi dengan baik dalam hal</v>
      </c>
      <c r="AI19" s="23">
        <v>82</v>
      </c>
      <c r="AJ19" s="18" t="str">
        <f t="shared" si="5"/>
        <v>Mencapai kompetensi dengan baik dalam hal</v>
      </c>
      <c r="AK19" s="62">
        <f t="shared" si="10"/>
        <v>79.666666666666671</v>
      </c>
      <c r="AL19" s="23">
        <v>84</v>
      </c>
      <c r="AM19" s="18" t="str">
        <f t="shared" si="6"/>
        <v>Mencapai kompetensi dengan baik dalam hal</v>
      </c>
      <c r="AN19" s="23">
        <v>75</v>
      </c>
      <c r="AO19" s="18" t="str">
        <f t="shared" si="7"/>
        <v>Mencapai kompetensi dengan baik dalam hal</v>
      </c>
      <c r="AP19" s="113">
        <v>1</v>
      </c>
      <c r="AQ19" s="113" t="s">
        <v>81</v>
      </c>
      <c r="AR19" s="113" t="s">
        <v>81</v>
      </c>
      <c r="AS19" s="23">
        <v>1</v>
      </c>
      <c r="AT19" s="23" t="s">
        <v>82</v>
      </c>
      <c r="AU19" s="18" t="s">
        <v>83</v>
      </c>
      <c r="AV19" s="23" t="s">
        <v>86</v>
      </c>
      <c r="AW19" s="18" t="str">
        <f t="shared" si="8"/>
        <v>Sangat baik</v>
      </c>
      <c r="AX19" s="23">
        <v>2</v>
      </c>
      <c r="AY19" s="18" t="s">
        <v>116</v>
      </c>
      <c r="AZ19" s="18" t="s">
        <v>83</v>
      </c>
      <c r="BA19" s="23" t="s">
        <v>86</v>
      </c>
      <c r="BB19" s="18" t="str">
        <f t="shared" si="9"/>
        <v>Sangat baik</v>
      </c>
      <c r="BC19" s="23"/>
      <c r="BD19" s="23"/>
      <c r="BE19" s="23"/>
      <c r="BF19" s="23"/>
      <c r="BG19" s="18"/>
      <c r="BH19" s="54"/>
    </row>
    <row r="20" spans="1:60" ht="24.95" customHeight="1" x14ac:dyDescent="0.25">
      <c r="A20" s="23">
        <v>19</v>
      </c>
      <c r="B20" s="23">
        <v>2525852</v>
      </c>
      <c r="C20" s="23" t="s">
        <v>800</v>
      </c>
      <c r="D20" s="18" t="s">
        <v>801</v>
      </c>
      <c r="E20" s="23" t="s">
        <v>762</v>
      </c>
      <c r="F20" s="23" t="s">
        <v>763</v>
      </c>
      <c r="G20" s="23" t="s">
        <v>764</v>
      </c>
      <c r="H20" s="23" t="s">
        <v>765</v>
      </c>
      <c r="I20" s="60" t="s">
        <v>76</v>
      </c>
      <c r="J20" s="61" t="s">
        <v>77</v>
      </c>
      <c r="K20" s="23">
        <v>76</v>
      </c>
      <c r="L20" s="18" t="str">
        <f t="shared" si="0"/>
        <v>Mencapai kompetensi dengan baik dalam hal</v>
      </c>
      <c r="M20" s="23">
        <v>75</v>
      </c>
      <c r="N20" s="18" t="str">
        <f t="shared" si="1"/>
        <v>Mencapai kompetensi dengan baik dalam hal</v>
      </c>
      <c r="O20" s="23">
        <v>75</v>
      </c>
      <c r="P20" s="18" t="str">
        <f t="shared" si="2"/>
        <v>Mencapai kompetensi dengan baik dalam hal</v>
      </c>
      <c r="Q20" s="23">
        <v>78</v>
      </c>
      <c r="R20" s="18" t="str">
        <f t="shared" si="3"/>
        <v>Mencapai kompetensi dengan baik dalam hal</v>
      </c>
      <c r="S20" s="23">
        <v>79</v>
      </c>
      <c r="T20" s="18" t="str">
        <f t="shared" si="4"/>
        <v>Mencapai kompetensi dengan baik dalam hal</v>
      </c>
      <c r="U20" s="23">
        <v>75</v>
      </c>
      <c r="V20" s="18" t="str">
        <f t="shared" si="4"/>
        <v>Mencapai kompetensi dengan baik dalam hal</v>
      </c>
      <c r="W20" s="23">
        <v>76</v>
      </c>
      <c r="X20" s="18" t="str">
        <f t="shared" si="4"/>
        <v>Mencapai kompetensi dengan baik dalam hal</v>
      </c>
      <c r="Y20" s="23">
        <v>76</v>
      </c>
      <c r="Z20" s="18" t="str">
        <f t="shared" si="4"/>
        <v>Mencapai kompetensi dengan baik dalam hal</v>
      </c>
      <c r="AA20" s="23">
        <v>77</v>
      </c>
      <c r="AB20" s="18" t="str">
        <f t="shared" si="4"/>
        <v>Mencapai kompetensi dengan baik dalam hal</v>
      </c>
      <c r="AC20" s="23">
        <v>86</v>
      </c>
      <c r="AD20" s="18" t="str">
        <f t="shared" si="4"/>
        <v>Mencapai kompetensi dengan baik dalam hal</v>
      </c>
      <c r="AE20" s="23">
        <v>79</v>
      </c>
      <c r="AF20" s="18" t="str">
        <f t="shared" si="4"/>
        <v>Mencapai kompetensi dengan baik dalam hal</v>
      </c>
      <c r="AG20" s="23">
        <v>80</v>
      </c>
      <c r="AH20" s="18" t="str">
        <f t="shared" si="11"/>
        <v>Mencapai kompetensi dengan baik dalam hal</v>
      </c>
      <c r="AI20" s="23">
        <v>80</v>
      </c>
      <c r="AJ20" s="18" t="str">
        <f t="shared" si="5"/>
        <v>Mencapai kompetensi dengan baik dalam hal</v>
      </c>
      <c r="AK20" s="62">
        <f t="shared" si="10"/>
        <v>79.666666666666671</v>
      </c>
      <c r="AL20" s="23">
        <v>77</v>
      </c>
      <c r="AM20" s="18" t="str">
        <f t="shared" si="6"/>
        <v>Mencapai kompetensi dengan baik dalam hal</v>
      </c>
      <c r="AN20" s="23">
        <v>75</v>
      </c>
      <c r="AO20" s="18" t="str">
        <f t="shared" si="7"/>
        <v>Mencapai kompetensi dengan baik dalam hal</v>
      </c>
      <c r="AP20" s="113" t="s">
        <v>81</v>
      </c>
      <c r="AQ20" s="113" t="s">
        <v>81</v>
      </c>
      <c r="AR20" s="113" t="s">
        <v>81</v>
      </c>
      <c r="AS20" s="23">
        <v>1</v>
      </c>
      <c r="AT20" s="23" t="s">
        <v>82</v>
      </c>
      <c r="AU20" s="18" t="s">
        <v>83</v>
      </c>
      <c r="AV20" s="23" t="s">
        <v>84</v>
      </c>
      <c r="AW20" s="18" t="str">
        <f t="shared" si="8"/>
        <v>Baik</v>
      </c>
      <c r="AX20" s="23">
        <v>2</v>
      </c>
      <c r="AY20" s="18" t="s">
        <v>103</v>
      </c>
      <c r="AZ20" s="18" t="s">
        <v>83</v>
      </c>
      <c r="BA20" s="23" t="s">
        <v>84</v>
      </c>
      <c r="BB20" s="18" t="str">
        <f t="shared" si="9"/>
        <v>Baik</v>
      </c>
      <c r="BC20" s="23"/>
      <c r="BD20" s="23"/>
      <c r="BE20" s="23"/>
      <c r="BF20" s="23"/>
      <c r="BG20" s="18"/>
      <c r="BH20" s="54"/>
    </row>
    <row r="21" spans="1:60" ht="24.95" customHeight="1" x14ac:dyDescent="0.25">
      <c r="A21" s="23">
        <v>20</v>
      </c>
      <c r="B21" s="23">
        <v>2525853</v>
      </c>
      <c r="C21" s="23" t="s">
        <v>802</v>
      </c>
      <c r="D21" s="18" t="s">
        <v>803</v>
      </c>
      <c r="E21" s="23" t="s">
        <v>762</v>
      </c>
      <c r="F21" s="23" t="s">
        <v>763</v>
      </c>
      <c r="G21" s="23" t="s">
        <v>764</v>
      </c>
      <c r="H21" s="23" t="s">
        <v>765</v>
      </c>
      <c r="I21" s="60" t="s">
        <v>76</v>
      </c>
      <c r="J21" s="61" t="s">
        <v>77</v>
      </c>
      <c r="K21" s="23">
        <v>76</v>
      </c>
      <c r="L21" s="18" t="str">
        <f t="shared" si="0"/>
        <v>Mencapai kompetensi dengan baik dalam hal</v>
      </c>
      <c r="M21" s="23">
        <v>75</v>
      </c>
      <c r="N21" s="18" t="str">
        <f t="shared" si="1"/>
        <v>Mencapai kompetensi dengan baik dalam hal</v>
      </c>
      <c r="O21" s="23">
        <v>75</v>
      </c>
      <c r="P21" s="18" t="str">
        <f t="shared" si="2"/>
        <v>Mencapai kompetensi dengan baik dalam hal</v>
      </c>
      <c r="Q21" s="23">
        <v>79</v>
      </c>
      <c r="R21" s="18" t="str">
        <f t="shared" si="3"/>
        <v>Mencapai kompetensi dengan baik dalam hal</v>
      </c>
      <c r="S21" s="23">
        <v>81</v>
      </c>
      <c r="T21" s="18" t="str">
        <f t="shared" si="4"/>
        <v>Mencapai kompetensi dengan baik dalam hal</v>
      </c>
      <c r="U21" s="23">
        <v>75</v>
      </c>
      <c r="V21" s="18" t="str">
        <f t="shared" si="4"/>
        <v>Mencapai kompetensi dengan baik dalam hal</v>
      </c>
      <c r="W21" s="23">
        <v>75</v>
      </c>
      <c r="X21" s="18" t="str">
        <f t="shared" si="4"/>
        <v>Mencapai kompetensi dengan baik dalam hal</v>
      </c>
      <c r="Y21" s="23">
        <v>79</v>
      </c>
      <c r="Z21" s="18" t="str">
        <f t="shared" si="4"/>
        <v>Mencapai kompetensi dengan baik dalam hal</v>
      </c>
      <c r="AA21" s="23">
        <v>76</v>
      </c>
      <c r="AB21" s="18" t="str">
        <f t="shared" si="4"/>
        <v>Mencapai kompetensi dengan baik dalam hal</v>
      </c>
      <c r="AC21" s="23">
        <v>85</v>
      </c>
      <c r="AD21" s="18" t="str">
        <f t="shared" si="4"/>
        <v>Mencapai kompetensi dengan baik dalam hal</v>
      </c>
      <c r="AE21" s="23">
        <v>79</v>
      </c>
      <c r="AF21" s="18" t="str">
        <f t="shared" si="4"/>
        <v>Mencapai kompetensi dengan baik dalam hal</v>
      </c>
      <c r="AG21" s="23">
        <v>81</v>
      </c>
      <c r="AH21" s="18" t="str">
        <f t="shared" si="11"/>
        <v>Mencapai kompetensi dengan baik dalam hal</v>
      </c>
      <c r="AI21" s="23">
        <v>80</v>
      </c>
      <c r="AJ21" s="18" t="str">
        <f t="shared" si="5"/>
        <v>Mencapai kompetensi dengan baik dalam hal</v>
      </c>
      <c r="AK21" s="62">
        <f t="shared" si="10"/>
        <v>80</v>
      </c>
      <c r="AL21" s="23">
        <v>76</v>
      </c>
      <c r="AM21" s="18" t="str">
        <f t="shared" si="6"/>
        <v>Mencapai kompetensi dengan baik dalam hal</v>
      </c>
      <c r="AN21" s="23">
        <v>76</v>
      </c>
      <c r="AO21" s="18" t="str">
        <f t="shared" si="7"/>
        <v>Mencapai kompetensi dengan baik dalam hal</v>
      </c>
      <c r="AP21" s="113" t="s">
        <v>81</v>
      </c>
      <c r="AQ21" s="113" t="s">
        <v>81</v>
      </c>
      <c r="AR21" s="113" t="s">
        <v>81</v>
      </c>
      <c r="AS21" s="23">
        <v>1</v>
      </c>
      <c r="AT21" s="23" t="s">
        <v>82</v>
      </c>
      <c r="AU21" s="18" t="s">
        <v>83</v>
      </c>
      <c r="AV21" s="23" t="s">
        <v>86</v>
      </c>
      <c r="AW21" s="18" t="str">
        <f t="shared" si="8"/>
        <v>Sangat baik</v>
      </c>
      <c r="AX21" s="23">
        <v>2</v>
      </c>
      <c r="AY21" s="18" t="s">
        <v>103</v>
      </c>
      <c r="AZ21" s="18" t="s">
        <v>83</v>
      </c>
      <c r="BA21" s="23" t="s">
        <v>84</v>
      </c>
      <c r="BB21" s="18" t="str">
        <f t="shared" si="9"/>
        <v>Baik</v>
      </c>
      <c r="BC21" s="23"/>
      <c r="BD21" s="23"/>
      <c r="BE21" s="23"/>
      <c r="BF21" s="23"/>
      <c r="BG21" s="18"/>
      <c r="BH21" s="54"/>
    </row>
    <row r="22" spans="1:60" ht="24.95" customHeight="1" x14ac:dyDescent="0.25">
      <c r="A22" s="23">
        <v>21</v>
      </c>
      <c r="B22" s="23">
        <v>2525854</v>
      </c>
      <c r="C22" s="23" t="s">
        <v>804</v>
      </c>
      <c r="D22" s="18" t="s">
        <v>805</v>
      </c>
      <c r="E22" s="23" t="s">
        <v>762</v>
      </c>
      <c r="F22" s="23" t="s">
        <v>763</v>
      </c>
      <c r="G22" s="23" t="s">
        <v>764</v>
      </c>
      <c r="H22" s="23" t="s">
        <v>765</v>
      </c>
      <c r="I22" s="60" t="s">
        <v>76</v>
      </c>
      <c r="J22" s="61" t="s">
        <v>77</v>
      </c>
      <c r="K22" s="23">
        <v>75</v>
      </c>
      <c r="L22" s="18" t="str">
        <f t="shared" si="0"/>
        <v>Mencapai kompetensi dengan baik dalam hal</v>
      </c>
      <c r="M22" s="23">
        <v>75</v>
      </c>
      <c r="N22" s="18" t="str">
        <f t="shared" si="1"/>
        <v>Mencapai kompetensi dengan baik dalam hal</v>
      </c>
      <c r="O22" s="23">
        <v>75</v>
      </c>
      <c r="P22" s="18" t="str">
        <f t="shared" si="2"/>
        <v>Mencapai kompetensi dengan baik dalam hal</v>
      </c>
      <c r="Q22" s="23">
        <v>78</v>
      </c>
      <c r="R22" s="18" t="str">
        <f t="shared" si="3"/>
        <v>Mencapai kompetensi dengan baik dalam hal</v>
      </c>
      <c r="S22" s="23">
        <v>77</v>
      </c>
      <c r="T22" s="18" t="str">
        <f t="shared" si="4"/>
        <v>Mencapai kompetensi dengan baik dalam hal</v>
      </c>
      <c r="U22" s="23">
        <v>78</v>
      </c>
      <c r="V22" s="18" t="str">
        <f t="shared" si="4"/>
        <v>Mencapai kompetensi dengan baik dalam hal</v>
      </c>
      <c r="W22" s="23">
        <v>75</v>
      </c>
      <c r="X22" s="18" t="str">
        <f t="shared" si="4"/>
        <v>Mencapai kompetensi dengan baik dalam hal</v>
      </c>
      <c r="Y22" s="23">
        <v>78</v>
      </c>
      <c r="Z22" s="18" t="str">
        <f t="shared" si="4"/>
        <v>Mencapai kompetensi dengan baik dalam hal</v>
      </c>
      <c r="AA22" s="23">
        <v>77</v>
      </c>
      <c r="AB22" s="18" t="str">
        <f t="shared" si="4"/>
        <v>Mencapai kompetensi dengan baik dalam hal</v>
      </c>
      <c r="AC22" s="23">
        <v>85</v>
      </c>
      <c r="AD22" s="18" t="str">
        <f t="shared" si="4"/>
        <v>Mencapai kompetensi dengan baik dalam hal</v>
      </c>
      <c r="AE22" s="23">
        <v>79</v>
      </c>
      <c r="AF22" s="18" t="str">
        <f t="shared" si="4"/>
        <v>Mencapai kompetensi dengan baik dalam hal</v>
      </c>
      <c r="AG22" s="23">
        <v>76</v>
      </c>
      <c r="AH22" s="18" t="str">
        <f t="shared" si="11"/>
        <v>Mencapai kompetensi dengan baik dalam hal</v>
      </c>
      <c r="AI22" s="23">
        <v>80</v>
      </c>
      <c r="AJ22" s="18" t="str">
        <f t="shared" si="5"/>
        <v>Mencapai kompetensi dengan baik dalam hal</v>
      </c>
      <c r="AK22" s="62">
        <f t="shared" si="10"/>
        <v>78.333333333333329</v>
      </c>
      <c r="AL22" s="23">
        <v>77</v>
      </c>
      <c r="AM22" s="18" t="str">
        <f t="shared" si="6"/>
        <v>Mencapai kompetensi dengan baik dalam hal</v>
      </c>
      <c r="AN22" s="23">
        <v>75</v>
      </c>
      <c r="AO22" s="18" t="str">
        <f t="shared" si="7"/>
        <v>Mencapai kompetensi dengan baik dalam hal</v>
      </c>
      <c r="AP22" s="113" t="s">
        <v>81</v>
      </c>
      <c r="AQ22" s="113" t="s">
        <v>81</v>
      </c>
      <c r="AR22" s="113" t="s">
        <v>81</v>
      </c>
      <c r="AS22" s="23">
        <v>1</v>
      </c>
      <c r="AT22" s="23" t="s">
        <v>82</v>
      </c>
      <c r="AU22" s="18" t="s">
        <v>83</v>
      </c>
      <c r="AV22" s="23" t="s">
        <v>84</v>
      </c>
      <c r="AW22" s="18" t="str">
        <f t="shared" si="8"/>
        <v>Baik</v>
      </c>
      <c r="AX22" s="23">
        <v>2</v>
      </c>
      <c r="AY22" s="18" t="s">
        <v>429</v>
      </c>
      <c r="AZ22" s="18" t="s">
        <v>83</v>
      </c>
      <c r="BA22" s="23" t="s">
        <v>86</v>
      </c>
      <c r="BB22" s="18" t="str">
        <f t="shared" si="9"/>
        <v>Sangat baik</v>
      </c>
      <c r="BC22" s="23"/>
      <c r="BD22" s="23"/>
      <c r="BE22" s="23"/>
      <c r="BF22" s="23"/>
      <c r="BG22" s="18"/>
      <c r="BH22" s="54"/>
    </row>
    <row r="23" spans="1:60" ht="24.95" customHeight="1" x14ac:dyDescent="0.25">
      <c r="A23" s="23">
        <v>22</v>
      </c>
      <c r="B23" s="23">
        <v>2525855</v>
      </c>
      <c r="C23" s="23" t="s">
        <v>806</v>
      </c>
      <c r="D23" s="18" t="s">
        <v>807</v>
      </c>
      <c r="E23" s="23" t="s">
        <v>762</v>
      </c>
      <c r="F23" s="23" t="s">
        <v>763</v>
      </c>
      <c r="G23" s="23" t="s">
        <v>764</v>
      </c>
      <c r="H23" s="23" t="s">
        <v>765</v>
      </c>
      <c r="I23" s="60" t="s">
        <v>76</v>
      </c>
      <c r="J23" s="61" t="s">
        <v>77</v>
      </c>
      <c r="K23" s="23">
        <v>75</v>
      </c>
      <c r="L23" s="18" t="str">
        <f t="shared" si="0"/>
        <v>Mencapai kompetensi dengan baik dalam hal</v>
      </c>
      <c r="M23" s="23">
        <v>75</v>
      </c>
      <c r="N23" s="18" t="str">
        <f t="shared" si="1"/>
        <v>Mencapai kompetensi dengan baik dalam hal</v>
      </c>
      <c r="O23" s="23">
        <v>75</v>
      </c>
      <c r="P23" s="18" t="str">
        <f t="shared" si="2"/>
        <v>Mencapai kompetensi dengan baik dalam hal</v>
      </c>
      <c r="Q23" s="23">
        <v>80</v>
      </c>
      <c r="R23" s="18" t="str">
        <f t="shared" si="3"/>
        <v>Mencapai kompetensi dengan baik dalam hal</v>
      </c>
      <c r="S23" s="23">
        <v>77</v>
      </c>
      <c r="T23" s="18" t="str">
        <f t="shared" si="4"/>
        <v>Mencapai kompetensi dengan baik dalam hal</v>
      </c>
      <c r="U23" s="23">
        <v>75</v>
      </c>
      <c r="V23" s="18" t="str">
        <f t="shared" si="4"/>
        <v>Mencapai kompetensi dengan baik dalam hal</v>
      </c>
      <c r="W23" s="23">
        <v>78</v>
      </c>
      <c r="X23" s="18" t="str">
        <f t="shared" si="4"/>
        <v>Mencapai kompetensi dengan baik dalam hal</v>
      </c>
      <c r="Y23" s="23">
        <v>75</v>
      </c>
      <c r="Z23" s="18" t="str">
        <f t="shared" si="4"/>
        <v>Mencapai kompetensi dengan baik dalam hal</v>
      </c>
      <c r="AA23" s="23">
        <v>78</v>
      </c>
      <c r="AB23" s="18" t="str">
        <f t="shared" si="4"/>
        <v>Mencapai kompetensi dengan baik dalam hal</v>
      </c>
      <c r="AC23" s="23">
        <v>82</v>
      </c>
      <c r="AD23" s="18" t="str">
        <f t="shared" si="4"/>
        <v>Mencapai kompetensi dengan baik dalam hal</v>
      </c>
      <c r="AE23" s="23">
        <v>80</v>
      </c>
      <c r="AF23" s="18" t="str">
        <f t="shared" si="4"/>
        <v>Mencapai kompetensi dengan baik dalam hal</v>
      </c>
      <c r="AG23" s="23">
        <v>80</v>
      </c>
      <c r="AH23" s="18" t="str">
        <f t="shared" si="11"/>
        <v>Mencapai kompetensi dengan baik dalam hal</v>
      </c>
      <c r="AI23" s="23">
        <v>83</v>
      </c>
      <c r="AJ23" s="18" t="str">
        <f t="shared" si="5"/>
        <v>Mencapai kompetensi dengan baik dalam hal</v>
      </c>
      <c r="AK23" s="62">
        <f t="shared" si="10"/>
        <v>81</v>
      </c>
      <c r="AL23" s="23">
        <v>78</v>
      </c>
      <c r="AM23" s="18" t="str">
        <f t="shared" si="6"/>
        <v>Mencapai kompetensi dengan baik dalam hal</v>
      </c>
      <c r="AN23" s="23">
        <v>75</v>
      </c>
      <c r="AO23" s="18" t="str">
        <f t="shared" si="7"/>
        <v>Mencapai kompetensi dengan baik dalam hal</v>
      </c>
      <c r="AP23" s="113">
        <v>1</v>
      </c>
      <c r="AQ23" s="113" t="s">
        <v>81</v>
      </c>
      <c r="AR23" s="113" t="s">
        <v>81</v>
      </c>
      <c r="AS23" s="23">
        <v>1</v>
      </c>
      <c r="AT23" s="23" t="s">
        <v>82</v>
      </c>
      <c r="AU23" s="18" t="s">
        <v>83</v>
      </c>
      <c r="AV23" s="23" t="s">
        <v>104</v>
      </c>
      <c r="AW23" s="18" t="str">
        <f t="shared" si="8"/>
        <v>Cukup</v>
      </c>
      <c r="AX23" s="23">
        <v>2</v>
      </c>
      <c r="AY23" s="18" t="s">
        <v>99</v>
      </c>
      <c r="AZ23" s="18" t="s">
        <v>83</v>
      </c>
      <c r="BA23" s="23" t="s">
        <v>84</v>
      </c>
      <c r="BB23" s="18" t="str">
        <f t="shared" si="9"/>
        <v>Baik</v>
      </c>
      <c r="BC23" s="23"/>
      <c r="BD23" s="23"/>
      <c r="BE23" s="23"/>
      <c r="BF23" s="23"/>
      <c r="BG23" s="18"/>
      <c r="BH23" s="54"/>
    </row>
    <row r="24" spans="1:60" ht="24.95" customHeight="1" x14ac:dyDescent="0.25">
      <c r="A24" s="23">
        <v>23</v>
      </c>
      <c r="B24" s="23">
        <v>2525856</v>
      </c>
      <c r="C24" s="23" t="s">
        <v>808</v>
      </c>
      <c r="D24" s="18" t="s">
        <v>809</v>
      </c>
      <c r="E24" s="23" t="s">
        <v>762</v>
      </c>
      <c r="F24" s="23" t="s">
        <v>763</v>
      </c>
      <c r="G24" s="23" t="s">
        <v>764</v>
      </c>
      <c r="H24" s="23" t="s">
        <v>765</v>
      </c>
      <c r="I24" s="60" t="s">
        <v>76</v>
      </c>
      <c r="J24" s="61" t="s">
        <v>77</v>
      </c>
      <c r="K24" s="23">
        <v>76</v>
      </c>
      <c r="L24" s="18" t="str">
        <f t="shared" si="0"/>
        <v>Mencapai kompetensi dengan baik dalam hal</v>
      </c>
      <c r="M24" s="23">
        <v>77</v>
      </c>
      <c r="N24" s="18" t="str">
        <f t="shared" si="1"/>
        <v>Mencapai kompetensi dengan baik dalam hal</v>
      </c>
      <c r="O24" s="23">
        <v>75</v>
      </c>
      <c r="P24" s="18" t="str">
        <f t="shared" si="2"/>
        <v>Mencapai kompetensi dengan baik dalam hal</v>
      </c>
      <c r="Q24" s="23">
        <v>78</v>
      </c>
      <c r="R24" s="18" t="str">
        <f t="shared" si="3"/>
        <v>Mencapai kompetensi dengan baik dalam hal</v>
      </c>
      <c r="S24" s="23">
        <v>80</v>
      </c>
      <c r="T24" s="18" t="str">
        <f t="shared" si="4"/>
        <v>Mencapai kompetensi dengan baik dalam hal</v>
      </c>
      <c r="U24" s="23">
        <v>75</v>
      </c>
      <c r="V24" s="18" t="str">
        <f t="shared" si="4"/>
        <v>Mencapai kompetensi dengan baik dalam hal</v>
      </c>
      <c r="W24" s="23">
        <v>75</v>
      </c>
      <c r="X24" s="18" t="str">
        <f t="shared" si="4"/>
        <v>Mencapai kompetensi dengan baik dalam hal</v>
      </c>
      <c r="Y24" s="23">
        <v>81</v>
      </c>
      <c r="Z24" s="18" t="str">
        <f t="shared" si="4"/>
        <v>Mencapai kompetensi dengan baik dalam hal</v>
      </c>
      <c r="AA24" s="23">
        <v>78</v>
      </c>
      <c r="AB24" s="18" t="str">
        <f t="shared" si="4"/>
        <v>Mencapai kompetensi dengan baik dalam hal</v>
      </c>
      <c r="AC24" s="23">
        <v>85</v>
      </c>
      <c r="AD24" s="18" t="str">
        <f t="shared" si="4"/>
        <v>Mencapai kompetensi dengan baik dalam hal</v>
      </c>
      <c r="AE24" s="23">
        <v>82</v>
      </c>
      <c r="AF24" s="18" t="str">
        <f t="shared" si="4"/>
        <v>Mencapai kompetensi dengan baik dalam hal</v>
      </c>
      <c r="AG24" s="23">
        <v>76</v>
      </c>
      <c r="AH24" s="18" t="str">
        <f t="shared" si="11"/>
        <v>Mencapai kompetensi dengan baik dalam hal</v>
      </c>
      <c r="AI24" s="23">
        <v>80</v>
      </c>
      <c r="AJ24" s="18" t="str">
        <f t="shared" si="5"/>
        <v>Mencapai kompetensi dengan baik dalam hal</v>
      </c>
      <c r="AK24" s="62">
        <f t="shared" si="10"/>
        <v>79.333333333333329</v>
      </c>
      <c r="AL24" s="23">
        <v>78</v>
      </c>
      <c r="AM24" s="18" t="str">
        <f t="shared" si="6"/>
        <v>Mencapai kompetensi dengan baik dalam hal</v>
      </c>
      <c r="AN24" s="23">
        <v>80</v>
      </c>
      <c r="AO24" s="18" t="str">
        <f t="shared" si="7"/>
        <v>Mencapai kompetensi dengan baik dalam hal</v>
      </c>
      <c r="AP24" s="113" t="s">
        <v>81</v>
      </c>
      <c r="AQ24" s="113" t="s">
        <v>81</v>
      </c>
      <c r="AR24" s="113" t="s">
        <v>81</v>
      </c>
      <c r="AS24" s="23">
        <v>1</v>
      </c>
      <c r="AT24" s="23" t="s">
        <v>82</v>
      </c>
      <c r="AU24" s="18" t="s">
        <v>83</v>
      </c>
      <c r="AV24" s="23" t="s">
        <v>86</v>
      </c>
      <c r="AW24" s="18" t="str">
        <f t="shared" si="8"/>
        <v>Sangat baik</v>
      </c>
      <c r="AX24" s="23">
        <v>2</v>
      </c>
      <c r="AY24" s="18" t="s">
        <v>429</v>
      </c>
      <c r="AZ24" s="18" t="s">
        <v>83</v>
      </c>
      <c r="BA24" s="23" t="s">
        <v>86</v>
      </c>
      <c r="BB24" s="18" t="str">
        <f t="shared" si="9"/>
        <v>Sangat baik</v>
      </c>
      <c r="BC24" s="23"/>
      <c r="BD24" s="23"/>
      <c r="BE24" s="23"/>
      <c r="BF24" s="23"/>
      <c r="BG24" s="18"/>
      <c r="BH24" s="54"/>
    </row>
    <row r="25" spans="1:60" ht="24.95" customHeight="1" x14ac:dyDescent="0.25">
      <c r="A25" s="23">
        <v>24</v>
      </c>
      <c r="B25" s="23">
        <v>2525857</v>
      </c>
      <c r="C25" s="23" t="s">
        <v>810</v>
      </c>
      <c r="D25" s="18" t="s">
        <v>811</v>
      </c>
      <c r="E25" s="23" t="s">
        <v>762</v>
      </c>
      <c r="F25" s="23" t="s">
        <v>763</v>
      </c>
      <c r="G25" s="23" t="s">
        <v>764</v>
      </c>
      <c r="H25" s="23" t="s">
        <v>765</v>
      </c>
      <c r="I25" s="60" t="s">
        <v>76</v>
      </c>
      <c r="J25" s="61" t="s">
        <v>77</v>
      </c>
      <c r="K25" s="23">
        <v>75</v>
      </c>
      <c r="L25" s="18" t="str">
        <f t="shared" si="0"/>
        <v>Mencapai kompetensi dengan baik dalam hal</v>
      </c>
      <c r="M25" s="23">
        <v>75</v>
      </c>
      <c r="N25" s="18" t="str">
        <f t="shared" si="1"/>
        <v>Mencapai kompetensi dengan baik dalam hal</v>
      </c>
      <c r="O25" s="23">
        <v>75</v>
      </c>
      <c r="P25" s="18" t="str">
        <f t="shared" si="2"/>
        <v>Mencapai kompetensi dengan baik dalam hal</v>
      </c>
      <c r="Q25" s="23">
        <v>78</v>
      </c>
      <c r="R25" s="18" t="str">
        <f t="shared" si="3"/>
        <v>Mencapai kompetensi dengan baik dalam hal</v>
      </c>
      <c r="S25" s="23">
        <v>76</v>
      </c>
      <c r="T25" s="18" t="str">
        <f t="shared" si="4"/>
        <v>Mencapai kompetensi dengan baik dalam hal</v>
      </c>
      <c r="U25" s="23">
        <v>76</v>
      </c>
      <c r="V25" s="18" t="str">
        <f t="shared" si="4"/>
        <v>Mencapai kompetensi dengan baik dalam hal</v>
      </c>
      <c r="W25" s="23">
        <v>75</v>
      </c>
      <c r="X25" s="18" t="str">
        <f t="shared" si="4"/>
        <v>Mencapai kompetensi dengan baik dalam hal</v>
      </c>
      <c r="Y25" s="23">
        <v>76</v>
      </c>
      <c r="Z25" s="18" t="str">
        <f t="shared" si="4"/>
        <v>Mencapai kompetensi dengan baik dalam hal</v>
      </c>
      <c r="AA25" s="23">
        <v>82</v>
      </c>
      <c r="AB25" s="18" t="str">
        <f t="shared" si="4"/>
        <v>Mencapai kompetensi dengan baik dalam hal</v>
      </c>
      <c r="AC25" s="23">
        <v>83</v>
      </c>
      <c r="AD25" s="18" t="str">
        <f t="shared" si="4"/>
        <v>Mencapai kompetensi dengan baik dalam hal</v>
      </c>
      <c r="AE25" s="23">
        <v>77</v>
      </c>
      <c r="AF25" s="18" t="str">
        <f t="shared" si="4"/>
        <v>Mencapai kompetensi dengan baik dalam hal</v>
      </c>
      <c r="AG25" s="23">
        <v>76</v>
      </c>
      <c r="AH25" s="18" t="str">
        <f t="shared" si="11"/>
        <v>Mencapai kompetensi dengan baik dalam hal</v>
      </c>
      <c r="AI25" s="23">
        <v>81</v>
      </c>
      <c r="AJ25" s="18" t="str">
        <f t="shared" si="5"/>
        <v>Mencapai kompetensi dengan baik dalam hal</v>
      </c>
      <c r="AK25" s="62">
        <f t="shared" si="10"/>
        <v>78</v>
      </c>
      <c r="AL25" s="23">
        <v>82</v>
      </c>
      <c r="AM25" s="18" t="str">
        <f t="shared" si="6"/>
        <v>Mencapai kompetensi dengan baik dalam hal</v>
      </c>
      <c r="AN25" s="23">
        <v>75</v>
      </c>
      <c r="AO25" s="18" t="str">
        <f t="shared" si="7"/>
        <v>Mencapai kompetensi dengan baik dalam hal</v>
      </c>
      <c r="AP25" s="113" t="s">
        <v>81</v>
      </c>
      <c r="AQ25" s="113" t="s">
        <v>81</v>
      </c>
      <c r="AR25" s="113" t="s">
        <v>81</v>
      </c>
      <c r="AS25" s="23">
        <v>1</v>
      </c>
      <c r="AT25" s="23" t="s">
        <v>82</v>
      </c>
      <c r="AU25" s="18" t="s">
        <v>83</v>
      </c>
      <c r="AV25" s="23" t="s">
        <v>84</v>
      </c>
      <c r="AW25" s="18" t="str">
        <f t="shared" si="8"/>
        <v>Baik</v>
      </c>
      <c r="AX25" s="23">
        <v>2</v>
      </c>
      <c r="AY25" s="18" t="s">
        <v>170</v>
      </c>
      <c r="AZ25" s="18" t="s">
        <v>83</v>
      </c>
      <c r="BA25" s="23" t="s">
        <v>104</v>
      </c>
      <c r="BB25" s="18" t="str">
        <f t="shared" si="9"/>
        <v>Cukup</v>
      </c>
      <c r="BC25" s="23"/>
      <c r="BD25" s="23"/>
      <c r="BE25" s="23"/>
      <c r="BF25" s="23"/>
      <c r="BG25" s="18"/>
      <c r="BH25" s="54"/>
    </row>
    <row r="26" spans="1:60" ht="24.95" customHeight="1" x14ac:dyDescent="0.25">
      <c r="A26" s="23">
        <v>25</v>
      </c>
      <c r="B26" s="23">
        <v>2525858</v>
      </c>
      <c r="C26" s="23" t="s">
        <v>812</v>
      </c>
      <c r="D26" s="18" t="s">
        <v>813</v>
      </c>
      <c r="E26" s="23" t="s">
        <v>762</v>
      </c>
      <c r="F26" s="23" t="s">
        <v>763</v>
      </c>
      <c r="G26" s="23" t="s">
        <v>764</v>
      </c>
      <c r="H26" s="23" t="s">
        <v>765</v>
      </c>
      <c r="I26" s="60" t="s">
        <v>76</v>
      </c>
      <c r="J26" s="61" t="s">
        <v>77</v>
      </c>
      <c r="K26" s="23">
        <v>80</v>
      </c>
      <c r="L26" s="18" t="str">
        <f t="shared" si="0"/>
        <v>Mencapai kompetensi dengan baik dalam hal</v>
      </c>
      <c r="M26" s="23">
        <v>77</v>
      </c>
      <c r="N26" s="18" t="str">
        <f t="shared" si="1"/>
        <v>Mencapai kompetensi dengan baik dalam hal</v>
      </c>
      <c r="O26" s="23">
        <v>76</v>
      </c>
      <c r="P26" s="18" t="str">
        <f t="shared" si="2"/>
        <v>Mencapai kompetensi dengan baik dalam hal</v>
      </c>
      <c r="Q26" s="23">
        <v>78</v>
      </c>
      <c r="R26" s="18" t="str">
        <f t="shared" si="3"/>
        <v>Mencapai kompetensi dengan baik dalam hal</v>
      </c>
      <c r="S26" s="23">
        <v>82</v>
      </c>
      <c r="T26" s="18" t="str">
        <f t="shared" si="4"/>
        <v>Mencapai kompetensi dengan baik dalam hal</v>
      </c>
      <c r="U26" s="23">
        <v>83</v>
      </c>
      <c r="V26" s="18" t="str">
        <f t="shared" si="4"/>
        <v>Mencapai kompetensi dengan baik dalam hal</v>
      </c>
      <c r="W26" s="23">
        <v>75</v>
      </c>
      <c r="X26" s="18" t="str">
        <f t="shared" si="4"/>
        <v>Mencapai kompetensi dengan baik dalam hal</v>
      </c>
      <c r="Y26" s="23">
        <v>81</v>
      </c>
      <c r="Z26" s="18" t="str">
        <f t="shared" si="4"/>
        <v>Mencapai kompetensi dengan baik dalam hal</v>
      </c>
      <c r="AA26" s="23">
        <v>79</v>
      </c>
      <c r="AB26" s="18" t="str">
        <f t="shared" si="4"/>
        <v>Mencapai kompetensi dengan baik dalam hal</v>
      </c>
      <c r="AC26" s="23">
        <v>88</v>
      </c>
      <c r="AD26" s="18" t="str">
        <f t="shared" si="4"/>
        <v>Mencapai kompetensi dengan baik dalam hal</v>
      </c>
      <c r="AE26" s="23">
        <v>81</v>
      </c>
      <c r="AF26" s="18" t="str">
        <f t="shared" si="4"/>
        <v>Mencapai kompetensi dengan baik dalam hal</v>
      </c>
      <c r="AG26" s="23">
        <v>77</v>
      </c>
      <c r="AH26" s="18" t="str">
        <f t="shared" si="11"/>
        <v>Mencapai kompetensi dengan baik dalam hal</v>
      </c>
      <c r="AI26" s="23">
        <v>82</v>
      </c>
      <c r="AJ26" s="18" t="str">
        <f t="shared" si="5"/>
        <v>Mencapai kompetensi dengan baik dalam hal</v>
      </c>
      <c r="AK26" s="62">
        <f t="shared" si="10"/>
        <v>80</v>
      </c>
      <c r="AL26" s="23">
        <v>79</v>
      </c>
      <c r="AM26" s="18" t="str">
        <f t="shared" si="6"/>
        <v>Mencapai kompetensi dengan baik dalam hal</v>
      </c>
      <c r="AN26" s="23">
        <v>80</v>
      </c>
      <c r="AO26" s="18" t="str">
        <f t="shared" si="7"/>
        <v>Mencapai kompetensi dengan baik dalam hal</v>
      </c>
      <c r="AP26" s="113" t="s">
        <v>81</v>
      </c>
      <c r="AQ26" s="113" t="s">
        <v>81</v>
      </c>
      <c r="AR26" s="113" t="s">
        <v>81</v>
      </c>
      <c r="AS26" s="23">
        <v>1</v>
      </c>
      <c r="AT26" s="23" t="s">
        <v>82</v>
      </c>
      <c r="AU26" s="18" t="s">
        <v>83</v>
      </c>
      <c r="AV26" s="23" t="s">
        <v>86</v>
      </c>
      <c r="AW26" s="18" t="str">
        <f t="shared" si="8"/>
        <v>Sangat baik</v>
      </c>
      <c r="AX26" s="23">
        <v>2</v>
      </c>
      <c r="AY26" s="18" t="s">
        <v>429</v>
      </c>
      <c r="AZ26" s="18" t="s">
        <v>83</v>
      </c>
      <c r="BA26" s="23" t="s">
        <v>86</v>
      </c>
      <c r="BB26" s="18" t="str">
        <f t="shared" si="9"/>
        <v>Sangat baik</v>
      </c>
      <c r="BC26" s="23"/>
      <c r="BD26" s="23"/>
      <c r="BE26" s="23"/>
      <c r="BF26" s="23"/>
      <c r="BG26" s="18"/>
      <c r="BH26" s="54"/>
    </row>
    <row r="27" spans="1:60" ht="24.95" customHeight="1" x14ac:dyDescent="0.25">
      <c r="A27" s="23">
        <v>26</v>
      </c>
      <c r="B27" s="23">
        <v>2525859</v>
      </c>
      <c r="C27" s="23" t="s">
        <v>814</v>
      </c>
      <c r="D27" s="18" t="s">
        <v>815</v>
      </c>
      <c r="E27" s="23" t="s">
        <v>762</v>
      </c>
      <c r="F27" s="23" t="s">
        <v>763</v>
      </c>
      <c r="G27" s="23" t="s">
        <v>764</v>
      </c>
      <c r="H27" s="23" t="s">
        <v>765</v>
      </c>
      <c r="I27" s="60" t="s">
        <v>76</v>
      </c>
      <c r="J27" s="61" t="s">
        <v>77</v>
      </c>
      <c r="K27" s="23">
        <v>82</v>
      </c>
      <c r="L27" s="18" t="str">
        <f t="shared" si="0"/>
        <v>Mencapai kompetensi dengan baik dalam hal</v>
      </c>
      <c r="M27" s="23">
        <v>75</v>
      </c>
      <c r="N27" s="18" t="str">
        <f t="shared" si="1"/>
        <v>Mencapai kompetensi dengan baik dalam hal</v>
      </c>
      <c r="O27" s="23">
        <v>77</v>
      </c>
      <c r="P27" s="18" t="str">
        <f t="shared" si="2"/>
        <v>Mencapai kompetensi dengan baik dalam hal</v>
      </c>
      <c r="Q27" s="23">
        <v>80</v>
      </c>
      <c r="R27" s="18" t="str">
        <f t="shared" si="3"/>
        <v>Mencapai kompetensi dengan baik dalam hal</v>
      </c>
      <c r="S27" s="23">
        <v>87</v>
      </c>
      <c r="T27" s="18" t="str">
        <f t="shared" si="4"/>
        <v>Mencapai kompetensi dengan baik dalam hal</v>
      </c>
      <c r="U27" s="23">
        <v>81</v>
      </c>
      <c r="V27" s="18" t="str">
        <f t="shared" si="4"/>
        <v>Mencapai kompetensi dengan baik dalam hal</v>
      </c>
      <c r="W27" s="23">
        <v>75</v>
      </c>
      <c r="X27" s="18" t="str">
        <f t="shared" si="4"/>
        <v>Mencapai kompetensi dengan baik dalam hal</v>
      </c>
      <c r="Y27" s="23">
        <v>81</v>
      </c>
      <c r="Z27" s="18" t="str">
        <f t="shared" si="4"/>
        <v>Mencapai kompetensi dengan baik dalam hal</v>
      </c>
      <c r="AA27" s="23">
        <v>88</v>
      </c>
      <c r="AB27" s="18" t="str">
        <f t="shared" si="4"/>
        <v>Mencapai kompetensi dengan baik dalam hal</v>
      </c>
      <c r="AC27" s="23">
        <v>84</v>
      </c>
      <c r="AD27" s="18" t="str">
        <f t="shared" si="4"/>
        <v>Mencapai kompetensi dengan baik dalam hal</v>
      </c>
      <c r="AE27" s="23">
        <v>85</v>
      </c>
      <c r="AF27" s="18" t="str">
        <f t="shared" si="4"/>
        <v>Mencapai kompetensi dengan baik dalam hal</v>
      </c>
      <c r="AG27" s="23">
        <v>86</v>
      </c>
      <c r="AH27" s="18" t="str">
        <f t="shared" si="11"/>
        <v>Mencapai kompetensi dengan baik dalam hal</v>
      </c>
      <c r="AI27" s="23">
        <v>86</v>
      </c>
      <c r="AJ27" s="18" t="str">
        <f t="shared" si="5"/>
        <v>Mencapai kompetensi dengan baik dalam hal</v>
      </c>
      <c r="AK27" s="62">
        <f t="shared" si="10"/>
        <v>85.666666666666671</v>
      </c>
      <c r="AL27" s="23">
        <v>88</v>
      </c>
      <c r="AM27" s="18" t="str">
        <f t="shared" si="6"/>
        <v>Mencapai kompetensi dengan baik dalam hal</v>
      </c>
      <c r="AN27" s="23">
        <v>79</v>
      </c>
      <c r="AO27" s="18" t="str">
        <f t="shared" si="7"/>
        <v>Mencapai kompetensi dengan baik dalam hal</v>
      </c>
      <c r="AP27" s="113" t="s">
        <v>81</v>
      </c>
      <c r="AQ27" s="113" t="s">
        <v>81</v>
      </c>
      <c r="AR27" s="113" t="s">
        <v>81</v>
      </c>
      <c r="AS27" s="23">
        <v>1</v>
      </c>
      <c r="AT27" s="23" t="s">
        <v>82</v>
      </c>
      <c r="AU27" s="18" t="s">
        <v>83</v>
      </c>
      <c r="AV27" s="23" t="s">
        <v>84</v>
      </c>
      <c r="AW27" s="18" t="str">
        <f t="shared" si="8"/>
        <v>Baik</v>
      </c>
      <c r="AX27" s="23">
        <v>2</v>
      </c>
      <c r="AY27" s="18" t="s">
        <v>116</v>
      </c>
      <c r="AZ27" s="18" t="s">
        <v>83</v>
      </c>
      <c r="BA27" s="23" t="s">
        <v>86</v>
      </c>
      <c r="BB27" s="18" t="str">
        <f t="shared" si="9"/>
        <v>Sangat baik</v>
      </c>
      <c r="BC27" s="23"/>
      <c r="BD27" s="23"/>
      <c r="BE27" s="23"/>
      <c r="BF27" s="23"/>
      <c r="BG27" s="18"/>
      <c r="BH27" s="54"/>
    </row>
    <row r="28" spans="1:60" ht="24.95" customHeight="1" x14ac:dyDescent="0.25">
      <c r="A28" s="23">
        <v>27</v>
      </c>
      <c r="B28" s="23">
        <v>2525860</v>
      </c>
      <c r="C28" s="23" t="s">
        <v>816</v>
      </c>
      <c r="D28" s="18" t="s">
        <v>817</v>
      </c>
      <c r="E28" s="23" t="s">
        <v>762</v>
      </c>
      <c r="F28" s="23" t="s">
        <v>763</v>
      </c>
      <c r="G28" s="23" t="s">
        <v>764</v>
      </c>
      <c r="H28" s="23" t="s">
        <v>765</v>
      </c>
      <c r="I28" s="60" t="s">
        <v>76</v>
      </c>
      <c r="J28" s="61" t="s">
        <v>77</v>
      </c>
      <c r="K28" s="23">
        <v>75</v>
      </c>
      <c r="L28" s="18" t="str">
        <f t="shared" si="0"/>
        <v>Mencapai kompetensi dengan baik dalam hal</v>
      </c>
      <c r="M28" s="23">
        <v>75</v>
      </c>
      <c r="N28" s="18" t="str">
        <f t="shared" si="1"/>
        <v>Mencapai kompetensi dengan baik dalam hal</v>
      </c>
      <c r="O28" s="23">
        <v>75</v>
      </c>
      <c r="P28" s="18" t="str">
        <f t="shared" si="2"/>
        <v>Mencapai kompetensi dengan baik dalam hal</v>
      </c>
      <c r="Q28" s="23">
        <v>80</v>
      </c>
      <c r="R28" s="18" t="str">
        <f t="shared" si="3"/>
        <v>Mencapai kompetensi dengan baik dalam hal</v>
      </c>
      <c r="S28" s="23">
        <v>75</v>
      </c>
      <c r="T28" s="18" t="str">
        <f t="shared" si="4"/>
        <v>Mencapai kompetensi dengan baik dalam hal</v>
      </c>
      <c r="U28" s="23">
        <v>80</v>
      </c>
      <c r="V28" s="18" t="str">
        <f t="shared" si="4"/>
        <v>Mencapai kompetensi dengan baik dalam hal</v>
      </c>
      <c r="W28" s="23">
        <v>81</v>
      </c>
      <c r="X28" s="18" t="str">
        <f t="shared" si="4"/>
        <v>Mencapai kompetensi dengan baik dalam hal</v>
      </c>
      <c r="Y28" s="23">
        <v>78</v>
      </c>
      <c r="Z28" s="18" t="str">
        <f t="shared" si="4"/>
        <v>Mencapai kompetensi dengan baik dalam hal</v>
      </c>
      <c r="AA28" s="23">
        <v>84</v>
      </c>
      <c r="AB28" s="18" t="str">
        <f t="shared" si="4"/>
        <v>Mencapai kompetensi dengan baik dalam hal</v>
      </c>
      <c r="AC28" s="23">
        <v>90</v>
      </c>
      <c r="AD28" s="18" t="str">
        <f t="shared" si="4"/>
        <v>Mencapai kompetensi dengan sangat baik dalam hal</v>
      </c>
      <c r="AE28" s="23">
        <v>83</v>
      </c>
      <c r="AF28" s="18" t="str">
        <f t="shared" si="4"/>
        <v>Mencapai kompetensi dengan baik dalam hal</v>
      </c>
      <c r="AG28" s="23">
        <v>86</v>
      </c>
      <c r="AH28" s="18" t="str">
        <f t="shared" si="11"/>
        <v>Mencapai kompetensi dengan baik dalam hal</v>
      </c>
      <c r="AI28" s="23">
        <v>86</v>
      </c>
      <c r="AJ28" s="18" t="str">
        <f t="shared" si="5"/>
        <v>Mencapai kompetensi dengan baik dalam hal</v>
      </c>
      <c r="AK28" s="62">
        <f t="shared" si="10"/>
        <v>85</v>
      </c>
      <c r="AL28" s="23">
        <v>84</v>
      </c>
      <c r="AM28" s="18" t="str">
        <f t="shared" si="6"/>
        <v>Mencapai kompetensi dengan baik dalam hal</v>
      </c>
      <c r="AN28" s="23">
        <v>75</v>
      </c>
      <c r="AO28" s="18" t="str">
        <f t="shared" si="7"/>
        <v>Mencapai kompetensi dengan baik dalam hal</v>
      </c>
      <c r="AP28" s="113" t="s">
        <v>81</v>
      </c>
      <c r="AQ28" s="113" t="s">
        <v>81</v>
      </c>
      <c r="AR28" s="113" t="s">
        <v>81</v>
      </c>
      <c r="AS28" s="23">
        <v>1</v>
      </c>
      <c r="AT28" s="23" t="s">
        <v>82</v>
      </c>
      <c r="AU28" s="18" t="s">
        <v>83</v>
      </c>
      <c r="AV28" s="23" t="s">
        <v>84</v>
      </c>
      <c r="AW28" s="18" t="str">
        <f t="shared" si="8"/>
        <v>Baik</v>
      </c>
      <c r="AX28" s="23">
        <v>2</v>
      </c>
      <c r="AY28" s="18" t="s">
        <v>99</v>
      </c>
      <c r="AZ28" s="18" t="s">
        <v>83</v>
      </c>
      <c r="BA28" s="23" t="s">
        <v>84</v>
      </c>
      <c r="BB28" s="18" t="str">
        <f t="shared" si="9"/>
        <v>Baik</v>
      </c>
      <c r="BC28" s="23"/>
      <c r="BD28" s="23"/>
      <c r="BE28" s="23"/>
      <c r="BF28" s="23"/>
      <c r="BG28" s="18"/>
      <c r="BH28" s="54"/>
    </row>
    <row r="29" spans="1:60" ht="24.95" customHeight="1" x14ac:dyDescent="0.25">
      <c r="A29" s="23">
        <v>28</v>
      </c>
      <c r="B29" s="23">
        <v>2525861</v>
      </c>
      <c r="C29" s="23" t="s">
        <v>818</v>
      </c>
      <c r="D29" s="18" t="s">
        <v>819</v>
      </c>
      <c r="E29" s="23" t="s">
        <v>762</v>
      </c>
      <c r="F29" s="23" t="s">
        <v>763</v>
      </c>
      <c r="G29" s="23" t="s">
        <v>764</v>
      </c>
      <c r="H29" s="23" t="s">
        <v>765</v>
      </c>
      <c r="I29" s="60" t="s">
        <v>76</v>
      </c>
      <c r="J29" s="61" t="s">
        <v>77</v>
      </c>
      <c r="K29" s="23">
        <v>76</v>
      </c>
      <c r="L29" s="18" t="str">
        <f t="shared" si="0"/>
        <v>Mencapai kompetensi dengan baik dalam hal</v>
      </c>
      <c r="M29" s="23">
        <v>75</v>
      </c>
      <c r="N29" s="18" t="str">
        <f t="shared" si="1"/>
        <v>Mencapai kompetensi dengan baik dalam hal</v>
      </c>
      <c r="O29" s="23">
        <v>75</v>
      </c>
      <c r="P29" s="18" t="str">
        <f t="shared" si="2"/>
        <v>Mencapai kompetensi dengan baik dalam hal</v>
      </c>
      <c r="Q29" s="23">
        <v>78</v>
      </c>
      <c r="R29" s="18" t="str">
        <f t="shared" si="3"/>
        <v>Mencapai kompetensi dengan baik dalam hal</v>
      </c>
      <c r="S29" s="23">
        <v>75</v>
      </c>
      <c r="T29" s="18" t="str">
        <f t="shared" si="4"/>
        <v>Mencapai kompetensi dengan baik dalam hal</v>
      </c>
      <c r="U29" s="23">
        <v>75</v>
      </c>
      <c r="V29" s="18" t="str">
        <f t="shared" si="4"/>
        <v>Mencapai kompetensi dengan baik dalam hal</v>
      </c>
      <c r="W29" s="23">
        <v>75</v>
      </c>
      <c r="X29" s="18" t="str">
        <f t="shared" si="4"/>
        <v>Mencapai kompetensi dengan baik dalam hal</v>
      </c>
      <c r="Y29" s="23">
        <v>77</v>
      </c>
      <c r="Z29" s="18" t="str">
        <f t="shared" si="4"/>
        <v>Mencapai kompetensi dengan baik dalam hal</v>
      </c>
      <c r="AA29" s="23">
        <v>76</v>
      </c>
      <c r="AB29" s="18" t="str">
        <f t="shared" si="4"/>
        <v>Mencapai kompetensi dengan baik dalam hal</v>
      </c>
      <c r="AC29" s="23">
        <v>89</v>
      </c>
      <c r="AD29" s="18" t="str">
        <f t="shared" si="4"/>
        <v>Mencapai kompetensi dengan baik dalam hal</v>
      </c>
      <c r="AE29" s="23">
        <v>81</v>
      </c>
      <c r="AF29" s="18" t="str">
        <f t="shared" si="4"/>
        <v>Mencapai kompetensi dengan baik dalam hal</v>
      </c>
      <c r="AG29" s="23">
        <v>78</v>
      </c>
      <c r="AH29" s="18" t="str">
        <f t="shared" si="11"/>
        <v>Mencapai kompetensi dengan baik dalam hal</v>
      </c>
      <c r="AI29" s="23">
        <v>83</v>
      </c>
      <c r="AJ29" s="18" t="str">
        <f t="shared" si="5"/>
        <v>Mencapai kompetensi dengan baik dalam hal</v>
      </c>
      <c r="AK29" s="62">
        <f t="shared" si="10"/>
        <v>80.666666666666671</v>
      </c>
      <c r="AL29" s="23">
        <v>76</v>
      </c>
      <c r="AM29" s="18" t="str">
        <f t="shared" si="6"/>
        <v>Mencapai kompetensi dengan baik dalam hal</v>
      </c>
      <c r="AN29" s="23">
        <v>75</v>
      </c>
      <c r="AO29" s="18" t="str">
        <f t="shared" si="7"/>
        <v>Mencapai kompetensi dengan baik dalam hal</v>
      </c>
      <c r="AP29" s="113">
        <v>2</v>
      </c>
      <c r="AQ29" s="113" t="s">
        <v>81</v>
      </c>
      <c r="AR29" s="113" t="s">
        <v>81</v>
      </c>
      <c r="AS29" s="23">
        <v>1</v>
      </c>
      <c r="AT29" s="23" t="s">
        <v>82</v>
      </c>
      <c r="AU29" s="18" t="s">
        <v>83</v>
      </c>
      <c r="AV29" s="23" t="s">
        <v>84</v>
      </c>
      <c r="AW29" s="18" t="str">
        <f t="shared" si="8"/>
        <v>Baik</v>
      </c>
      <c r="AX29" s="23">
        <v>2</v>
      </c>
      <c r="AY29" s="18" t="s">
        <v>170</v>
      </c>
      <c r="AZ29" s="18" t="s">
        <v>83</v>
      </c>
      <c r="BA29" s="23" t="s">
        <v>104</v>
      </c>
      <c r="BB29" s="18" t="str">
        <f t="shared" si="9"/>
        <v>Cukup</v>
      </c>
      <c r="BC29" s="23"/>
      <c r="BD29" s="23"/>
      <c r="BE29" s="23"/>
      <c r="BF29" s="23"/>
      <c r="BG29" s="18"/>
      <c r="BH29" s="54"/>
    </row>
    <row r="30" spans="1:60" ht="24.95" customHeight="1" x14ac:dyDescent="0.25">
      <c r="A30" s="23">
        <v>29</v>
      </c>
      <c r="B30" s="23">
        <v>2525862</v>
      </c>
      <c r="C30" s="23" t="s">
        <v>820</v>
      </c>
      <c r="D30" s="18" t="s">
        <v>821</v>
      </c>
      <c r="E30" s="23" t="s">
        <v>762</v>
      </c>
      <c r="F30" s="23" t="s">
        <v>763</v>
      </c>
      <c r="G30" s="23" t="s">
        <v>764</v>
      </c>
      <c r="H30" s="23" t="s">
        <v>765</v>
      </c>
      <c r="I30" s="60" t="s">
        <v>76</v>
      </c>
      <c r="J30" s="61" t="s">
        <v>77</v>
      </c>
      <c r="K30" s="23">
        <v>75</v>
      </c>
      <c r="L30" s="18" t="str">
        <f t="shared" si="0"/>
        <v>Mencapai kompetensi dengan baik dalam hal</v>
      </c>
      <c r="M30" s="23">
        <v>76</v>
      </c>
      <c r="N30" s="18" t="str">
        <f t="shared" si="1"/>
        <v>Mencapai kompetensi dengan baik dalam hal</v>
      </c>
      <c r="O30" s="23">
        <v>75</v>
      </c>
      <c r="P30" s="18" t="str">
        <f t="shared" si="2"/>
        <v>Mencapai kompetensi dengan baik dalam hal</v>
      </c>
      <c r="Q30" s="23">
        <v>78</v>
      </c>
      <c r="R30" s="18" t="str">
        <f t="shared" si="3"/>
        <v>Mencapai kompetensi dengan baik dalam hal</v>
      </c>
      <c r="S30" s="23">
        <v>77</v>
      </c>
      <c r="T30" s="18" t="str">
        <f t="shared" si="4"/>
        <v>Mencapai kompetensi dengan baik dalam hal</v>
      </c>
      <c r="U30" s="23">
        <v>75</v>
      </c>
      <c r="V30" s="18" t="str">
        <f t="shared" si="4"/>
        <v>Mencapai kompetensi dengan baik dalam hal</v>
      </c>
      <c r="W30" s="23">
        <v>75</v>
      </c>
      <c r="X30" s="18" t="str">
        <f t="shared" si="4"/>
        <v>Mencapai kompetensi dengan baik dalam hal</v>
      </c>
      <c r="Y30" s="23">
        <v>80</v>
      </c>
      <c r="Z30" s="18" t="str">
        <f t="shared" si="4"/>
        <v>Mencapai kompetensi dengan baik dalam hal</v>
      </c>
      <c r="AA30" s="23">
        <v>80</v>
      </c>
      <c r="AB30" s="18" t="str">
        <f t="shared" si="4"/>
        <v>Mencapai kompetensi dengan baik dalam hal</v>
      </c>
      <c r="AC30" s="23">
        <v>86</v>
      </c>
      <c r="AD30" s="18" t="str">
        <f t="shared" si="4"/>
        <v>Mencapai kompetensi dengan baik dalam hal</v>
      </c>
      <c r="AE30" s="23">
        <v>79</v>
      </c>
      <c r="AF30" s="18" t="str">
        <f t="shared" si="4"/>
        <v>Mencapai kompetensi dengan baik dalam hal</v>
      </c>
      <c r="AG30" s="23">
        <v>76</v>
      </c>
      <c r="AH30" s="18" t="str">
        <f t="shared" si="11"/>
        <v>Mencapai kompetensi dengan baik dalam hal</v>
      </c>
      <c r="AI30" s="23">
        <v>81</v>
      </c>
      <c r="AJ30" s="18" t="str">
        <f t="shared" si="5"/>
        <v>Mencapai kompetensi dengan baik dalam hal</v>
      </c>
      <c r="AK30" s="62">
        <f t="shared" si="10"/>
        <v>78.666666666666671</v>
      </c>
      <c r="AL30" s="23">
        <v>80</v>
      </c>
      <c r="AM30" s="18" t="str">
        <f t="shared" si="6"/>
        <v>Mencapai kompetensi dengan baik dalam hal</v>
      </c>
      <c r="AN30" s="23">
        <v>75</v>
      </c>
      <c r="AO30" s="18" t="str">
        <f t="shared" si="7"/>
        <v>Mencapai kompetensi dengan baik dalam hal</v>
      </c>
      <c r="AP30" s="113" t="s">
        <v>81</v>
      </c>
      <c r="AQ30" s="113" t="s">
        <v>81</v>
      </c>
      <c r="AR30" s="113" t="s">
        <v>81</v>
      </c>
      <c r="AS30" s="23">
        <v>1</v>
      </c>
      <c r="AT30" s="23" t="s">
        <v>82</v>
      </c>
      <c r="AU30" s="18" t="s">
        <v>83</v>
      </c>
      <c r="AV30" s="23" t="s">
        <v>86</v>
      </c>
      <c r="AW30" s="18" t="str">
        <f t="shared" si="8"/>
        <v>Sangat baik</v>
      </c>
      <c r="AX30" s="23">
        <v>2</v>
      </c>
      <c r="AY30" s="18" t="s">
        <v>125</v>
      </c>
      <c r="AZ30" s="18" t="s">
        <v>83</v>
      </c>
      <c r="BA30" s="23" t="s">
        <v>104</v>
      </c>
      <c r="BB30" s="18" t="str">
        <f t="shared" si="9"/>
        <v>Cukup</v>
      </c>
      <c r="BC30" s="23"/>
      <c r="BD30" s="23"/>
      <c r="BE30" s="23"/>
      <c r="BF30" s="23"/>
      <c r="BG30" s="18"/>
      <c r="BH30" s="54"/>
    </row>
    <row r="31" spans="1:60" ht="24.95" customHeight="1" x14ac:dyDescent="0.25">
      <c r="A31" s="23">
        <v>30</v>
      </c>
      <c r="B31" s="23">
        <v>2525863</v>
      </c>
      <c r="C31" s="23" t="s">
        <v>822</v>
      </c>
      <c r="D31" s="18" t="s">
        <v>823</v>
      </c>
      <c r="E31" s="23" t="s">
        <v>762</v>
      </c>
      <c r="F31" s="23" t="s">
        <v>763</v>
      </c>
      <c r="G31" s="23" t="s">
        <v>764</v>
      </c>
      <c r="H31" s="23" t="s">
        <v>765</v>
      </c>
      <c r="I31" s="60" t="s">
        <v>76</v>
      </c>
      <c r="J31" s="61" t="s">
        <v>77</v>
      </c>
      <c r="K31" s="23">
        <v>76</v>
      </c>
      <c r="L31" s="18" t="str">
        <f t="shared" si="0"/>
        <v>Mencapai kompetensi dengan baik dalam hal</v>
      </c>
      <c r="M31" s="23">
        <v>75</v>
      </c>
      <c r="N31" s="18" t="str">
        <f t="shared" si="1"/>
        <v>Mencapai kompetensi dengan baik dalam hal</v>
      </c>
      <c r="O31" s="23">
        <v>75</v>
      </c>
      <c r="P31" s="18" t="str">
        <f t="shared" si="2"/>
        <v>Mencapai kompetensi dengan baik dalam hal</v>
      </c>
      <c r="Q31" s="23">
        <v>78</v>
      </c>
      <c r="R31" s="18" t="str">
        <f t="shared" si="3"/>
        <v>Mencapai kompetensi dengan baik dalam hal</v>
      </c>
      <c r="S31" s="23">
        <v>77</v>
      </c>
      <c r="T31" s="18" t="str">
        <f t="shared" si="4"/>
        <v>Mencapai kompetensi dengan baik dalam hal</v>
      </c>
      <c r="U31" s="23">
        <v>75</v>
      </c>
      <c r="V31" s="18" t="str">
        <f t="shared" si="4"/>
        <v>Mencapai kompetensi dengan baik dalam hal</v>
      </c>
      <c r="W31" s="23">
        <v>79</v>
      </c>
      <c r="X31" s="18" t="str">
        <f t="shared" si="4"/>
        <v>Mencapai kompetensi dengan baik dalam hal</v>
      </c>
      <c r="Y31" s="23">
        <v>77</v>
      </c>
      <c r="Z31" s="18" t="str">
        <f t="shared" si="4"/>
        <v>Mencapai kompetensi dengan baik dalam hal</v>
      </c>
      <c r="AA31" s="23">
        <v>81</v>
      </c>
      <c r="AB31" s="18" t="str">
        <f t="shared" si="4"/>
        <v>Mencapai kompetensi dengan baik dalam hal</v>
      </c>
      <c r="AC31" s="23">
        <v>87</v>
      </c>
      <c r="AD31" s="18" t="str">
        <f t="shared" si="4"/>
        <v>Mencapai kompetensi dengan baik dalam hal</v>
      </c>
      <c r="AE31" s="23">
        <v>78</v>
      </c>
      <c r="AF31" s="18" t="str">
        <f t="shared" si="4"/>
        <v>Mencapai kompetensi dengan baik dalam hal</v>
      </c>
      <c r="AG31" s="23">
        <v>76</v>
      </c>
      <c r="AH31" s="18" t="str">
        <f t="shared" si="11"/>
        <v>Mencapai kompetensi dengan baik dalam hal</v>
      </c>
      <c r="AI31" s="23">
        <v>79</v>
      </c>
      <c r="AJ31" s="18" t="str">
        <f t="shared" si="5"/>
        <v>Mencapai kompetensi dengan baik dalam hal</v>
      </c>
      <c r="AK31" s="62">
        <f t="shared" si="10"/>
        <v>77.666666666666671</v>
      </c>
      <c r="AL31" s="23">
        <v>81</v>
      </c>
      <c r="AM31" s="18" t="str">
        <f t="shared" si="6"/>
        <v>Mencapai kompetensi dengan baik dalam hal</v>
      </c>
      <c r="AN31" s="23">
        <v>75</v>
      </c>
      <c r="AO31" s="18" t="str">
        <f t="shared" si="7"/>
        <v>Mencapai kompetensi dengan baik dalam hal</v>
      </c>
      <c r="AP31" s="113" t="s">
        <v>81</v>
      </c>
      <c r="AQ31" s="113" t="s">
        <v>81</v>
      </c>
      <c r="AR31" s="113" t="s">
        <v>81</v>
      </c>
      <c r="AS31" s="23">
        <v>1</v>
      </c>
      <c r="AT31" s="23" t="s">
        <v>82</v>
      </c>
      <c r="AU31" s="18" t="s">
        <v>83</v>
      </c>
      <c r="AV31" s="23" t="s">
        <v>84</v>
      </c>
      <c r="AW31" s="18" t="str">
        <f t="shared" si="8"/>
        <v>Baik</v>
      </c>
      <c r="AX31" s="23">
        <v>2</v>
      </c>
      <c r="AY31" s="18" t="s">
        <v>99</v>
      </c>
      <c r="AZ31" s="18" t="s">
        <v>83</v>
      </c>
      <c r="BA31" s="23" t="s">
        <v>84</v>
      </c>
      <c r="BB31" s="18" t="str">
        <f t="shared" si="9"/>
        <v>Baik</v>
      </c>
      <c r="BC31" s="23"/>
      <c r="BD31" s="23"/>
      <c r="BE31" s="23"/>
      <c r="BF31" s="23"/>
      <c r="BG31" s="18"/>
      <c r="BH31" s="54"/>
    </row>
    <row r="32" spans="1:60" ht="24.95" customHeight="1" x14ac:dyDescent="0.25">
      <c r="A32" s="23">
        <v>31</v>
      </c>
      <c r="B32" s="23">
        <v>2525864</v>
      </c>
      <c r="C32" s="23" t="s">
        <v>824</v>
      </c>
      <c r="D32" s="18" t="s">
        <v>825</v>
      </c>
      <c r="E32" s="23" t="s">
        <v>762</v>
      </c>
      <c r="F32" s="23" t="s">
        <v>763</v>
      </c>
      <c r="G32" s="23" t="s">
        <v>764</v>
      </c>
      <c r="H32" s="23" t="s">
        <v>765</v>
      </c>
      <c r="I32" s="60" t="s">
        <v>76</v>
      </c>
      <c r="J32" s="61" t="s">
        <v>77</v>
      </c>
      <c r="K32" s="23">
        <v>81</v>
      </c>
      <c r="L32" s="18" t="str">
        <f t="shared" si="0"/>
        <v>Mencapai kompetensi dengan baik dalam hal</v>
      </c>
      <c r="M32" s="23">
        <v>75</v>
      </c>
      <c r="N32" s="18" t="str">
        <f t="shared" si="1"/>
        <v>Mencapai kompetensi dengan baik dalam hal</v>
      </c>
      <c r="O32" s="23">
        <v>77</v>
      </c>
      <c r="P32" s="18" t="str">
        <f t="shared" si="2"/>
        <v>Mencapai kompetensi dengan baik dalam hal</v>
      </c>
      <c r="Q32" s="23">
        <v>78</v>
      </c>
      <c r="R32" s="18" t="str">
        <f t="shared" si="3"/>
        <v>Mencapai kompetensi dengan baik dalam hal</v>
      </c>
      <c r="S32" s="23">
        <v>83</v>
      </c>
      <c r="T32" s="18" t="str">
        <f t="shared" si="4"/>
        <v>Mencapai kompetensi dengan baik dalam hal</v>
      </c>
      <c r="U32" s="23">
        <v>80</v>
      </c>
      <c r="V32" s="18" t="str">
        <f t="shared" si="4"/>
        <v>Mencapai kompetensi dengan baik dalam hal</v>
      </c>
      <c r="W32" s="23">
        <v>75</v>
      </c>
      <c r="X32" s="18" t="str">
        <f t="shared" si="4"/>
        <v>Mencapai kompetensi dengan baik dalam hal</v>
      </c>
      <c r="Y32" s="23">
        <v>78</v>
      </c>
      <c r="Z32" s="18" t="str">
        <f t="shared" si="4"/>
        <v>Mencapai kompetensi dengan baik dalam hal</v>
      </c>
      <c r="AA32" s="23">
        <v>76</v>
      </c>
      <c r="AB32" s="18" t="str">
        <f t="shared" si="4"/>
        <v>Mencapai kompetensi dengan baik dalam hal</v>
      </c>
      <c r="AC32" s="23">
        <v>87</v>
      </c>
      <c r="AD32" s="18" t="str">
        <f t="shared" si="4"/>
        <v>Mencapai kompetensi dengan baik dalam hal</v>
      </c>
      <c r="AE32" s="23">
        <v>81</v>
      </c>
      <c r="AF32" s="18" t="str">
        <f t="shared" si="4"/>
        <v>Mencapai kompetensi dengan baik dalam hal</v>
      </c>
      <c r="AG32" s="23">
        <v>78</v>
      </c>
      <c r="AH32" s="18" t="str">
        <f t="shared" si="11"/>
        <v>Mencapai kompetensi dengan baik dalam hal</v>
      </c>
      <c r="AI32" s="23">
        <v>82</v>
      </c>
      <c r="AJ32" s="18" t="str">
        <f t="shared" si="5"/>
        <v>Mencapai kompetensi dengan baik dalam hal</v>
      </c>
      <c r="AK32" s="62">
        <f t="shared" si="10"/>
        <v>80.333333333333329</v>
      </c>
      <c r="AL32" s="23">
        <v>76</v>
      </c>
      <c r="AM32" s="18" t="str">
        <f t="shared" si="6"/>
        <v>Mencapai kompetensi dengan baik dalam hal</v>
      </c>
      <c r="AN32" s="23">
        <v>78</v>
      </c>
      <c r="AO32" s="18" t="str">
        <f t="shared" si="7"/>
        <v>Mencapai kompetensi dengan baik dalam hal</v>
      </c>
      <c r="AP32" s="113">
        <v>1</v>
      </c>
      <c r="AQ32" s="113" t="s">
        <v>81</v>
      </c>
      <c r="AR32" s="113" t="s">
        <v>81</v>
      </c>
      <c r="AS32" s="23">
        <v>1</v>
      </c>
      <c r="AT32" s="23" t="s">
        <v>82</v>
      </c>
      <c r="AU32" s="18" t="s">
        <v>83</v>
      </c>
      <c r="AV32" s="23" t="s">
        <v>86</v>
      </c>
      <c r="AW32" s="18" t="str">
        <f t="shared" si="8"/>
        <v>Sangat baik</v>
      </c>
      <c r="AX32" s="23">
        <v>2</v>
      </c>
      <c r="AY32" s="18" t="s">
        <v>125</v>
      </c>
      <c r="AZ32" s="18" t="s">
        <v>83</v>
      </c>
      <c r="BA32" s="23" t="s">
        <v>104</v>
      </c>
      <c r="BB32" s="18" t="str">
        <f t="shared" si="9"/>
        <v>Cukup</v>
      </c>
      <c r="BC32" s="23"/>
      <c r="BD32" s="23"/>
      <c r="BE32" s="23"/>
      <c r="BF32" s="23"/>
      <c r="BG32" s="18"/>
      <c r="BH32" s="54"/>
    </row>
    <row r="33" spans="1:60" ht="24.95" customHeight="1" x14ac:dyDescent="0.25">
      <c r="A33" s="23">
        <v>32</v>
      </c>
      <c r="B33" s="23">
        <v>2525865</v>
      </c>
      <c r="C33" s="23" t="s">
        <v>826</v>
      </c>
      <c r="D33" s="18" t="s">
        <v>827</v>
      </c>
      <c r="E33" s="23" t="s">
        <v>762</v>
      </c>
      <c r="F33" s="23" t="s">
        <v>763</v>
      </c>
      <c r="G33" s="23" t="s">
        <v>764</v>
      </c>
      <c r="H33" s="23" t="s">
        <v>765</v>
      </c>
      <c r="I33" s="60" t="s">
        <v>76</v>
      </c>
      <c r="J33" s="61" t="s">
        <v>77</v>
      </c>
      <c r="K33" s="23">
        <v>82</v>
      </c>
      <c r="L33" s="18" t="str">
        <f t="shared" ref="L33:L34" si="12">VLOOKUP(K33,grades1,2,TRUE)</f>
        <v>Mencapai kompetensi dengan baik dalam hal</v>
      </c>
      <c r="M33" s="23">
        <v>77</v>
      </c>
      <c r="N33" s="18" t="str">
        <f t="shared" ref="N33:N34" si="13">VLOOKUP(M33,grades1,2,TRUE)</f>
        <v>Mencapai kompetensi dengan baik dalam hal</v>
      </c>
      <c r="O33" s="23">
        <v>80</v>
      </c>
      <c r="P33" s="18" t="str">
        <f t="shared" ref="P33:P34" si="14">VLOOKUP(O33,grades1,2,TRUE)</f>
        <v>Mencapai kompetensi dengan baik dalam hal</v>
      </c>
      <c r="Q33" s="23">
        <v>78</v>
      </c>
      <c r="R33" s="18" t="str">
        <f t="shared" ref="R33:R34" si="15">VLOOKUP(Q33,grades1,2,TRUE)</f>
        <v>Mencapai kompetensi dengan baik dalam hal</v>
      </c>
      <c r="S33" s="23">
        <v>82</v>
      </c>
      <c r="T33" s="18" t="str">
        <f t="shared" ref="T33:T34" si="16">VLOOKUP(S33,grades1,2,TRUE)</f>
        <v>Mencapai kompetensi dengan baik dalam hal</v>
      </c>
      <c r="U33" s="23">
        <v>75</v>
      </c>
      <c r="V33" s="18" t="str">
        <f t="shared" ref="V33:V34" si="17">VLOOKUP(U33,grades1,2,TRUE)</f>
        <v>Mencapai kompetensi dengan baik dalam hal</v>
      </c>
      <c r="W33" s="23">
        <v>75</v>
      </c>
      <c r="X33" s="18" t="str">
        <f t="shared" ref="X33:X34" si="18">VLOOKUP(W33,grades1,2,TRUE)</f>
        <v>Mencapai kompetensi dengan baik dalam hal</v>
      </c>
      <c r="Y33" s="23">
        <v>80</v>
      </c>
      <c r="Z33" s="18" t="str">
        <f t="shared" ref="Z33:Z34" si="19">VLOOKUP(Y33,grades1,2,TRUE)</f>
        <v>Mencapai kompetensi dengan baik dalam hal</v>
      </c>
      <c r="AA33" s="23">
        <v>82</v>
      </c>
      <c r="AB33" s="18" t="str">
        <f t="shared" ref="AB33:AB34" si="20">VLOOKUP(AA33,grades1,2,TRUE)</f>
        <v>Mencapai kompetensi dengan baik dalam hal</v>
      </c>
      <c r="AC33" s="23">
        <v>84</v>
      </c>
      <c r="AD33" s="18" t="str">
        <f t="shared" ref="AD33:AD34" si="21">VLOOKUP(AC33,grades1,2,TRUE)</f>
        <v>Mencapai kompetensi dengan baik dalam hal</v>
      </c>
      <c r="AE33" s="23">
        <v>81</v>
      </c>
      <c r="AF33" s="18" t="str">
        <f t="shared" ref="AF33:AF34" si="22">VLOOKUP(AE33,grades1,2,TRUE)</f>
        <v>Mencapai kompetensi dengan baik dalam hal</v>
      </c>
      <c r="AG33" s="23">
        <v>79</v>
      </c>
      <c r="AH33" s="18" t="str">
        <f t="shared" ref="AH33:AH34" si="23">VLOOKUP(AG33,grades1,2,TRUE)</f>
        <v>Mencapai kompetensi dengan baik dalam hal</v>
      </c>
      <c r="AI33" s="23">
        <v>80</v>
      </c>
      <c r="AJ33" s="18" t="str">
        <f t="shared" ref="AJ33:AJ34" si="24">VLOOKUP(AI33,grades1,2,TRUE)</f>
        <v>Mencapai kompetensi dengan baik dalam hal</v>
      </c>
      <c r="AK33" s="62">
        <f t="shared" si="10"/>
        <v>80</v>
      </c>
      <c r="AL33" s="23">
        <v>82</v>
      </c>
      <c r="AM33" s="18" t="str">
        <f t="shared" si="6"/>
        <v>Mencapai kompetensi dengan baik dalam hal</v>
      </c>
      <c r="AN33" s="23">
        <v>75</v>
      </c>
      <c r="AO33" s="18" t="str">
        <f t="shared" ref="AO33:AO34" si="25">VLOOKUP(AN33,grades1,2,TRUE)</f>
        <v>Mencapai kompetensi dengan baik dalam hal</v>
      </c>
      <c r="AP33" s="113">
        <v>2</v>
      </c>
      <c r="AQ33" s="113" t="s">
        <v>81</v>
      </c>
      <c r="AR33" s="113" t="s">
        <v>81</v>
      </c>
      <c r="AS33" s="23">
        <v>1</v>
      </c>
      <c r="AT33" s="23" t="s">
        <v>82</v>
      </c>
      <c r="AU33" s="18" t="s">
        <v>83</v>
      </c>
      <c r="AV33" s="23" t="s">
        <v>84</v>
      </c>
      <c r="AW33" s="18" t="str">
        <f t="shared" si="8"/>
        <v>Baik</v>
      </c>
      <c r="AX33" s="23">
        <v>2</v>
      </c>
      <c r="AY33" s="18" t="s">
        <v>85</v>
      </c>
      <c r="AZ33" s="18" t="s">
        <v>83</v>
      </c>
      <c r="BA33" s="23" t="s">
        <v>84</v>
      </c>
      <c r="BB33" s="18" t="str">
        <f t="shared" si="9"/>
        <v>Baik</v>
      </c>
      <c r="BC33" s="23"/>
      <c r="BD33" s="23"/>
      <c r="BE33" s="23"/>
      <c r="BF33" s="23"/>
      <c r="BG33" s="18"/>
      <c r="BH33" s="54"/>
    </row>
    <row r="34" spans="1:60" ht="24.95" customHeight="1" x14ac:dyDescent="0.25">
      <c r="A34" s="23">
        <v>33</v>
      </c>
      <c r="B34" s="23">
        <v>2525866</v>
      </c>
      <c r="C34" s="23" t="s">
        <v>828</v>
      </c>
      <c r="D34" s="18" t="s">
        <v>829</v>
      </c>
      <c r="E34" s="23" t="s">
        <v>762</v>
      </c>
      <c r="F34" s="23" t="s">
        <v>763</v>
      </c>
      <c r="G34" s="23" t="s">
        <v>764</v>
      </c>
      <c r="H34" s="23" t="s">
        <v>765</v>
      </c>
      <c r="I34" s="60" t="s">
        <v>76</v>
      </c>
      <c r="J34" s="61" t="s">
        <v>77</v>
      </c>
      <c r="K34" s="23">
        <v>75</v>
      </c>
      <c r="L34" s="18" t="str">
        <f t="shared" si="12"/>
        <v>Mencapai kompetensi dengan baik dalam hal</v>
      </c>
      <c r="M34" s="23">
        <v>75</v>
      </c>
      <c r="N34" s="18" t="str">
        <f t="shared" si="13"/>
        <v>Mencapai kompetensi dengan baik dalam hal</v>
      </c>
      <c r="O34" s="23">
        <v>75</v>
      </c>
      <c r="P34" s="18" t="str">
        <f t="shared" si="14"/>
        <v>Mencapai kompetensi dengan baik dalam hal</v>
      </c>
      <c r="Q34" s="23">
        <v>79</v>
      </c>
      <c r="R34" s="18" t="str">
        <f t="shared" si="15"/>
        <v>Mencapai kompetensi dengan baik dalam hal</v>
      </c>
      <c r="S34" s="23">
        <v>78</v>
      </c>
      <c r="T34" s="18" t="str">
        <f t="shared" si="16"/>
        <v>Mencapai kompetensi dengan baik dalam hal</v>
      </c>
      <c r="U34" s="23">
        <v>75</v>
      </c>
      <c r="V34" s="18" t="str">
        <f t="shared" si="17"/>
        <v>Mencapai kompetensi dengan baik dalam hal</v>
      </c>
      <c r="W34" s="23">
        <v>75</v>
      </c>
      <c r="X34" s="18" t="str">
        <f t="shared" si="18"/>
        <v>Mencapai kompetensi dengan baik dalam hal</v>
      </c>
      <c r="Y34" s="23">
        <v>75</v>
      </c>
      <c r="Z34" s="18" t="str">
        <f t="shared" si="19"/>
        <v>Mencapai kompetensi dengan baik dalam hal</v>
      </c>
      <c r="AA34" s="23">
        <v>75</v>
      </c>
      <c r="AB34" s="18" t="str">
        <f t="shared" si="20"/>
        <v>Mencapai kompetensi dengan baik dalam hal</v>
      </c>
      <c r="AC34" s="23">
        <v>84</v>
      </c>
      <c r="AD34" s="18" t="str">
        <f t="shared" si="21"/>
        <v>Mencapai kompetensi dengan baik dalam hal</v>
      </c>
      <c r="AE34" s="23">
        <v>79</v>
      </c>
      <c r="AF34" s="18" t="str">
        <f t="shared" si="22"/>
        <v>Mencapai kompetensi dengan baik dalam hal</v>
      </c>
      <c r="AG34" s="23">
        <v>77</v>
      </c>
      <c r="AH34" s="18" t="str">
        <f t="shared" si="23"/>
        <v>Mencapai kompetensi dengan baik dalam hal</v>
      </c>
      <c r="AI34" s="23">
        <v>81</v>
      </c>
      <c r="AJ34" s="18" t="str">
        <f t="shared" si="24"/>
        <v>Mencapai kompetensi dengan baik dalam hal</v>
      </c>
      <c r="AK34" s="62">
        <f t="shared" si="10"/>
        <v>79</v>
      </c>
      <c r="AL34" s="23">
        <v>75</v>
      </c>
      <c r="AM34" s="18" t="str">
        <f t="shared" si="6"/>
        <v>Mencapai kompetensi dengan baik dalam hal</v>
      </c>
      <c r="AN34" s="23">
        <v>75</v>
      </c>
      <c r="AO34" s="18" t="str">
        <f t="shared" si="25"/>
        <v>Mencapai kompetensi dengan baik dalam hal</v>
      </c>
      <c r="AP34" s="113" t="s">
        <v>81</v>
      </c>
      <c r="AQ34" s="113" t="s">
        <v>81</v>
      </c>
      <c r="AR34" s="113" t="s">
        <v>81</v>
      </c>
      <c r="AS34" s="23">
        <v>1</v>
      </c>
      <c r="AT34" s="23" t="s">
        <v>82</v>
      </c>
      <c r="AU34" s="18" t="s">
        <v>83</v>
      </c>
      <c r="AV34" s="23" t="s">
        <v>86</v>
      </c>
      <c r="AW34" s="18" t="str">
        <f t="shared" si="8"/>
        <v>Sangat baik</v>
      </c>
      <c r="AX34" s="23">
        <v>2</v>
      </c>
      <c r="AY34" s="18" t="s">
        <v>298</v>
      </c>
      <c r="AZ34" s="18" t="s">
        <v>83</v>
      </c>
      <c r="BA34" s="23" t="s">
        <v>110</v>
      </c>
      <c r="BB34" s="18" t="str">
        <f t="shared" si="9"/>
        <v>Kurang</v>
      </c>
      <c r="BC34" s="23"/>
      <c r="BD34" s="23"/>
      <c r="BE34" s="23"/>
      <c r="BF34" s="23"/>
      <c r="BG34" s="18"/>
      <c r="BH34" s="54"/>
    </row>
    <row r="35" spans="1:60" ht="24.95" customHeight="1" x14ac:dyDescent="0.25">
      <c r="A35" s="23">
        <v>34</v>
      </c>
      <c r="B35" s="23">
        <v>2525867</v>
      </c>
      <c r="C35" s="23" t="s">
        <v>830</v>
      </c>
      <c r="D35" s="18" t="s">
        <v>831</v>
      </c>
      <c r="E35" s="23" t="s">
        <v>762</v>
      </c>
      <c r="F35" s="23" t="s">
        <v>763</v>
      </c>
      <c r="G35" s="23" t="s">
        <v>764</v>
      </c>
      <c r="H35" s="23" t="s">
        <v>765</v>
      </c>
      <c r="I35" s="60" t="s">
        <v>76</v>
      </c>
      <c r="J35" s="61" t="s">
        <v>77</v>
      </c>
      <c r="K35" s="23">
        <v>83</v>
      </c>
      <c r="L35" s="18" t="str">
        <f t="shared" si="0"/>
        <v>Mencapai kompetensi dengan baik dalam hal</v>
      </c>
      <c r="M35" s="23">
        <v>75</v>
      </c>
      <c r="N35" s="18" t="str">
        <f t="shared" si="1"/>
        <v>Mencapai kompetensi dengan baik dalam hal</v>
      </c>
      <c r="O35" s="23">
        <v>75</v>
      </c>
      <c r="P35" s="18" t="str">
        <f t="shared" si="2"/>
        <v>Mencapai kompetensi dengan baik dalam hal</v>
      </c>
      <c r="Q35" s="23">
        <v>78</v>
      </c>
      <c r="R35" s="18" t="str">
        <f t="shared" si="3"/>
        <v>Mencapai kompetensi dengan baik dalam hal</v>
      </c>
      <c r="S35" s="23">
        <v>80</v>
      </c>
      <c r="T35" s="18" t="str">
        <f t="shared" si="4"/>
        <v>Mencapai kompetensi dengan baik dalam hal</v>
      </c>
      <c r="U35" s="23">
        <v>77</v>
      </c>
      <c r="V35" s="18" t="str">
        <f t="shared" si="4"/>
        <v>Mencapai kompetensi dengan baik dalam hal</v>
      </c>
      <c r="W35" s="23">
        <v>83</v>
      </c>
      <c r="X35" s="18" t="str">
        <f t="shared" si="4"/>
        <v>Mencapai kompetensi dengan baik dalam hal</v>
      </c>
      <c r="Y35" s="23">
        <v>80</v>
      </c>
      <c r="Z35" s="18" t="str">
        <f t="shared" si="4"/>
        <v>Mencapai kompetensi dengan baik dalam hal</v>
      </c>
      <c r="AA35" s="23">
        <v>83</v>
      </c>
      <c r="AB35" s="18" t="str">
        <f t="shared" si="4"/>
        <v>Mencapai kompetensi dengan baik dalam hal</v>
      </c>
      <c r="AC35" s="23">
        <v>88</v>
      </c>
      <c r="AD35" s="18" t="str">
        <f t="shared" si="4"/>
        <v>Mencapai kompetensi dengan baik dalam hal</v>
      </c>
      <c r="AE35" s="23">
        <v>80</v>
      </c>
      <c r="AF35" s="18" t="str">
        <f t="shared" si="4"/>
        <v>Mencapai kompetensi dengan baik dalam hal</v>
      </c>
      <c r="AG35" s="23">
        <v>81</v>
      </c>
      <c r="AH35" s="18" t="str">
        <f t="shared" si="11"/>
        <v>Mencapai kompetensi dengan baik dalam hal</v>
      </c>
      <c r="AI35" s="23">
        <v>80</v>
      </c>
      <c r="AJ35" s="18" t="str">
        <f t="shared" si="5"/>
        <v>Mencapai kompetensi dengan baik dalam hal</v>
      </c>
      <c r="AK35" s="62">
        <f t="shared" si="10"/>
        <v>80.333333333333329</v>
      </c>
      <c r="AL35" s="23">
        <v>83</v>
      </c>
      <c r="AM35" s="18" t="str">
        <f t="shared" si="6"/>
        <v>Mencapai kompetensi dengan baik dalam hal</v>
      </c>
      <c r="AN35" s="23">
        <v>76</v>
      </c>
      <c r="AO35" s="18" t="str">
        <f t="shared" si="7"/>
        <v>Mencapai kompetensi dengan baik dalam hal</v>
      </c>
      <c r="AP35" s="113" t="s">
        <v>81</v>
      </c>
      <c r="AQ35" s="113" t="s">
        <v>81</v>
      </c>
      <c r="AR35" s="113" t="s">
        <v>81</v>
      </c>
      <c r="AS35" s="23">
        <v>1</v>
      </c>
      <c r="AT35" s="23" t="s">
        <v>82</v>
      </c>
      <c r="AU35" s="18" t="s">
        <v>83</v>
      </c>
      <c r="AV35" s="23" t="s">
        <v>84</v>
      </c>
      <c r="AW35" s="18" t="str">
        <f t="shared" si="8"/>
        <v>Baik</v>
      </c>
      <c r="AX35" s="23">
        <v>2</v>
      </c>
      <c r="AY35" s="18" t="s">
        <v>108</v>
      </c>
      <c r="AZ35" s="18" t="s">
        <v>83</v>
      </c>
      <c r="BA35" s="23" t="s">
        <v>86</v>
      </c>
      <c r="BB35" s="18" t="str">
        <f t="shared" si="9"/>
        <v>Sangat baik</v>
      </c>
      <c r="BC35" s="23"/>
      <c r="BD35" s="23"/>
      <c r="BE35" s="23"/>
      <c r="BF35" s="23"/>
      <c r="BG35" s="18"/>
      <c r="BH35" s="54"/>
    </row>
    <row r="36" spans="1:60" ht="24.95" customHeight="1" x14ac:dyDescent="0.25">
      <c r="A36" s="23">
        <v>35</v>
      </c>
      <c r="B36" s="23">
        <v>2525868</v>
      </c>
      <c r="C36" s="23" t="s">
        <v>832</v>
      </c>
      <c r="D36" s="18" t="s">
        <v>833</v>
      </c>
      <c r="E36" s="23" t="s">
        <v>762</v>
      </c>
      <c r="F36" s="23" t="s">
        <v>763</v>
      </c>
      <c r="G36" s="23" t="s">
        <v>764</v>
      </c>
      <c r="H36" s="23" t="s">
        <v>765</v>
      </c>
      <c r="I36" s="60" t="s">
        <v>76</v>
      </c>
      <c r="J36" s="61" t="s">
        <v>77</v>
      </c>
      <c r="K36" s="23">
        <v>81</v>
      </c>
      <c r="L36" s="18" t="str">
        <f t="shared" si="0"/>
        <v>Mencapai kompetensi dengan baik dalam hal</v>
      </c>
      <c r="M36" s="23">
        <v>75</v>
      </c>
      <c r="N36" s="18" t="str">
        <f t="shared" si="1"/>
        <v>Mencapai kompetensi dengan baik dalam hal</v>
      </c>
      <c r="O36" s="23">
        <v>75</v>
      </c>
      <c r="P36" s="18" t="str">
        <f t="shared" si="2"/>
        <v>Mencapai kompetensi dengan baik dalam hal</v>
      </c>
      <c r="Q36" s="23">
        <v>78</v>
      </c>
      <c r="R36" s="18" t="str">
        <f t="shared" si="3"/>
        <v>Mencapai kompetensi dengan baik dalam hal</v>
      </c>
      <c r="S36" s="23">
        <v>80</v>
      </c>
      <c r="T36" s="18" t="str">
        <f t="shared" si="4"/>
        <v>Mencapai kompetensi dengan baik dalam hal</v>
      </c>
      <c r="U36" s="23">
        <v>75</v>
      </c>
      <c r="V36" s="18" t="str">
        <f t="shared" si="4"/>
        <v>Mencapai kompetensi dengan baik dalam hal</v>
      </c>
      <c r="W36" s="23">
        <v>75</v>
      </c>
      <c r="X36" s="18" t="str">
        <f t="shared" si="4"/>
        <v>Mencapai kompetensi dengan baik dalam hal</v>
      </c>
      <c r="Y36" s="23">
        <v>79</v>
      </c>
      <c r="Z36" s="18" t="str">
        <f t="shared" si="4"/>
        <v>Mencapai kompetensi dengan baik dalam hal</v>
      </c>
      <c r="AA36" s="23">
        <v>76</v>
      </c>
      <c r="AB36" s="18" t="str">
        <f t="shared" si="4"/>
        <v>Mencapai kompetensi dengan baik dalam hal</v>
      </c>
      <c r="AC36" s="23">
        <v>89</v>
      </c>
      <c r="AD36" s="18" t="str">
        <f t="shared" si="4"/>
        <v>Mencapai kompetensi dengan baik dalam hal</v>
      </c>
      <c r="AE36" s="23">
        <v>85</v>
      </c>
      <c r="AF36" s="18" t="str">
        <f t="shared" si="4"/>
        <v>Mencapai kompetensi dengan baik dalam hal</v>
      </c>
      <c r="AG36" s="23">
        <v>87</v>
      </c>
      <c r="AH36" s="18" t="str">
        <f t="shared" si="11"/>
        <v>Mencapai kompetensi dengan baik dalam hal</v>
      </c>
      <c r="AI36" s="23">
        <v>87</v>
      </c>
      <c r="AJ36" s="18" t="str">
        <f t="shared" si="5"/>
        <v>Mencapai kompetensi dengan baik dalam hal</v>
      </c>
      <c r="AK36" s="62">
        <f t="shared" si="10"/>
        <v>86.333333333333329</v>
      </c>
      <c r="AL36" s="23">
        <v>76</v>
      </c>
      <c r="AM36" s="18" t="str">
        <f t="shared" si="6"/>
        <v>Mencapai kompetensi dengan baik dalam hal</v>
      </c>
      <c r="AN36" s="23">
        <v>76</v>
      </c>
      <c r="AO36" s="18" t="str">
        <f t="shared" si="7"/>
        <v>Mencapai kompetensi dengan baik dalam hal</v>
      </c>
      <c r="AP36" s="113" t="s">
        <v>81</v>
      </c>
      <c r="AQ36" s="113" t="s">
        <v>81</v>
      </c>
      <c r="AR36" s="113" t="s">
        <v>81</v>
      </c>
      <c r="AS36" s="23">
        <v>1</v>
      </c>
      <c r="AT36" s="23" t="s">
        <v>82</v>
      </c>
      <c r="AU36" s="18" t="s">
        <v>83</v>
      </c>
      <c r="AV36" s="23" t="s">
        <v>86</v>
      </c>
      <c r="AW36" s="18" t="str">
        <f t="shared" si="8"/>
        <v>Sangat baik</v>
      </c>
      <c r="AX36" s="23">
        <v>2</v>
      </c>
      <c r="AY36" s="18" t="s">
        <v>116</v>
      </c>
      <c r="AZ36" s="18" t="s">
        <v>83</v>
      </c>
      <c r="BA36" s="23" t="s">
        <v>86</v>
      </c>
      <c r="BB36" s="18" t="str">
        <f t="shared" si="9"/>
        <v>Sangat baik</v>
      </c>
      <c r="BC36" s="23"/>
      <c r="BD36" s="23"/>
      <c r="BE36" s="23"/>
      <c r="BF36" s="23"/>
      <c r="BG36" s="18"/>
      <c r="BH36" s="54"/>
    </row>
    <row r="37" spans="1:60" ht="24.95" customHeight="1" x14ac:dyDescent="0.25">
      <c r="A37" s="23">
        <v>36</v>
      </c>
      <c r="B37" s="23">
        <v>2525869</v>
      </c>
      <c r="C37" s="23" t="s">
        <v>834</v>
      </c>
      <c r="D37" s="18" t="s">
        <v>835</v>
      </c>
      <c r="E37" s="23" t="s">
        <v>762</v>
      </c>
      <c r="F37" s="23" t="s">
        <v>763</v>
      </c>
      <c r="G37" s="23" t="s">
        <v>764</v>
      </c>
      <c r="H37" s="23" t="s">
        <v>765</v>
      </c>
      <c r="I37" s="60" t="s">
        <v>76</v>
      </c>
      <c r="J37" s="61" t="s">
        <v>77</v>
      </c>
      <c r="K37" s="23">
        <v>76</v>
      </c>
      <c r="L37" s="18" t="str">
        <f t="shared" si="0"/>
        <v>Mencapai kompetensi dengan baik dalam hal</v>
      </c>
      <c r="M37" s="23">
        <v>76</v>
      </c>
      <c r="N37" s="18" t="str">
        <f t="shared" si="1"/>
        <v>Mencapai kompetensi dengan baik dalam hal</v>
      </c>
      <c r="O37" s="23">
        <v>78</v>
      </c>
      <c r="P37" s="18" t="str">
        <f t="shared" si="2"/>
        <v>Mencapai kompetensi dengan baik dalam hal</v>
      </c>
      <c r="Q37" s="23">
        <v>78</v>
      </c>
      <c r="R37" s="18" t="str">
        <f t="shared" si="3"/>
        <v>Mencapai kompetensi dengan baik dalam hal</v>
      </c>
      <c r="S37" s="23">
        <v>80</v>
      </c>
      <c r="T37" s="18" t="str">
        <f t="shared" si="4"/>
        <v>Mencapai kompetensi dengan baik dalam hal</v>
      </c>
      <c r="U37" s="23">
        <v>75</v>
      </c>
      <c r="V37" s="18" t="str">
        <f t="shared" si="4"/>
        <v>Mencapai kompetensi dengan baik dalam hal</v>
      </c>
      <c r="W37" s="23">
        <v>75</v>
      </c>
      <c r="X37" s="18" t="str">
        <f t="shared" si="4"/>
        <v>Mencapai kompetensi dengan baik dalam hal</v>
      </c>
      <c r="Y37" s="23">
        <v>76</v>
      </c>
      <c r="Z37" s="18" t="str">
        <f t="shared" si="4"/>
        <v>Mencapai kompetensi dengan baik dalam hal</v>
      </c>
      <c r="AA37" s="23">
        <v>85</v>
      </c>
      <c r="AB37" s="18" t="str">
        <f t="shared" si="4"/>
        <v>Mencapai kompetensi dengan baik dalam hal</v>
      </c>
      <c r="AC37" s="23">
        <v>87</v>
      </c>
      <c r="AD37" s="18" t="str">
        <f t="shared" si="4"/>
        <v>Mencapai kompetensi dengan baik dalam hal</v>
      </c>
      <c r="AE37" s="23">
        <v>82</v>
      </c>
      <c r="AF37" s="18" t="str">
        <f t="shared" si="4"/>
        <v>Mencapai kompetensi dengan baik dalam hal</v>
      </c>
      <c r="AG37" s="23">
        <v>81</v>
      </c>
      <c r="AH37" s="18" t="str">
        <f t="shared" si="11"/>
        <v>Mencapai kompetensi dengan baik dalam hal</v>
      </c>
      <c r="AI37" s="23">
        <v>85</v>
      </c>
      <c r="AJ37" s="18" t="str">
        <f t="shared" si="5"/>
        <v>Mencapai kompetensi dengan baik dalam hal</v>
      </c>
      <c r="AK37" s="62">
        <f t="shared" si="10"/>
        <v>82.666666666666671</v>
      </c>
      <c r="AL37" s="23">
        <v>85</v>
      </c>
      <c r="AM37" s="18" t="str">
        <f t="shared" si="6"/>
        <v>Mencapai kompetensi dengan baik dalam hal</v>
      </c>
      <c r="AN37" s="23">
        <v>75</v>
      </c>
      <c r="AO37" s="18" t="str">
        <f t="shared" si="7"/>
        <v>Mencapai kompetensi dengan baik dalam hal</v>
      </c>
      <c r="AP37" s="113" t="s">
        <v>81</v>
      </c>
      <c r="AQ37" s="113" t="s">
        <v>81</v>
      </c>
      <c r="AR37" s="113" t="s">
        <v>81</v>
      </c>
      <c r="AS37" s="23">
        <v>1</v>
      </c>
      <c r="AT37" s="23" t="s">
        <v>82</v>
      </c>
      <c r="AU37" s="18" t="s">
        <v>83</v>
      </c>
      <c r="AV37" s="23" t="s">
        <v>84</v>
      </c>
      <c r="AW37" s="18" t="str">
        <f t="shared" si="8"/>
        <v>Baik</v>
      </c>
      <c r="AX37" s="23">
        <v>2</v>
      </c>
      <c r="AY37" s="18" t="s">
        <v>429</v>
      </c>
      <c r="AZ37" s="18" t="s">
        <v>83</v>
      </c>
      <c r="BA37" s="23" t="s">
        <v>86</v>
      </c>
      <c r="BB37" s="18" t="str">
        <f t="shared" si="9"/>
        <v>Sangat baik</v>
      </c>
      <c r="BC37" s="23"/>
      <c r="BD37" s="23"/>
      <c r="BE37" s="23"/>
      <c r="BF37" s="23"/>
      <c r="BG37" s="18"/>
      <c r="BH37" s="54"/>
    </row>
    <row r="38" spans="1:60" ht="7.5" customHeight="1" thickBot="1" x14ac:dyDescent="0.3">
      <c r="A38" s="38"/>
      <c r="B38" s="38"/>
      <c r="C38" s="38"/>
      <c r="D38" s="46"/>
      <c r="E38" s="38"/>
      <c r="F38" s="38"/>
      <c r="G38" s="38"/>
      <c r="H38" s="38"/>
      <c r="I38" s="63"/>
      <c r="J38" s="44"/>
      <c r="K38" s="38"/>
      <c r="L38" s="46"/>
      <c r="M38" s="38"/>
      <c r="N38" s="46"/>
      <c r="O38" s="38"/>
      <c r="P38" s="46"/>
      <c r="Q38" s="38"/>
      <c r="R38" s="46"/>
      <c r="S38" s="38"/>
      <c r="T38" s="46"/>
      <c r="U38" s="38"/>
      <c r="V38" s="46"/>
      <c r="W38" s="38"/>
      <c r="X38" s="46"/>
      <c r="Y38" s="38"/>
      <c r="Z38" s="46"/>
      <c r="AA38" s="38"/>
      <c r="AB38" s="46"/>
      <c r="AC38" s="38"/>
      <c r="AD38" s="46"/>
      <c r="AE38" s="38"/>
      <c r="AF38" s="46"/>
      <c r="AG38" s="38"/>
      <c r="AH38" s="46"/>
      <c r="AI38" s="38"/>
      <c r="AJ38" s="46"/>
      <c r="AK38" s="46"/>
      <c r="AL38" s="38"/>
      <c r="AM38" s="46"/>
      <c r="AN38" s="38"/>
      <c r="AO38" s="46"/>
      <c r="AP38" s="47"/>
      <c r="AQ38" s="47"/>
      <c r="AR38" s="47"/>
      <c r="AS38" s="38"/>
      <c r="AT38" s="38"/>
      <c r="AU38" s="38"/>
      <c r="AV38" s="38"/>
      <c r="AW38" s="46"/>
      <c r="AX38" s="38"/>
      <c r="AY38" s="46"/>
      <c r="AZ38" s="46"/>
      <c r="BA38" s="38"/>
      <c r="BB38" s="46"/>
      <c r="BC38" s="38"/>
      <c r="BD38" s="38"/>
      <c r="BE38" s="38"/>
      <c r="BF38" s="38"/>
      <c r="BG38" s="38"/>
      <c r="BH38" s="54"/>
    </row>
    <row r="39" spans="1:60" ht="15.75" thickTop="1" x14ac:dyDescent="0.25"/>
  </sheetData>
  <conditionalFormatting sqref="AW3:AW32 BB3:BB32 V2:V32 L2:L32 N2:N32 P2:P32 R2:R32 T2:T32 X2:X32 Z2:Z32 AB2:AB32 AD2:AD32 AF2:AF32 AH2:AH32 AJ2:AK2 AO2:AO32 AO35:AO38 AJ38:AK38 AH35:AH38 AF35:AF38 AD35:AD38 AB35:AB38 Z35:Z38 X35:X38 T35:T38 R35:R38 P35:P38 N35:N38 L35:L38 V35:V38 BB35:BB38 AW35:AW38 AJ35:AJ37 AJ3:AJ32 AK3:AK37">
    <cfRule type="cellIs" dxfId="60" priority="10" operator="lessThan">
      <formula>70</formula>
    </cfRule>
  </conditionalFormatting>
  <conditionalFormatting sqref="AW33:AW34 BB33:BB34 V33:V34 L33:L34 N33:N34 P33:P34 R33:R34 T33:T34 X33:X34 Z33:Z34 AB33:AB34 AD33:AD34 AF33:AF34 AH33:AH34 AJ33:AJ34 AO33:AO34">
    <cfRule type="cellIs" dxfId="59" priority="9" operator="lessThan">
      <formula>70</formula>
    </cfRule>
  </conditionalFormatting>
  <conditionalFormatting sqref="AM2:AM32 AM35:AM38">
    <cfRule type="cellIs" dxfId="58" priority="8" operator="lessThan">
      <formula>70</formula>
    </cfRule>
  </conditionalFormatting>
  <conditionalFormatting sqref="AM33:AM34">
    <cfRule type="cellIs" dxfId="57" priority="7" operator="lessThan">
      <formula>70</formula>
    </cfRule>
  </conditionalFormatting>
  <conditionalFormatting sqref="AW2:AW37 BB2:BB37">
    <cfRule type="cellIs" dxfId="56" priority="6" operator="lessThan">
      <formula>70</formula>
    </cfRule>
  </conditionalFormatting>
  <conditionalFormatting sqref="AV2:AV37">
    <cfRule type="cellIs" dxfId="55" priority="3" operator="lessThan">
      <formula>70</formula>
    </cfRule>
  </conditionalFormatting>
  <conditionalFormatting sqref="AV2:AV37">
    <cfRule type="cellIs" dxfId="54" priority="2" operator="lessThan">
      <formula>75</formula>
    </cfRule>
  </conditionalFormatting>
  <conditionalFormatting sqref="AT2:AT37">
    <cfRule type="cellIs" dxfId="53" priority="5" operator="lessThan">
      <formula>70</formula>
    </cfRule>
  </conditionalFormatting>
  <conditionalFormatting sqref="AT2:AT37">
    <cfRule type="cellIs" dxfId="52" priority="4" operator="lessThan">
      <formula>75</formula>
    </cfRule>
  </conditionalFormatting>
  <conditionalFormatting sqref="BG2:BG37">
    <cfRule type="cellIs" dxfId="51" priority="1" operator="lessThan">
      <formula>70</formula>
    </cfRule>
  </conditionalFormatting>
  <printOptions horizontalCentered="1"/>
  <pageMargins left="0.19685039370078741" right="0.19685039370078741" top="0.39370078740157483" bottom="0.39370078740157483" header="0.31496062992125984" footer="0.31496062992125984"/>
  <pageSetup paperSize="8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47"/>
  <sheetViews>
    <sheetView zoomScale="85" zoomScaleNormal="85" workbookViewId="0">
      <pane xSplit="10" ySplit="1" topLeftCell="AA79" activePane="bottomRight" state="frozen"/>
      <selection pane="topRight" activeCell="K1" sqref="K1"/>
      <selection pane="bottomLeft" activeCell="A2" sqref="A2"/>
      <selection pane="bottomRight" activeCell="AN1" sqref="AN1:AP1048576"/>
    </sheetView>
  </sheetViews>
  <sheetFormatPr defaultColWidth="9.140625" defaultRowHeight="15" x14ac:dyDescent="0.25"/>
  <cols>
    <col min="1" max="1" width="5" style="22" customWidth="1"/>
    <col min="2" max="2" width="8.140625" style="22" bestFit="1" customWidth="1"/>
    <col min="3" max="3" width="11.28515625" style="22" bestFit="1" customWidth="1"/>
    <col min="4" max="4" width="41.42578125" style="65" bestFit="1" customWidth="1"/>
    <col min="5" max="5" width="5.7109375" style="22" bestFit="1" customWidth="1"/>
    <col min="6" max="6" width="24.5703125" style="22" customWidth="1"/>
    <col min="7" max="7" width="23.5703125" style="19" customWidth="1"/>
    <col min="8" max="8" width="20.140625" style="19" customWidth="1"/>
    <col min="9" max="9" width="7" style="22" bestFit="1" customWidth="1"/>
    <col min="10" max="10" width="10" style="19" bestFit="1" customWidth="1"/>
    <col min="11" max="11" width="7" style="22" customWidth="1"/>
    <col min="12" max="12" width="36.85546875" style="22" hidden="1" customWidth="1"/>
    <col min="13" max="13" width="7" style="22" customWidth="1"/>
    <col min="14" max="14" width="28" style="22" hidden="1" customWidth="1"/>
    <col min="15" max="15" width="9.140625" style="22"/>
    <col min="16" max="16" width="28" style="22" hidden="1" customWidth="1"/>
    <col min="17" max="17" width="9.140625" style="22"/>
    <col min="18" max="18" width="28" style="22" hidden="1" customWidth="1"/>
    <col min="19" max="19" width="9.140625" style="22"/>
    <col min="20" max="20" width="28" style="22" hidden="1" customWidth="1"/>
    <col min="21" max="21" width="5.85546875" style="22" customWidth="1"/>
    <col min="22" max="22" width="28" style="22" hidden="1" customWidth="1"/>
    <col min="23" max="23" width="5.7109375" style="22" customWidth="1"/>
    <col min="24" max="24" width="28" style="22" hidden="1" customWidth="1"/>
    <col min="25" max="25" width="10.85546875" style="22" customWidth="1"/>
    <col min="26" max="26" width="28" style="22" hidden="1" customWidth="1"/>
    <col min="27" max="27" width="6" style="22" customWidth="1"/>
    <col min="28" max="28" width="28" style="22" hidden="1" customWidth="1"/>
    <col min="29" max="29" width="6.42578125" style="22" customWidth="1"/>
    <col min="30" max="30" width="28" style="22" hidden="1" customWidth="1"/>
    <col min="31" max="31" width="0" style="22" hidden="1" customWidth="1"/>
    <col min="32" max="32" width="28" style="22" hidden="1" customWidth="1"/>
    <col min="33" max="33" width="6.28515625" style="22" hidden="1" customWidth="1"/>
    <col min="34" max="34" width="28" style="22" hidden="1" customWidth="1"/>
    <col min="35" max="35" width="8" style="22" customWidth="1"/>
    <col min="36" max="36" width="7.85546875" style="22" customWidth="1"/>
    <col min="37" max="37" width="28" style="22" hidden="1" customWidth="1"/>
    <col min="38" max="38" width="7.5703125" style="22" customWidth="1"/>
    <col min="39" max="39" width="36.85546875" style="22" hidden="1" customWidth="1"/>
    <col min="40" max="42" width="6.42578125" style="19" customWidth="1"/>
    <col min="43" max="43" width="6.85546875" style="19" customWidth="1"/>
    <col min="44" max="44" width="9" style="19" bestFit="1" customWidth="1"/>
    <col min="45" max="45" width="19.140625" style="19" hidden="1" customWidth="1"/>
    <col min="46" max="46" width="9" style="22" customWidth="1"/>
    <col min="47" max="47" width="11.85546875" style="19" bestFit="1" customWidth="1"/>
    <col min="48" max="48" width="9.140625" style="19" customWidth="1"/>
    <col min="49" max="49" width="22.42578125" style="19" bestFit="1" customWidth="1"/>
    <col min="50" max="50" width="19.140625" style="19" hidden="1" customWidth="1"/>
    <col min="51" max="51" width="11.140625" style="22" customWidth="1"/>
    <col min="52" max="52" width="11.85546875" style="19" customWidth="1"/>
    <col min="53" max="53" width="6.28515625" style="19" customWidth="1"/>
    <col min="54" max="54" width="13.7109375" style="19" bestFit="1" customWidth="1"/>
    <col min="55" max="55" width="26" style="19" hidden="1" customWidth="1"/>
    <col min="56" max="57" width="6.28515625" style="19" customWidth="1"/>
    <col min="58" max="59" width="9.140625" style="19" customWidth="1"/>
    <col min="60" max="60" width="39.5703125" style="19" bestFit="1" customWidth="1"/>
    <col min="61" max="62" width="9.140625" style="19" customWidth="1"/>
    <col min="63" max="63" width="16.85546875" style="19" customWidth="1"/>
    <col min="64" max="64" width="9.140625" style="19" customWidth="1"/>
    <col min="65" max="67" width="9.140625" style="19"/>
    <col min="68" max="68" width="15.7109375" style="19" bestFit="1" customWidth="1"/>
    <col min="69" max="69" width="29.5703125" style="19" bestFit="1" customWidth="1"/>
    <col min="70" max="16384" width="9.140625" style="19"/>
  </cols>
  <sheetData>
    <row r="1" spans="1:69" s="6" customFormat="1" ht="39" customHeight="1" thickTop="1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836</v>
      </c>
      <c r="AF1" s="2" t="s">
        <v>837</v>
      </c>
      <c r="AG1" s="2" t="s">
        <v>838</v>
      </c>
      <c r="AH1" s="2" t="s">
        <v>839</v>
      </c>
      <c r="AI1" s="2" t="s">
        <v>287</v>
      </c>
      <c r="AJ1" s="2" t="s">
        <v>43</v>
      </c>
      <c r="AK1" s="2" t="s">
        <v>192</v>
      </c>
      <c r="AL1" s="2" t="s">
        <v>45</v>
      </c>
      <c r="AM1" s="2" t="s">
        <v>46</v>
      </c>
      <c r="AN1" s="2" t="s">
        <v>50</v>
      </c>
      <c r="AO1" s="2" t="s">
        <v>51</v>
      </c>
      <c r="AP1" s="2" t="s">
        <v>52</v>
      </c>
      <c r="AQ1" s="2" t="s">
        <v>53</v>
      </c>
      <c r="AR1" s="2" t="s">
        <v>54</v>
      </c>
      <c r="AS1" s="2" t="s">
        <v>55</v>
      </c>
      <c r="AT1" s="2" t="s">
        <v>56</v>
      </c>
      <c r="AU1" s="2" t="s">
        <v>57</v>
      </c>
      <c r="AV1" s="2" t="s">
        <v>58</v>
      </c>
      <c r="AW1" s="2" t="s">
        <v>59</v>
      </c>
      <c r="AX1" s="2" t="s">
        <v>60</v>
      </c>
      <c r="AY1" s="2" t="s">
        <v>61</v>
      </c>
      <c r="AZ1" s="2" t="s">
        <v>62</v>
      </c>
      <c r="BA1" s="2" t="s">
        <v>63</v>
      </c>
      <c r="BB1" s="2" t="s">
        <v>64</v>
      </c>
      <c r="BC1" s="2" t="s">
        <v>65</v>
      </c>
      <c r="BD1" s="2" t="s">
        <v>66</v>
      </c>
      <c r="BE1" s="2" t="s">
        <v>67</v>
      </c>
      <c r="BG1" s="6" t="s">
        <v>68</v>
      </c>
      <c r="BI1" s="5"/>
      <c r="BJ1" s="5" t="s">
        <v>69</v>
      </c>
      <c r="BK1" s="5"/>
      <c r="BL1" s="5"/>
      <c r="BN1" s="114" t="s">
        <v>526</v>
      </c>
      <c r="BO1" s="5"/>
      <c r="BP1" s="5" t="s">
        <v>840</v>
      </c>
      <c r="BQ1" s="5" t="s">
        <v>841</v>
      </c>
    </row>
    <row r="2" spans="1:69" ht="24.95" customHeight="1" thickTop="1" thickBot="1" x14ac:dyDescent="0.3">
      <c r="A2" s="7">
        <v>1</v>
      </c>
      <c r="B2" s="7">
        <v>2525582</v>
      </c>
      <c r="C2" s="7" t="s">
        <v>842</v>
      </c>
      <c r="D2" s="17" t="s">
        <v>843</v>
      </c>
      <c r="E2" s="7" t="s">
        <v>844</v>
      </c>
      <c r="F2" s="7" t="s">
        <v>845</v>
      </c>
      <c r="G2" s="8" t="s">
        <v>846</v>
      </c>
      <c r="H2" s="8" t="s">
        <v>847</v>
      </c>
      <c r="I2" s="10" t="s">
        <v>76</v>
      </c>
      <c r="J2" s="11" t="s">
        <v>77</v>
      </c>
      <c r="K2" s="7">
        <v>80</v>
      </c>
      <c r="L2" s="7" t="str">
        <f t="shared" ref="L2:L133" si="0">VLOOKUP(K2,grades1,2,TRUE)</f>
        <v>Mencapai kompetensi dengan baik dalam hal</v>
      </c>
      <c r="M2" s="7">
        <v>77</v>
      </c>
      <c r="N2" s="7" t="str">
        <f t="shared" ref="N2:N133" si="1">VLOOKUP(M2,grades1,2,TRUE)</f>
        <v>Mencapai kompetensi dengan baik dalam hal</v>
      </c>
      <c r="O2" s="7">
        <v>81</v>
      </c>
      <c r="P2" s="7" t="str">
        <f t="shared" ref="P2:P133" si="2">VLOOKUP(O2,grades1,2,TRUE)</f>
        <v>Mencapai kompetensi dengan baik dalam hal</v>
      </c>
      <c r="Q2" s="7">
        <v>82</v>
      </c>
      <c r="R2" s="7" t="str">
        <f t="shared" ref="R2:R133" si="3">VLOOKUP(Q2,grades1,2,TRUE)</f>
        <v>Mencapai kompetensi dengan baik dalam hal</v>
      </c>
      <c r="S2" s="7">
        <v>75</v>
      </c>
      <c r="T2" s="7" t="str">
        <f t="shared" ref="T2:T133" si="4">VLOOKUP(S2,grades1,2,TRUE)</f>
        <v>Mencapai kompetensi dengan baik dalam hal</v>
      </c>
      <c r="U2" s="7">
        <v>80</v>
      </c>
      <c r="V2" s="7" t="str">
        <f t="shared" ref="V2:V133" si="5">VLOOKUP(U2,grades1,2,TRUE)</f>
        <v>Mencapai kompetensi dengan baik dalam hal</v>
      </c>
      <c r="W2" s="7">
        <v>75</v>
      </c>
      <c r="X2" s="7" t="str">
        <f t="shared" ref="X2:X133" si="6">VLOOKUP(W2,grades1,2,TRUE)</f>
        <v>Mencapai kompetensi dengan baik dalam hal</v>
      </c>
      <c r="Y2" s="7">
        <v>79</v>
      </c>
      <c r="Z2" s="7" t="str">
        <f t="shared" ref="Z2:Z133" si="7">VLOOKUP(Y2,grades1,2,TRUE)</f>
        <v>Mencapai kompetensi dengan baik dalam hal</v>
      </c>
      <c r="AA2" s="7">
        <v>75</v>
      </c>
      <c r="AB2" s="7" t="str">
        <f t="shared" ref="AB2:AB133" si="8">VLOOKUP(AA2,grades1,2,TRUE)</f>
        <v>Mencapai kompetensi dengan baik dalam hal</v>
      </c>
      <c r="AC2" s="7">
        <v>80</v>
      </c>
      <c r="AD2" s="7" t="str">
        <f t="shared" ref="AD2:AD133" si="9">VLOOKUP(AC2,grades1,2,TRUE)</f>
        <v>Mencapai kompetensi dengan baik dalam hal</v>
      </c>
      <c r="AE2" s="7">
        <v>77</v>
      </c>
      <c r="AF2" s="7" t="str">
        <f t="shared" ref="AF2:AF133" si="10">VLOOKUP(AE2,grades1,2,TRUE)</f>
        <v>Mencapai kompetensi dengan baik dalam hal</v>
      </c>
      <c r="AG2" s="7">
        <v>78</v>
      </c>
      <c r="AH2" s="7" t="str">
        <f t="shared" ref="AH2:AH133" si="11">VLOOKUP(AG2,grades1,2,TRUE)</f>
        <v>Mencapai kompetensi dengan baik dalam hal</v>
      </c>
      <c r="AI2" s="59">
        <f>AVERAGE(AG2,AE2)</f>
        <v>77.5</v>
      </c>
      <c r="AJ2" s="7">
        <v>75</v>
      </c>
      <c r="AK2" s="7" t="str">
        <f t="shared" ref="AK2:AK133" si="12">VLOOKUP(AJ2,grades1,2,TRUE)</f>
        <v>Mencapai kompetensi dengan baik dalam hal</v>
      </c>
      <c r="AL2" s="7">
        <v>79</v>
      </c>
      <c r="AM2" s="17" t="str">
        <f t="shared" ref="AM2:AM134" si="13">VLOOKUP(AL2,grades1,2,TRUE)</f>
        <v>Mencapai kompetensi dengan baik dalam hal</v>
      </c>
      <c r="AN2" s="7">
        <v>6</v>
      </c>
      <c r="AO2" s="7" t="s">
        <v>81</v>
      </c>
      <c r="AP2" s="7" t="s">
        <v>81</v>
      </c>
      <c r="AQ2" s="7">
        <v>1</v>
      </c>
      <c r="AR2" s="7" t="s">
        <v>82</v>
      </c>
      <c r="AS2" s="17" t="s">
        <v>83</v>
      </c>
      <c r="AT2" s="7" t="s">
        <v>84</v>
      </c>
      <c r="AU2" s="17" t="str">
        <f t="shared" ref="AU2:AU33" si="14">VLOOKUP(AT2,grades4,2,TRUE)</f>
        <v>Baik</v>
      </c>
      <c r="AV2" s="7">
        <v>2</v>
      </c>
      <c r="AW2" s="17" t="s">
        <v>170</v>
      </c>
      <c r="AX2" s="17" t="s">
        <v>83</v>
      </c>
      <c r="AY2" s="7" t="s">
        <v>84</v>
      </c>
      <c r="AZ2" s="17" t="str">
        <f t="shared" ref="AZ2:AZ33" si="15">VLOOKUP(AY2,grades4,2,TRUE)</f>
        <v>Baik</v>
      </c>
      <c r="BA2" s="7"/>
      <c r="BB2" s="7"/>
      <c r="BC2" s="7"/>
      <c r="BD2" s="7"/>
      <c r="BE2" s="17"/>
      <c r="BG2" s="20" t="s">
        <v>88</v>
      </c>
      <c r="BH2" s="20" t="s">
        <v>89</v>
      </c>
      <c r="BJ2" s="21" t="s">
        <v>90</v>
      </c>
      <c r="BK2" s="21" t="s">
        <v>91</v>
      </c>
      <c r="BL2" s="22"/>
      <c r="BN2" s="22">
        <f t="shared" ref="BN2:BN65" si="16">COUNTIFS(K2:AL2,"&gt;=0",K2:AL2,"&lt;75")</f>
        <v>0</v>
      </c>
      <c r="BP2" s="115">
        <f>AVERAGE(K2,M2,O2,Q2,S2,U2,W2,Y2,AA2,AC2,AI2,AJ2,AL2)</f>
        <v>78.115384615384613</v>
      </c>
      <c r="BQ2" s="22">
        <f>_xlfn.RANK.EQ(BP2,$BP$2:$BP$37,0)</f>
        <v>31</v>
      </c>
    </row>
    <row r="3" spans="1:69" ht="24.95" customHeight="1" thickTop="1" thickBot="1" x14ac:dyDescent="0.3">
      <c r="A3" s="23">
        <v>2</v>
      </c>
      <c r="B3" s="23">
        <v>2525583</v>
      </c>
      <c r="C3" s="23" t="s">
        <v>848</v>
      </c>
      <c r="D3" s="18" t="s">
        <v>849</v>
      </c>
      <c r="E3" s="23" t="s">
        <v>844</v>
      </c>
      <c r="F3" s="23" t="s">
        <v>845</v>
      </c>
      <c r="G3" s="24" t="s">
        <v>846</v>
      </c>
      <c r="H3" s="24" t="s">
        <v>847</v>
      </c>
      <c r="I3" s="60" t="s">
        <v>76</v>
      </c>
      <c r="J3" s="61" t="s">
        <v>77</v>
      </c>
      <c r="K3" s="23">
        <v>78</v>
      </c>
      <c r="L3" s="23" t="str">
        <f t="shared" si="0"/>
        <v>Mencapai kompetensi dengan baik dalam hal</v>
      </c>
      <c r="M3" s="23">
        <v>79</v>
      </c>
      <c r="N3" s="23" t="str">
        <f t="shared" si="1"/>
        <v>Mencapai kompetensi dengan baik dalam hal</v>
      </c>
      <c r="O3" s="23">
        <v>82</v>
      </c>
      <c r="P3" s="23" t="str">
        <f t="shared" si="2"/>
        <v>Mencapai kompetensi dengan baik dalam hal</v>
      </c>
      <c r="Q3" s="23">
        <v>80</v>
      </c>
      <c r="R3" s="23" t="str">
        <f t="shared" si="3"/>
        <v>Mencapai kompetensi dengan baik dalam hal</v>
      </c>
      <c r="S3" s="23">
        <v>75</v>
      </c>
      <c r="T3" s="23" t="str">
        <f t="shared" si="4"/>
        <v>Mencapai kompetensi dengan baik dalam hal</v>
      </c>
      <c r="U3" s="23">
        <v>82</v>
      </c>
      <c r="V3" s="23" t="str">
        <f t="shared" si="5"/>
        <v>Mencapai kompetensi dengan baik dalam hal</v>
      </c>
      <c r="W3" s="23">
        <v>76</v>
      </c>
      <c r="X3" s="23" t="str">
        <f t="shared" si="6"/>
        <v>Mencapai kompetensi dengan baik dalam hal</v>
      </c>
      <c r="Y3" s="23">
        <v>80</v>
      </c>
      <c r="Z3" s="23" t="str">
        <f t="shared" si="7"/>
        <v>Mencapai kompetensi dengan baik dalam hal</v>
      </c>
      <c r="AA3" s="23">
        <v>83</v>
      </c>
      <c r="AB3" s="23" t="str">
        <f t="shared" si="8"/>
        <v>Mencapai kompetensi dengan baik dalam hal</v>
      </c>
      <c r="AC3" s="23">
        <v>83</v>
      </c>
      <c r="AD3" s="23" t="str">
        <f t="shared" si="9"/>
        <v>Mencapai kompetensi dengan baik dalam hal</v>
      </c>
      <c r="AE3" s="23">
        <v>79</v>
      </c>
      <c r="AF3" s="23" t="str">
        <f t="shared" si="10"/>
        <v>Mencapai kompetensi dengan baik dalam hal</v>
      </c>
      <c r="AG3" s="23">
        <v>80</v>
      </c>
      <c r="AH3" s="23" t="str">
        <f t="shared" si="11"/>
        <v>Mencapai kompetensi dengan baik dalam hal</v>
      </c>
      <c r="AI3" s="62">
        <f t="shared" ref="AI3:AI66" si="17">AVERAGE(AG3,AE3)</f>
        <v>79.5</v>
      </c>
      <c r="AJ3" s="23">
        <v>83</v>
      </c>
      <c r="AK3" s="23" t="str">
        <f t="shared" si="12"/>
        <v>Mencapai kompetensi dengan baik dalam hal</v>
      </c>
      <c r="AL3" s="23">
        <v>78</v>
      </c>
      <c r="AM3" s="18" t="str">
        <f t="shared" si="13"/>
        <v>Mencapai kompetensi dengan baik dalam hal</v>
      </c>
      <c r="AN3" s="23">
        <v>4</v>
      </c>
      <c r="AO3" s="23" t="s">
        <v>81</v>
      </c>
      <c r="AP3" s="23" t="s">
        <v>81</v>
      </c>
      <c r="AQ3" s="23">
        <v>1</v>
      </c>
      <c r="AR3" s="23" t="s">
        <v>82</v>
      </c>
      <c r="AS3" s="18" t="s">
        <v>83</v>
      </c>
      <c r="AT3" s="23" t="s">
        <v>84</v>
      </c>
      <c r="AU3" s="18" t="str">
        <f t="shared" si="14"/>
        <v>Baik</v>
      </c>
      <c r="AV3" s="23">
        <v>2</v>
      </c>
      <c r="AW3" s="18" t="s">
        <v>170</v>
      </c>
      <c r="AX3" s="18" t="s">
        <v>83</v>
      </c>
      <c r="AY3" s="23" t="s">
        <v>84</v>
      </c>
      <c r="AZ3" s="18" t="str">
        <f t="shared" si="15"/>
        <v>Baik</v>
      </c>
      <c r="BA3" s="23"/>
      <c r="BB3" s="23"/>
      <c r="BC3" s="23"/>
      <c r="BD3" s="23"/>
      <c r="BE3" s="18"/>
      <c r="BG3" s="20">
        <v>0</v>
      </c>
      <c r="BH3" s="25" t="s">
        <v>95</v>
      </c>
      <c r="BJ3" s="21" t="s">
        <v>86</v>
      </c>
      <c r="BK3" s="21" t="s">
        <v>96</v>
      </c>
      <c r="BL3" s="22"/>
      <c r="BN3" s="22">
        <f t="shared" si="16"/>
        <v>0</v>
      </c>
      <c r="BP3" s="115">
        <f t="shared" ref="BP3:BP66" si="18">AVERAGE(K3,M3,O3,Q3,S3,U3,W3,Y3,AA3,AC3,AI3,AJ3,AL3)</f>
        <v>79.884615384615387</v>
      </c>
      <c r="BQ3" s="22">
        <f t="shared" ref="BQ3:BQ37" si="19">_xlfn.RANK.EQ(BP3,$BP$2:$BP$37,0)</f>
        <v>10</v>
      </c>
    </row>
    <row r="4" spans="1:69" ht="24.95" customHeight="1" thickTop="1" thickBot="1" x14ac:dyDescent="0.3">
      <c r="A4" s="23">
        <v>3</v>
      </c>
      <c r="B4" s="23">
        <v>2525584</v>
      </c>
      <c r="C4" s="23" t="s">
        <v>850</v>
      </c>
      <c r="D4" s="18" t="s">
        <v>851</v>
      </c>
      <c r="E4" s="23" t="s">
        <v>844</v>
      </c>
      <c r="F4" s="23" t="s">
        <v>845</v>
      </c>
      <c r="G4" s="24" t="s">
        <v>846</v>
      </c>
      <c r="H4" s="24" t="s">
        <v>847</v>
      </c>
      <c r="I4" s="60" t="s">
        <v>76</v>
      </c>
      <c r="J4" s="61" t="s">
        <v>77</v>
      </c>
      <c r="K4" s="23">
        <v>79</v>
      </c>
      <c r="L4" s="23" t="str">
        <f t="shared" si="0"/>
        <v>Mencapai kompetensi dengan baik dalam hal</v>
      </c>
      <c r="M4" s="23">
        <v>81</v>
      </c>
      <c r="N4" s="23" t="str">
        <f t="shared" si="1"/>
        <v>Mencapai kompetensi dengan baik dalam hal</v>
      </c>
      <c r="O4" s="23">
        <v>82</v>
      </c>
      <c r="P4" s="23" t="str">
        <f t="shared" si="2"/>
        <v>Mencapai kompetensi dengan baik dalam hal</v>
      </c>
      <c r="Q4" s="23">
        <v>79</v>
      </c>
      <c r="R4" s="23" t="str">
        <f t="shared" si="3"/>
        <v>Mencapai kompetensi dengan baik dalam hal</v>
      </c>
      <c r="S4" s="23">
        <v>85</v>
      </c>
      <c r="T4" s="23" t="str">
        <f t="shared" si="4"/>
        <v>Mencapai kompetensi dengan baik dalam hal</v>
      </c>
      <c r="U4" s="23">
        <v>80</v>
      </c>
      <c r="V4" s="23" t="str">
        <f t="shared" si="5"/>
        <v>Mencapai kompetensi dengan baik dalam hal</v>
      </c>
      <c r="W4" s="23">
        <v>76</v>
      </c>
      <c r="X4" s="23" t="str">
        <f t="shared" si="6"/>
        <v>Mencapai kompetensi dengan baik dalam hal</v>
      </c>
      <c r="Y4" s="23">
        <v>77</v>
      </c>
      <c r="Z4" s="23" t="str">
        <f t="shared" si="7"/>
        <v>Mencapai kompetensi dengan baik dalam hal</v>
      </c>
      <c r="AA4" s="23">
        <v>88</v>
      </c>
      <c r="AB4" s="23" t="str">
        <f t="shared" si="8"/>
        <v>Mencapai kompetensi dengan baik dalam hal</v>
      </c>
      <c r="AC4" s="23">
        <v>83</v>
      </c>
      <c r="AD4" s="23" t="str">
        <f t="shared" si="9"/>
        <v>Mencapai kompetensi dengan baik dalam hal</v>
      </c>
      <c r="AE4" s="23">
        <v>77</v>
      </c>
      <c r="AF4" s="23" t="str">
        <f t="shared" si="10"/>
        <v>Mencapai kompetensi dengan baik dalam hal</v>
      </c>
      <c r="AG4" s="23">
        <v>78</v>
      </c>
      <c r="AH4" s="23" t="str">
        <f t="shared" si="11"/>
        <v>Mencapai kompetensi dengan baik dalam hal</v>
      </c>
      <c r="AI4" s="62">
        <f t="shared" si="17"/>
        <v>77.5</v>
      </c>
      <c r="AJ4" s="23">
        <v>88</v>
      </c>
      <c r="AK4" s="23" t="str">
        <f t="shared" si="12"/>
        <v>Mencapai kompetensi dengan baik dalam hal</v>
      </c>
      <c r="AL4" s="23">
        <v>79</v>
      </c>
      <c r="AM4" s="18" t="str">
        <f t="shared" si="13"/>
        <v>Mencapai kompetensi dengan baik dalam hal</v>
      </c>
      <c r="AN4" s="23" t="s">
        <v>81</v>
      </c>
      <c r="AO4" s="23" t="s">
        <v>81</v>
      </c>
      <c r="AP4" s="23" t="s">
        <v>81</v>
      </c>
      <c r="AQ4" s="23">
        <v>1</v>
      </c>
      <c r="AR4" s="23" t="s">
        <v>82</v>
      </c>
      <c r="AS4" s="18" t="s">
        <v>83</v>
      </c>
      <c r="AT4" s="23" t="s">
        <v>86</v>
      </c>
      <c r="AU4" s="18" t="str">
        <f t="shared" si="14"/>
        <v>Sangat baik</v>
      </c>
      <c r="AV4" s="23">
        <v>2</v>
      </c>
      <c r="AW4" s="18" t="s">
        <v>212</v>
      </c>
      <c r="AX4" s="18" t="s">
        <v>83</v>
      </c>
      <c r="AY4" s="23" t="s">
        <v>86</v>
      </c>
      <c r="AZ4" s="18" t="str">
        <f t="shared" si="15"/>
        <v>Sangat baik</v>
      </c>
      <c r="BA4" s="23"/>
      <c r="BB4" s="23"/>
      <c r="BC4" s="23"/>
      <c r="BD4" s="23"/>
      <c r="BE4" s="18"/>
      <c r="BG4" s="20">
        <v>60</v>
      </c>
      <c r="BH4" s="25" t="s">
        <v>95</v>
      </c>
      <c r="BJ4" s="21" t="s">
        <v>84</v>
      </c>
      <c r="BK4" s="21" t="s">
        <v>100</v>
      </c>
      <c r="BL4" s="22"/>
      <c r="BN4" s="22">
        <f t="shared" si="16"/>
        <v>0</v>
      </c>
      <c r="BP4" s="115">
        <f t="shared" si="18"/>
        <v>81.115384615384613</v>
      </c>
      <c r="BQ4" s="22">
        <f t="shared" si="19"/>
        <v>3</v>
      </c>
    </row>
    <row r="5" spans="1:69" ht="24.95" customHeight="1" thickTop="1" thickBot="1" x14ac:dyDescent="0.3">
      <c r="A5" s="23">
        <v>4</v>
      </c>
      <c r="B5" s="23">
        <v>2525585</v>
      </c>
      <c r="C5" s="23" t="s">
        <v>852</v>
      </c>
      <c r="D5" s="18" t="s">
        <v>853</v>
      </c>
      <c r="E5" s="23" t="s">
        <v>844</v>
      </c>
      <c r="F5" s="23" t="s">
        <v>845</v>
      </c>
      <c r="G5" s="24" t="s">
        <v>846</v>
      </c>
      <c r="H5" s="24" t="s">
        <v>847</v>
      </c>
      <c r="I5" s="60" t="s">
        <v>76</v>
      </c>
      <c r="J5" s="61" t="s">
        <v>77</v>
      </c>
      <c r="K5" s="23">
        <v>78</v>
      </c>
      <c r="L5" s="23" t="str">
        <f t="shared" si="0"/>
        <v>Mencapai kompetensi dengan baik dalam hal</v>
      </c>
      <c r="M5" s="23">
        <v>77</v>
      </c>
      <c r="N5" s="23" t="str">
        <f t="shared" si="1"/>
        <v>Mencapai kompetensi dengan baik dalam hal</v>
      </c>
      <c r="O5" s="23">
        <v>79</v>
      </c>
      <c r="P5" s="23" t="str">
        <f t="shared" si="2"/>
        <v>Mencapai kompetensi dengan baik dalam hal</v>
      </c>
      <c r="Q5" s="23">
        <v>81</v>
      </c>
      <c r="R5" s="23" t="str">
        <f t="shared" si="3"/>
        <v>Mencapai kompetensi dengan baik dalam hal</v>
      </c>
      <c r="S5" s="23">
        <v>76</v>
      </c>
      <c r="T5" s="23" t="str">
        <f t="shared" si="4"/>
        <v>Mencapai kompetensi dengan baik dalam hal</v>
      </c>
      <c r="U5" s="23">
        <v>80</v>
      </c>
      <c r="V5" s="23" t="str">
        <f t="shared" si="5"/>
        <v>Mencapai kompetensi dengan baik dalam hal</v>
      </c>
      <c r="W5" s="23">
        <v>75</v>
      </c>
      <c r="X5" s="23" t="str">
        <f t="shared" si="6"/>
        <v>Mencapai kompetensi dengan baik dalam hal</v>
      </c>
      <c r="Y5" s="23">
        <v>79</v>
      </c>
      <c r="Z5" s="23" t="str">
        <f t="shared" si="7"/>
        <v>Mencapai kompetensi dengan baik dalam hal</v>
      </c>
      <c r="AA5" s="23">
        <v>79</v>
      </c>
      <c r="AB5" s="23" t="str">
        <f t="shared" si="8"/>
        <v>Mencapai kompetensi dengan baik dalam hal</v>
      </c>
      <c r="AC5" s="23">
        <v>80</v>
      </c>
      <c r="AD5" s="23" t="str">
        <f t="shared" si="9"/>
        <v>Mencapai kompetensi dengan baik dalam hal</v>
      </c>
      <c r="AE5" s="23">
        <v>78</v>
      </c>
      <c r="AF5" s="23" t="str">
        <f t="shared" si="10"/>
        <v>Mencapai kompetensi dengan baik dalam hal</v>
      </c>
      <c r="AG5" s="23">
        <v>79</v>
      </c>
      <c r="AH5" s="23" t="str">
        <f t="shared" si="11"/>
        <v>Mencapai kompetensi dengan baik dalam hal</v>
      </c>
      <c r="AI5" s="62">
        <f t="shared" si="17"/>
        <v>78.5</v>
      </c>
      <c r="AJ5" s="23">
        <v>79</v>
      </c>
      <c r="AK5" s="23" t="str">
        <f t="shared" si="12"/>
        <v>Mencapai kompetensi dengan baik dalam hal</v>
      </c>
      <c r="AL5" s="23">
        <v>79</v>
      </c>
      <c r="AM5" s="18" t="str">
        <f t="shared" si="13"/>
        <v>Mencapai kompetensi dengan baik dalam hal</v>
      </c>
      <c r="AN5" s="23">
        <v>1</v>
      </c>
      <c r="AO5" s="23" t="s">
        <v>81</v>
      </c>
      <c r="AP5" s="23" t="s">
        <v>81</v>
      </c>
      <c r="AQ5" s="23">
        <v>1</v>
      </c>
      <c r="AR5" s="23" t="s">
        <v>82</v>
      </c>
      <c r="AS5" s="18" t="s">
        <v>83</v>
      </c>
      <c r="AT5" s="23" t="s">
        <v>84</v>
      </c>
      <c r="AU5" s="18" t="str">
        <f t="shared" si="14"/>
        <v>Baik</v>
      </c>
      <c r="AV5" s="23">
        <v>2</v>
      </c>
      <c r="AW5" s="18" t="s">
        <v>108</v>
      </c>
      <c r="AX5" s="18" t="s">
        <v>83</v>
      </c>
      <c r="AY5" s="23" t="s">
        <v>86</v>
      </c>
      <c r="AZ5" s="18" t="str">
        <f t="shared" si="15"/>
        <v>Sangat baik</v>
      </c>
      <c r="BA5" s="23"/>
      <c r="BB5" s="23"/>
      <c r="BC5" s="23"/>
      <c r="BD5" s="23"/>
      <c r="BE5" s="18"/>
      <c r="BG5" s="20">
        <v>70</v>
      </c>
      <c r="BH5" s="25" t="s">
        <v>95</v>
      </c>
      <c r="BJ5" s="21" t="s">
        <v>104</v>
      </c>
      <c r="BK5" s="21" t="s">
        <v>105</v>
      </c>
      <c r="BL5" s="22"/>
      <c r="BN5" s="22">
        <f t="shared" si="16"/>
        <v>0</v>
      </c>
      <c r="BP5" s="115">
        <f t="shared" si="18"/>
        <v>78.5</v>
      </c>
      <c r="BQ5" s="22">
        <f t="shared" si="19"/>
        <v>27</v>
      </c>
    </row>
    <row r="6" spans="1:69" ht="24.95" customHeight="1" thickTop="1" thickBot="1" x14ac:dyDescent="0.3">
      <c r="A6" s="23">
        <v>5</v>
      </c>
      <c r="B6" s="23">
        <v>2525586</v>
      </c>
      <c r="C6" s="23" t="s">
        <v>854</v>
      </c>
      <c r="D6" s="18" t="s">
        <v>855</v>
      </c>
      <c r="E6" s="23" t="s">
        <v>844</v>
      </c>
      <c r="F6" s="23" t="s">
        <v>845</v>
      </c>
      <c r="G6" s="24" t="s">
        <v>846</v>
      </c>
      <c r="H6" s="24" t="s">
        <v>847</v>
      </c>
      <c r="I6" s="60" t="s">
        <v>76</v>
      </c>
      <c r="J6" s="61" t="s">
        <v>77</v>
      </c>
      <c r="K6" s="23">
        <v>79</v>
      </c>
      <c r="L6" s="23" t="str">
        <f t="shared" si="0"/>
        <v>Mencapai kompetensi dengan baik dalam hal</v>
      </c>
      <c r="M6" s="23">
        <v>76</v>
      </c>
      <c r="N6" s="23" t="str">
        <f t="shared" si="1"/>
        <v>Mencapai kompetensi dengan baik dalam hal</v>
      </c>
      <c r="O6" s="23">
        <v>82</v>
      </c>
      <c r="P6" s="23" t="str">
        <f t="shared" si="2"/>
        <v>Mencapai kompetensi dengan baik dalam hal</v>
      </c>
      <c r="Q6" s="23">
        <v>78</v>
      </c>
      <c r="R6" s="23" t="str">
        <f t="shared" si="3"/>
        <v>Mencapai kompetensi dengan baik dalam hal</v>
      </c>
      <c r="S6" s="23">
        <v>78</v>
      </c>
      <c r="T6" s="23" t="str">
        <f t="shared" si="4"/>
        <v>Mencapai kompetensi dengan baik dalam hal</v>
      </c>
      <c r="U6" s="23">
        <v>83</v>
      </c>
      <c r="V6" s="23" t="str">
        <f t="shared" si="5"/>
        <v>Mencapai kompetensi dengan baik dalam hal</v>
      </c>
      <c r="W6" s="23">
        <v>75</v>
      </c>
      <c r="X6" s="23" t="str">
        <f t="shared" si="6"/>
        <v>Mencapai kompetensi dengan baik dalam hal</v>
      </c>
      <c r="Y6" s="23">
        <v>81</v>
      </c>
      <c r="Z6" s="23" t="str">
        <f t="shared" si="7"/>
        <v>Mencapai kompetensi dengan baik dalam hal</v>
      </c>
      <c r="AA6" s="23">
        <v>83</v>
      </c>
      <c r="AB6" s="23" t="str">
        <f t="shared" si="8"/>
        <v>Mencapai kompetensi dengan baik dalam hal</v>
      </c>
      <c r="AC6" s="23">
        <v>80</v>
      </c>
      <c r="AD6" s="23" t="str">
        <f t="shared" si="9"/>
        <v>Mencapai kompetensi dengan baik dalam hal</v>
      </c>
      <c r="AE6" s="23">
        <v>76</v>
      </c>
      <c r="AF6" s="23" t="str">
        <f t="shared" si="10"/>
        <v>Mencapai kompetensi dengan baik dalam hal</v>
      </c>
      <c r="AG6" s="23">
        <v>77</v>
      </c>
      <c r="AH6" s="23" t="str">
        <f t="shared" si="11"/>
        <v>Mencapai kompetensi dengan baik dalam hal</v>
      </c>
      <c r="AI6" s="62">
        <f t="shared" si="17"/>
        <v>76.5</v>
      </c>
      <c r="AJ6" s="23">
        <v>83</v>
      </c>
      <c r="AK6" s="23" t="str">
        <f t="shared" si="12"/>
        <v>Mencapai kompetensi dengan baik dalam hal</v>
      </c>
      <c r="AL6" s="23">
        <v>79</v>
      </c>
      <c r="AM6" s="18" t="str">
        <f t="shared" si="13"/>
        <v>Mencapai kompetensi dengan baik dalam hal</v>
      </c>
      <c r="AN6" s="23" t="s">
        <v>81</v>
      </c>
      <c r="AO6" s="23" t="s">
        <v>81</v>
      </c>
      <c r="AP6" s="23" t="s">
        <v>81</v>
      </c>
      <c r="AQ6" s="23">
        <v>1</v>
      </c>
      <c r="AR6" s="23" t="s">
        <v>82</v>
      </c>
      <c r="AS6" s="18" t="s">
        <v>83</v>
      </c>
      <c r="AT6" s="23" t="s">
        <v>84</v>
      </c>
      <c r="AU6" s="18" t="str">
        <f t="shared" si="14"/>
        <v>Baik</v>
      </c>
      <c r="AV6" s="23">
        <v>2</v>
      </c>
      <c r="AW6" s="18" t="s">
        <v>108</v>
      </c>
      <c r="AX6" s="18" t="s">
        <v>83</v>
      </c>
      <c r="AY6" s="23" t="s">
        <v>86</v>
      </c>
      <c r="AZ6" s="18" t="str">
        <f t="shared" si="15"/>
        <v>Sangat baik</v>
      </c>
      <c r="BA6" s="23"/>
      <c r="BB6" s="23"/>
      <c r="BC6" s="23"/>
      <c r="BD6" s="23"/>
      <c r="BE6" s="18"/>
      <c r="BG6" s="20">
        <v>75</v>
      </c>
      <c r="BH6" s="25" t="s">
        <v>109</v>
      </c>
      <c r="BJ6" s="21" t="s">
        <v>110</v>
      </c>
      <c r="BK6" s="21" t="s">
        <v>111</v>
      </c>
      <c r="BL6" s="22"/>
      <c r="BN6" s="22">
        <f t="shared" si="16"/>
        <v>0</v>
      </c>
      <c r="BP6" s="115">
        <f t="shared" si="18"/>
        <v>79.5</v>
      </c>
      <c r="BQ6" s="22">
        <f t="shared" si="19"/>
        <v>15</v>
      </c>
    </row>
    <row r="7" spans="1:69" ht="24.95" customHeight="1" thickTop="1" thickBot="1" x14ac:dyDescent="0.3">
      <c r="A7" s="23">
        <v>6</v>
      </c>
      <c r="B7" s="23">
        <v>2525587</v>
      </c>
      <c r="C7" s="23" t="s">
        <v>856</v>
      </c>
      <c r="D7" s="18" t="s">
        <v>857</v>
      </c>
      <c r="E7" s="23" t="s">
        <v>844</v>
      </c>
      <c r="F7" s="23" t="s">
        <v>845</v>
      </c>
      <c r="G7" s="24" t="s">
        <v>846</v>
      </c>
      <c r="H7" s="24" t="s">
        <v>847</v>
      </c>
      <c r="I7" s="60" t="s">
        <v>76</v>
      </c>
      <c r="J7" s="61" t="s">
        <v>77</v>
      </c>
      <c r="K7" s="23">
        <v>79</v>
      </c>
      <c r="L7" s="23" t="str">
        <f t="shared" si="0"/>
        <v>Mencapai kompetensi dengan baik dalam hal</v>
      </c>
      <c r="M7" s="23">
        <v>76</v>
      </c>
      <c r="N7" s="23" t="str">
        <f t="shared" si="1"/>
        <v>Mencapai kompetensi dengan baik dalam hal</v>
      </c>
      <c r="O7" s="23">
        <v>80</v>
      </c>
      <c r="P7" s="23" t="str">
        <f t="shared" si="2"/>
        <v>Mencapai kompetensi dengan baik dalam hal</v>
      </c>
      <c r="Q7" s="23">
        <v>80</v>
      </c>
      <c r="R7" s="23" t="str">
        <f t="shared" si="3"/>
        <v>Mencapai kompetensi dengan baik dalam hal</v>
      </c>
      <c r="S7" s="23">
        <v>78</v>
      </c>
      <c r="T7" s="23" t="str">
        <f t="shared" si="4"/>
        <v>Mencapai kompetensi dengan baik dalam hal</v>
      </c>
      <c r="U7" s="23">
        <v>90</v>
      </c>
      <c r="V7" s="23" t="str">
        <f t="shared" si="5"/>
        <v>Mencapai kompetensi dengan sangat baik dalam hal</v>
      </c>
      <c r="W7" s="23">
        <v>75</v>
      </c>
      <c r="X7" s="23" t="str">
        <f t="shared" si="6"/>
        <v>Mencapai kompetensi dengan baik dalam hal</v>
      </c>
      <c r="Y7" s="23">
        <v>78</v>
      </c>
      <c r="Z7" s="23" t="str">
        <f t="shared" si="7"/>
        <v>Mencapai kompetensi dengan baik dalam hal</v>
      </c>
      <c r="AA7" s="23">
        <v>79</v>
      </c>
      <c r="AB7" s="23" t="str">
        <f t="shared" si="8"/>
        <v>Mencapai kompetensi dengan baik dalam hal</v>
      </c>
      <c r="AC7" s="23">
        <v>80</v>
      </c>
      <c r="AD7" s="23" t="str">
        <f t="shared" si="9"/>
        <v>Mencapai kompetensi dengan baik dalam hal</v>
      </c>
      <c r="AE7" s="23">
        <v>78</v>
      </c>
      <c r="AF7" s="23" t="str">
        <f t="shared" si="10"/>
        <v>Mencapai kompetensi dengan baik dalam hal</v>
      </c>
      <c r="AG7" s="23">
        <v>79</v>
      </c>
      <c r="AH7" s="23" t="str">
        <f t="shared" si="11"/>
        <v>Mencapai kompetensi dengan baik dalam hal</v>
      </c>
      <c r="AI7" s="62">
        <f t="shared" si="17"/>
        <v>78.5</v>
      </c>
      <c r="AJ7" s="23">
        <v>79</v>
      </c>
      <c r="AK7" s="23" t="str">
        <f t="shared" si="12"/>
        <v>Mencapai kompetensi dengan baik dalam hal</v>
      </c>
      <c r="AL7" s="23">
        <v>78</v>
      </c>
      <c r="AM7" s="18" t="str">
        <f t="shared" si="13"/>
        <v>Mencapai kompetensi dengan baik dalam hal</v>
      </c>
      <c r="AN7" s="23" t="s">
        <v>81</v>
      </c>
      <c r="AO7" s="23" t="s">
        <v>81</v>
      </c>
      <c r="AP7" s="23" t="s">
        <v>81</v>
      </c>
      <c r="AQ7" s="23">
        <v>1</v>
      </c>
      <c r="AR7" s="23" t="s">
        <v>82</v>
      </c>
      <c r="AS7" s="18" t="s">
        <v>83</v>
      </c>
      <c r="AT7" s="23" t="s">
        <v>86</v>
      </c>
      <c r="AU7" s="18" t="str">
        <f t="shared" si="14"/>
        <v>Sangat baik</v>
      </c>
      <c r="AV7" s="23">
        <v>2</v>
      </c>
      <c r="AW7" s="18" t="s">
        <v>162</v>
      </c>
      <c r="AX7" s="18" t="s">
        <v>83</v>
      </c>
      <c r="AY7" s="23" t="s">
        <v>86</v>
      </c>
      <c r="AZ7" s="18" t="str">
        <f t="shared" si="15"/>
        <v>Sangat baik</v>
      </c>
      <c r="BA7" s="23"/>
      <c r="BB7" s="23"/>
      <c r="BC7" s="23"/>
      <c r="BD7" s="23"/>
      <c r="BE7" s="18"/>
      <c r="BG7" s="20">
        <v>80</v>
      </c>
      <c r="BH7" s="25" t="s">
        <v>109</v>
      </c>
      <c r="BJ7" s="21"/>
      <c r="BK7" s="21"/>
      <c r="BL7" s="22"/>
      <c r="BN7" s="22">
        <f t="shared" si="16"/>
        <v>0</v>
      </c>
      <c r="BP7" s="115">
        <f t="shared" si="18"/>
        <v>79.269230769230774</v>
      </c>
      <c r="BQ7" s="22">
        <f t="shared" si="19"/>
        <v>18</v>
      </c>
    </row>
    <row r="8" spans="1:69" ht="24.95" customHeight="1" thickTop="1" thickBot="1" x14ac:dyDescent="0.3">
      <c r="A8" s="23">
        <v>7</v>
      </c>
      <c r="B8" s="23">
        <v>2525588</v>
      </c>
      <c r="C8" s="23" t="s">
        <v>858</v>
      </c>
      <c r="D8" s="18" t="s">
        <v>859</v>
      </c>
      <c r="E8" s="23" t="s">
        <v>844</v>
      </c>
      <c r="F8" s="23" t="s">
        <v>845</v>
      </c>
      <c r="G8" s="24" t="s">
        <v>846</v>
      </c>
      <c r="H8" s="24" t="s">
        <v>847</v>
      </c>
      <c r="I8" s="60" t="s">
        <v>76</v>
      </c>
      <c r="J8" s="61" t="s">
        <v>77</v>
      </c>
      <c r="K8" s="23">
        <v>78</v>
      </c>
      <c r="L8" s="23" t="str">
        <f t="shared" si="0"/>
        <v>Mencapai kompetensi dengan baik dalam hal</v>
      </c>
      <c r="M8" s="23">
        <v>76</v>
      </c>
      <c r="N8" s="23" t="str">
        <f t="shared" si="1"/>
        <v>Mencapai kompetensi dengan baik dalam hal</v>
      </c>
      <c r="O8" s="23">
        <v>79</v>
      </c>
      <c r="P8" s="23" t="str">
        <f t="shared" si="2"/>
        <v>Mencapai kompetensi dengan baik dalam hal</v>
      </c>
      <c r="Q8" s="23">
        <v>80</v>
      </c>
      <c r="R8" s="23" t="str">
        <f t="shared" si="3"/>
        <v>Mencapai kompetensi dengan baik dalam hal</v>
      </c>
      <c r="S8" s="23">
        <v>78</v>
      </c>
      <c r="T8" s="23" t="str">
        <f t="shared" si="4"/>
        <v>Mencapai kompetensi dengan baik dalam hal</v>
      </c>
      <c r="U8" s="23">
        <v>80</v>
      </c>
      <c r="V8" s="23" t="str">
        <f t="shared" si="5"/>
        <v>Mencapai kompetensi dengan baik dalam hal</v>
      </c>
      <c r="W8" s="23">
        <v>75</v>
      </c>
      <c r="X8" s="23" t="str">
        <f t="shared" si="6"/>
        <v>Mencapai kompetensi dengan baik dalam hal</v>
      </c>
      <c r="Y8" s="23">
        <v>79</v>
      </c>
      <c r="Z8" s="23" t="str">
        <f t="shared" si="7"/>
        <v>Mencapai kompetensi dengan baik dalam hal</v>
      </c>
      <c r="AA8" s="23">
        <v>80</v>
      </c>
      <c r="AB8" s="23" t="str">
        <f t="shared" si="8"/>
        <v>Mencapai kompetensi dengan baik dalam hal</v>
      </c>
      <c r="AC8" s="23">
        <v>79</v>
      </c>
      <c r="AD8" s="23" t="str">
        <f t="shared" si="9"/>
        <v>Mencapai kompetensi dengan baik dalam hal</v>
      </c>
      <c r="AE8" s="23">
        <v>75</v>
      </c>
      <c r="AF8" s="23" t="str">
        <f t="shared" si="10"/>
        <v>Mencapai kompetensi dengan baik dalam hal</v>
      </c>
      <c r="AG8" s="23">
        <v>76</v>
      </c>
      <c r="AH8" s="23" t="str">
        <f t="shared" si="11"/>
        <v>Mencapai kompetensi dengan baik dalam hal</v>
      </c>
      <c r="AI8" s="62">
        <f t="shared" si="17"/>
        <v>75.5</v>
      </c>
      <c r="AJ8" s="23">
        <v>80</v>
      </c>
      <c r="AK8" s="23" t="str">
        <f t="shared" si="12"/>
        <v>Mencapai kompetensi dengan baik dalam hal</v>
      </c>
      <c r="AL8" s="23">
        <v>79</v>
      </c>
      <c r="AM8" s="18" t="str">
        <f t="shared" si="13"/>
        <v>Mencapai kompetensi dengan baik dalam hal</v>
      </c>
      <c r="AN8" s="23" t="s">
        <v>81</v>
      </c>
      <c r="AO8" s="23" t="s">
        <v>81</v>
      </c>
      <c r="AP8" s="23" t="s">
        <v>81</v>
      </c>
      <c r="AQ8" s="23">
        <v>1</v>
      </c>
      <c r="AR8" s="23" t="s">
        <v>82</v>
      </c>
      <c r="AS8" s="18" t="s">
        <v>83</v>
      </c>
      <c r="AT8" s="23" t="s">
        <v>86</v>
      </c>
      <c r="AU8" s="18" t="str">
        <f t="shared" si="14"/>
        <v>Sangat baik</v>
      </c>
      <c r="AV8" s="23">
        <v>2</v>
      </c>
      <c r="AW8" s="18" t="s">
        <v>108</v>
      </c>
      <c r="AX8" s="18" t="s">
        <v>83</v>
      </c>
      <c r="AY8" s="23" t="s">
        <v>86</v>
      </c>
      <c r="AZ8" s="18" t="str">
        <f t="shared" si="15"/>
        <v>Sangat baik</v>
      </c>
      <c r="BA8" s="23"/>
      <c r="BB8" s="23"/>
      <c r="BC8" s="23"/>
      <c r="BD8" s="23"/>
      <c r="BE8" s="18"/>
      <c r="BG8" s="20">
        <v>85</v>
      </c>
      <c r="BH8" s="25" t="s">
        <v>109</v>
      </c>
      <c r="BJ8" s="22"/>
      <c r="BK8" s="22"/>
      <c r="BL8" s="22"/>
      <c r="BN8" s="22">
        <f t="shared" si="16"/>
        <v>0</v>
      </c>
      <c r="BP8" s="115">
        <f t="shared" si="18"/>
        <v>78.34615384615384</v>
      </c>
      <c r="BQ8" s="22">
        <f t="shared" si="19"/>
        <v>29</v>
      </c>
    </row>
    <row r="9" spans="1:69" ht="24.95" customHeight="1" thickTop="1" thickBot="1" x14ac:dyDescent="0.3">
      <c r="A9" s="23">
        <v>8</v>
      </c>
      <c r="B9" s="23">
        <v>2525589</v>
      </c>
      <c r="C9" s="23" t="s">
        <v>860</v>
      </c>
      <c r="D9" s="18" t="s">
        <v>861</v>
      </c>
      <c r="E9" s="23" t="s">
        <v>844</v>
      </c>
      <c r="F9" s="23" t="s">
        <v>845</v>
      </c>
      <c r="G9" s="24" t="s">
        <v>846</v>
      </c>
      <c r="H9" s="24" t="s">
        <v>847</v>
      </c>
      <c r="I9" s="60" t="s">
        <v>76</v>
      </c>
      <c r="J9" s="61" t="s">
        <v>77</v>
      </c>
      <c r="K9" s="23">
        <v>79</v>
      </c>
      <c r="L9" s="23" t="str">
        <f t="shared" si="0"/>
        <v>Mencapai kompetensi dengan baik dalam hal</v>
      </c>
      <c r="M9" s="23">
        <v>76</v>
      </c>
      <c r="N9" s="23" t="str">
        <f t="shared" si="1"/>
        <v>Mencapai kompetensi dengan baik dalam hal</v>
      </c>
      <c r="O9" s="23">
        <v>80</v>
      </c>
      <c r="P9" s="23" t="str">
        <f t="shared" si="2"/>
        <v>Mencapai kompetensi dengan baik dalam hal</v>
      </c>
      <c r="Q9" s="23">
        <v>80</v>
      </c>
      <c r="R9" s="23" t="str">
        <f t="shared" si="3"/>
        <v>Mencapai kompetensi dengan baik dalam hal</v>
      </c>
      <c r="S9" s="23">
        <v>77</v>
      </c>
      <c r="T9" s="23" t="str">
        <f t="shared" si="4"/>
        <v>Mencapai kompetensi dengan baik dalam hal</v>
      </c>
      <c r="U9" s="23">
        <v>80</v>
      </c>
      <c r="V9" s="23" t="str">
        <f t="shared" si="5"/>
        <v>Mencapai kompetensi dengan baik dalam hal</v>
      </c>
      <c r="W9" s="23">
        <v>75</v>
      </c>
      <c r="X9" s="23" t="str">
        <f t="shared" si="6"/>
        <v>Mencapai kompetensi dengan baik dalam hal</v>
      </c>
      <c r="Y9" s="23">
        <v>77</v>
      </c>
      <c r="Z9" s="23" t="str">
        <f t="shared" si="7"/>
        <v>Mencapai kompetensi dengan baik dalam hal</v>
      </c>
      <c r="AA9" s="23">
        <v>82</v>
      </c>
      <c r="AB9" s="23" t="str">
        <f t="shared" si="8"/>
        <v>Mencapai kompetensi dengan baik dalam hal</v>
      </c>
      <c r="AC9" s="23">
        <v>80</v>
      </c>
      <c r="AD9" s="23" t="str">
        <f t="shared" si="9"/>
        <v>Mencapai kompetensi dengan baik dalam hal</v>
      </c>
      <c r="AE9" s="23">
        <v>78</v>
      </c>
      <c r="AF9" s="23" t="str">
        <f t="shared" si="10"/>
        <v>Mencapai kompetensi dengan baik dalam hal</v>
      </c>
      <c r="AG9" s="23">
        <v>79</v>
      </c>
      <c r="AH9" s="23" t="str">
        <f t="shared" si="11"/>
        <v>Mencapai kompetensi dengan baik dalam hal</v>
      </c>
      <c r="AI9" s="62">
        <f t="shared" si="17"/>
        <v>78.5</v>
      </c>
      <c r="AJ9" s="23">
        <v>82</v>
      </c>
      <c r="AK9" s="23" t="str">
        <f t="shared" si="12"/>
        <v>Mencapai kompetensi dengan baik dalam hal</v>
      </c>
      <c r="AL9" s="23">
        <v>79</v>
      </c>
      <c r="AM9" s="18" t="str">
        <f t="shared" si="13"/>
        <v>Mencapai kompetensi dengan baik dalam hal</v>
      </c>
      <c r="AN9" s="23" t="s">
        <v>81</v>
      </c>
      <c r="AO9" s="23" t="s">
        <v>81</v>
      </c>
      <c r="AP9" s="23" t="s">
        <v>81</v>
      </c>
      <c r="AQ9" s="23">
        <v>1</v>
      </c>
      <c r="AR9" s="23" t="s">
        <v>82</v>
      </c>
      <c r="AS9" s="18" t="s">
        <v>83</v>
      </c>
      <c r="AT9" s="23" t="s">
        <v>84</v>
      </c>
      <c r="AU9" s="18" t="str">
        <f t="shared" si="14"/>
        <v>Baik</v>
      </c>
      <c r="AV9" s="23">
        <v>2</v>
      </c>
      <c r="AW9" s="18" t="s">
        <v>99</v>
      </c>
      <c r="AX9" s="18" t="s">
        <v>83</v>
      </c>
      <c r="AY9" s="23" t="s">
        <v>84</v>
      </c>
      <c r="AZ9" s="18" t="str">
        <f t="shared" si="15"/>
        <v>Baik</v>
      </c>
      <c r="BA9" s="23"/>
      <c r="BB9" s="23"/>
      <c r="BC9" s="23"/>
      <c r="BD9" s="23"/>
      <c r="BE9" s="18"/>
      <c r="BG9" s="20">
        <v>90</v>
      </c>
      <c r="BH9" s="25" t="s">
        <v>120</v>
      </c>
      <c r="BJ9" s="22"/>
      <c r="BK9" s="22"/>
      <c r="BL9" s="22"/>
      <c r="BN9" s="22">
        <f t="shared" si="16"/>
        <v>0</v>
      </c>
      <c r="BP9" s="115">
        <f t="shared" si="18"/>
        <v>78.884615384615387</v>
      </c>
      <c r="BQ9" s="22">
        <f t="shared" si="19"/>
        <v>21</v>
      </c>
    </row>
    <row r="10" spans="1:69" ht="24.95" customHeight="1" thickTop="1" thickBot="1" x14ac:dyDescent="0.3">
      <c r="A10" s="23">
        <v>9</v>
      </c>
      <c r="B10" s="23">
        <v>2525590</v>
      </c>
      <c r="C10" s="23" t="s">
        <v>862</v>
      </c>
      <c r="D10" s="18" t="s">
        <v>863</v>
      </c>
      <c r="E10" s="23" t="s">
        <v>844</v>
      </c>
      <c r="F10" s="23" t="s">
        <v>845</v>
      </c>
      <c r="G10" s="24" t="s">
        <v>846</v>
      </c>
      <c r="H10" s="24" t="s">
        <v>847</v>
      </c>
      <c r="I10" s="60" t="s">
        <v>76</v>
      </c>
      <c r="J10" s="61" t="s">
        <v>77</v>
      </c>
      <c r="K10" s="23">
        <v>79</v>
      </c>
      <c r="L10" s="23" t="str">
        <f t="shared" si="0"/>
        <v>Mencapai kompetensi dengan baik dalam hal</v>
      </c>
      <c r="M10" s="23">
        <v>78</v>
      </c>
      <c r="N10" s="23" t="str">
        <f t="shared" si="1"/>
        <v>Mencapai kompetensi dengan baik dalam hal</v>
      </c>
      <c r="O10" s="23">
        <v>83</v>
      </c>
      <c r="P10" s="23" t="str">
        <f t="shared" si="2"/>
        <v>Mencapai kompetensi dengan baik dalam hal</v>
      </c>
      <c r="Q10" s="23">
        <v>83</v>
      </c>
      <c r="R10" s="23" t="str">
        <f t="shared" si="3"/>
        <v>Mencapai kompetensi dengan baik dalam hal</v>
      </c>
      <c r="S10" s="23">
        <v>82</v>
      </c>
      <c r="T10" s="23" t="str">
        <f t="shared" si="4"/>
        <v>Mencapai kompetensi dengan baik dalam hal</v>
      </c>
      <c r="U10" s="23">
        <v>80</v>
      </c>
      <c r="V10" s="23" t="str">
        <f t="shared" si="5"/>
        <v>Mencapai kompetensi dengan baik dalam hal</v>
      </c>
      <c r="W10" s="23">
        <v>76</v>
      </c>
      <c r="X10" s="23" t="str">
        <f t="shared" si="6"/>
        <v>Mencapai kompetensi dengan baik dalam hal</v>
      </c>
      <c r="Y10" s="23">
        <v>83</v>
      </c>
      <c r="Z10" s="23" t="str">
        <f t="shared" si="7"/>
        <v>Mencapai kompetensi dengan baik dalam hal</v>
      </c>
      <c r="AA10" s="23">
        <v>81</v>
      </c>
      <c r="AB10" s="23" t="str">
        <f t="shared" si="8"/>
        <v>Mencapai kompetensi dengan baik dalam hal</v>
      </c>
      <c r="AC10" s="23">
        <v>85</v>
      </c>
      <c r="AD10" s="23" t="str">
        <f t="shared" si="9"/>
        <v>Mencapai kompetensi dengan baik dalam hal</v>
      </c>
      <c r="AE10" s="23">
        <v>81</v>
      </c>
      <c r="AF10" s="23" t="str">
        <f t="shared" si="10"/>
        <v>Mencapai kompetensi dengan baik dalam hal</v>
      </c>
      <c r="AG10" s="23">
        <v>82</v>
      </c>
      <c r="AH10" s="23" t="str">
        <f t="shared" si="11"/>
        <v>Mencapai kompetensi dengan baik dalam hal</v>
      </c>
      <c r="AI10" s="62">
        <f t="shared" si="17"/>
        <v>81.5</v>
      </c>
      <c r="AJ10" s="23">
        <v>81</v>
      </c>
      <c r="AK10" s="23" t="str">
        <f t="shared" si="12"/>
        <v>Mencapai kompetensi dengan baik dalam hal</v>
      </c>
      <c r="AL10" s="23">
        <v>79</v>
      </c>
      <c r="AM10" s="18" t="str">
        <f t="shared" si="13"/>
        <v>Mencapai kompetensi dengan baik dalam hal</v>
      </c>
      <c r="AN10" s="23" t="s">
        <v>81</v>
      </c>
      <c r="AO10" s="23" t="s">
        <v>81</v>
      </c>
      <c r="AP10" s="23" t="s">
        <v>81</v>
      </c>
      <c r="AQ10" s="23">
        <v>1</v>
      </c>
      <c r="AR10" s="23" t="s">
        <v>82</v>
      </c>
      <c r="AS10" s="18" t="s">
        <v>83</v>
      </c>
      <c r="AT10" s="23" t="s">
        <v>84</v>
      </c>
      <c r="AU10" s="18" t="str">
        <f t="shared" si="14"/>
        <v>Baik</v>
      </c>
      <c r="AV10" s="23">
        <v>2</v>
      </c>
      <c r="AW10" s="18" t="s">
        <v>227</v>
      </c>
      <c r="AX10" s="18" t="s">
        <v>83</v>
      </c>
      <c r="AY10" s="23" t="s">
        <v>84</v>
      </c>
      <c r="AZ10" s="18" t="str">
        <f t="shared" si="15"/>
        <v>Baik</v>
      </c>
      <c r="BA10" s="23"/>
      <c r="BB10" s="23"/>
      <c r="BC10" s="23"/>
      <c r="BD10" s="23"/>
      <c r="BE10" s="18"/>
      <c r="BG10" s="20">
        <v>95</v>
      </c>
      <c r="BH10" s="25" t="s">
        <v>120</v>
      </c>
      <c r="BJ10" s="22"/>
      <c r="BK10" s="22"/>
      <c r="BL10" s="22"/>
      <c r="BN10" s="22">
        <f t="shared" si="16"/>
        <v>0</v>
      </c>
      <c r="BP10" s="115">
        <f t="shared" si="18"/>
        <v>80.884615384615387</v>
      </c>
      <c r="BQ10" s="22">
        <f t="shared" si="19"/>
        <v>4</v>
      </c>
    </row>
    <row r="11" spans="1:69" ht="24.95" customHeight="1" thickTop="1" thickBot="1" x14ac:dyDescent="0.3">
      <c r="A11" s="23">
        <v>10</v>
      </c>
      <c r="B11" s="23">
        <v>2525591</v>
      </c>
      <c r="C11" s="23" t="s">
        <v>864</v>
      </c>
      <c r="D11" s="18" t="s">
        <v>865</v>
      </c>
      <c r="E11" s="23" t="s">
        <v>844</v>
      </c>
      <c r="F11" s="23" t="s">
        <v>845</v>
      </c>
      <c r="G11" s="24" t="s">
        <v>846</v>
      </c>
      <c r="H11" s="24" t="s">
        <v>847</v>
      </c>
      <c r="I11" s="60" t="s">
        <v>76</v>
      </c>
      <c r="J11" s="61" t="s">
        <v>77</v>
      </c>
      <c r="K11" s="23">
        <v>79</v>
      </c>
      <c r="L11" s="23" t="str">
        <f t="shared" si="0"/>
        <v>Mencapai kompetensi dengan baik dalam hal</v>
      </c>
      <c r="M11" s="23">
        <v>76</v>
      </c>
      <c r="N11" s="23" t="str">
        <f t="shared" si="1"/>
        <v>Mencapai kompetensi dengan baik dalam hal</v>
      </c>
      <c r="O11" s="23">
        <v>79</v>
      </c>
      <c r="P11" s="23" t="str">
        <f t="shared" si="2"/>
        <v>Mencapai kompetensi dengan baik dalam hal</v>
      </c>
      <c r="Q11" s="23">
        <v>79</v>
      </c>
      <c r="R11" s="23" t="str">
        <f t="shared" si="3"/>
        <v>Mencapai kompetensi dengan baik dalam hal</v>
      </c>
      <c r="S11" s="23">
        <v>76</v>
      </c>
      <c r="T11" s="23" t="str">
        <f t="shared" si="4"/>
        <v>Mencapai kompetensi dengan baik dalam hal</v>
      </c>
      <c r="U11" s="23">
        <v>80</v>
      </c>
      <c r="V11" s="23" t="str">
        <f t="shared" si="5"/>
        <v>Mencapai kompetensi dengan baik dalam hal</v>
      </c>
      <c r="W11" s="23">
        <v>75</v>
      </c>
      <c r="X11" s="23" t="str">
        <f t="shared" si="6"/>
        <v>Mencapai kompetensi dengan baik dalam hal</v>
      </c>
      <c r="Y11" s="23">
        <v>78</v>
      </c>
      <c r="Z11" s="23" t="str">
        <f t="shared" si="7"/>
        <v>Mencapai kompetensi dengan baik dalam hal</v>
      </c>
      <c r="AA11" s="23">
        <v>75</v>
      </c>
      <c r="AB11" s="23" t="str">
        <f t="shared" si="8"/>
        <v>Mencapai kompetensi dengan baik dalam hal</v>
      </c>
      <c r="AC11" s="23">
        <v>80</v>
      </c>
      <c r="AD11" s="23" t="str">
        <f t="shared" si="9"/>
        <v>Mencapai kompetensi dengan baik dalam hal</v>
      </c>
      <c r="AE11" s="23">
        <v>78</v>
      </c>
      <c r="AF11" s="23" t="str">
        <f t="shared" si="10"/>
        <v>Mencapai kompetensi dengan baik dalam hal</v>
      </c>
      <c r="AG11" s="23">
        <v>79</v>
      </c>
      <c r="AH11" s="23" t="str">
        <f t="shared" si="11"/>
        <v>Mencapai kompetensi dengan baik dalam hal</v>
      </c>
      <c r="AI11" s="62">
        <f t="shared" si="17"/>
        <v>78.5</v>
      </c>
      <c r="AJ11" s="23">
        <v>75</v>
      </c>
      <c r="AK11" s="23" t="str">
        <f t="shared" si="12"/>
        <v>Mencapai kompetensi dengan baik dalam hal</v>
      </c>
      <c r="AL11" s="23">
        <v>79</v>
      </c>
      <c r="AM11" s="18" t="str">
        <f t="shared" si="13"/>
        <v>Mencapai kompetensi dengan baik dalam hal</v>
      </c>
      <c r="AN11" s="23">
        <v>7</v>
      </c>
      <c r="AO11" s="23">
        <v>1</v>
      </c>
      <c r="AP11" s="23" t="s">
        <v>81</v>
      </c>
      <c r="AQ11" s="23">
        <v>1</v>
      </c>
      <c r="AR11" s="23" t="s">
        <v>82</v>
      </c>
      <c r="AS11" s="18" t="s">
        <v>83</v>
      </c>
      <c r="AT11" s="23" t="s">
        <v>84</v>
      </c>
      <c r="AU11" s="18" t="str">
        <f t="shared" si="14"/>
        <v>Baik</v>
      </c>
      <c r="AV11" s="23">
        <v>2</v>
      </c>
      <c r="AW11" s="18" t="s">
        <v>170</v>
      </c>
      <c r="AX11" s="18" t="s">
        <v>83</v>
      </c>
      <c r="AY11" s="23" t="s">
        <v>104</v>
      </c>
      <c r="AZ11" s="18" t="str">
        <f t="shared" si="15"/>
        <v>Cukup</v>
      </c>
      <c r="BA11" s="23"/>
      <c r="BB11" s="23"/>
      <c r="BC11" s="23"/>
      <c r="BD11" s="23"/>
      <c r="BE11" s="18"/>
      <c r="BG11" s="20">
        <v>100</v>
      </c>
      <c r="BH11" s="25" t="s">
        <v>120</v>
      </c>
      <c r="BJ11" s="22"/>
      <c r="BK11" s="22"/>
      <c r="BL11" s="22"/>
      <c r="BN11" s="22">
        <f t="shared" si="16"/>
        <v>0</v>
      </c>
      <c r="BP11" s="115">
        <f t="shared" si="18"/>
        <v>77.65384615384616</v>
      </c>
      <c r="BQ11" s="22">
        <f t="shared" si="19"/>
        <v>36</v>
      </c>
    </row>
    <row r="12" spans="1:69" ht="24.95" customHeight="1" thickTop="1" thickBot="1" x14ac:dyDescent="0.3">
      <c r="A12" s="23">
        <v>11</v>
      </c>
      <c r="B12" s="23">
        <v>2525592</v>
      </c>
      <c r="C12" s="23" t="s">
        <v>866</v>
      </c>
      <c r="D12" s="18" t="s">
        <v>867</v>
      </c>
      <c r="E12" s="23" t="s">
        <v>844</v>
      </c>
      <c r="F12" s="23" t="s">
        <v>845</v>
      </c>
      <c r="G12" s="24" t="s">
        <v>846</v>
      </c>
      <c r="H12" s="24" t="s">
        <v>847</v>
      </c>
      <c r="I12" s="60" t="s">
        <v>76</v>
      </c>
      <c r="J12" s="61" t="s">
        <v>77</v>
      </c>
      <c r="K12" s="23">
        <v>81</v>
      </c>
      <c r="L12" s="23" t="str">
        <f t="shared" si="0"/>
        <v>Mencapai kompetensi dengan baik dalam hal</v>
      </c>
      <c r="M12" s="23">
        <v>80</v>
      </c>
      <c r="N12" s="23" t="str">
        <f t="shared" si="1"/>
        <v>Mencapai kompetensi dengan baik dalam hal</v>
      </c>
      <c r="O12" s="23">
        <v>82</v>
      </c>
      <c r="P12" s="23" t="str">
        <f t="shared" si="2"/>
        <v>Mencapai kompetensi dengan baik dalam hal</v>
      </c>
      <c r="Q12" s="23">
        <v>79</v>
      </c>
      <c r="R12" s="23" t="str">
        <f t="shared" si="3"/>
        <v>Mencapai kompetensi dengan baik dalam hal</v>
      </c>
      <c r="S12" s="23">
        <v>87</v>
      </c>
      <c r="T12" s="23" t="str">
        <f t="shared" si="4"/>
        <v>Mencapai kompetensi dengan baik dalam hal</v>
      </c>
      <c r="U12" s="23">
        <v>82</v>
      </c>
      <c r="V12" s="23" t="str">
        <f t="shared" si="5"/>
        <v>Mencapai kompetensi dengan baik dalam hal</v>
      </c>
      <c r="W12" s="23">
        <v>77</v>
      </c>
      <c r="X12" s="23" t="str">
        <f t="shared" si="6"/>
        <v>Mencapai kompetensi dengan baik dalam hal</v>
      </c>
      <c r="Y12" s="23">
        <v>80</v>
      </c>
      <c r="Z12" s="23" t="str">
        <f t="shared" si="7"/>
        <v>Mencapai kompetensi dengan baik dalam hal</v>
      </c>
      <c r="AA12" s="23">
        <v>88</v>
      </c>
      <c r="AB12" s="23" t="str">
        <f t="shared" si="8"/>
        <v>Mencapai kompetensi dengan baik dalam hal</v>
      </c>
      <c r="AC12" s="23">
        <v>84</v>
      </c>
      <c r="AD12" s="23" t="str">
        <f t="shared" si="9"/>
        <v>Mencapai kompetensi dengan baik dalam hal</v>
      </c>
      <c r="AE12" s="23">
        <v>81</v>
      </c>
      <c r="AF12" s="23" t="str">
        <f t="shared" si="10"/>
        <v>Mencapai kompetensi dengan baik dalam hal</v>
      </c>
      <c r="AG12" s="23">
        <v>82</v>
      </c>
      <c r="AH12" s="23" t="str">
        <f t="shared" si="11"/>
        <v>Mencapai kompetensi dengan baik dalam hal</v>
      </c>
      <c r="AI12" s="62">
        <f t="shared" si="17"/>
        <v>81.5</v>
      </c>
      <c r="AJ12" s="23">
        <v>88</v>
      </c>
      <c r="AK12" s="23" t="str">
        <f t="shared" si="12"/>
        <v>Mencapai kompetensi dengan baik dalam hal</v>
      </c>
      <c r="AL12" s="23">
        <v>80</v>
      </c>
      <c r="AM12" s="18" t="str">
        <f t="shared" si="13"/>
        <v>Mencapai kompetensi dengan baik dalam hal</v>
      </c>
      <c r="AN12" s="23" t="s">
        <v>81</v>
      </c>
      <c r="AO12" s="23">
        <v>1</v>
      </c>
      <c r="AP12" s="23" t="s">
        <v>81</v>
      </c>
      <c r="AQ12" s="23">
        <v>1</v>
      </c>
      <c r="AR12" s="23" t="s">
        <v>82</v>
      </c>
      <c r="AS12" s="18" t="s">
        <v>83</v>
      </c>
      <c r="AT12" s="23" t="s">
        <v>84</v>
      </c>
      <c r="AU12" s="18" t="str">
        <f t="shared" si="14"/>
        <v>Baik</v>
      </c>
      <c r="AV12" s="23">
        <v>2</v>
      </c>
      <c r="AW12" s="18" t="s">
        <v>170</v>
      </c>
      <c r="AX12" s="18" t="s">
        <v>83</v>
      </c>
      <c r="AY12" s="23" t="s">
        <v>84</v>
      </c>
      <c r="AZ12" s="18" t="str">
        <f t="shared" si="15"/>
        <v>Baik</v>
      </c>
      <c r="BA12" s="23"/>
      <c r="BB12" s="23"/>
      <c r="BC12" s="23"/>
      <c r="BD12" s="23"/>
      <c r="BE12" s="18"/>
      <c r="BG12" s="20"/>
      <c r="BH12" s="20"/>
      <c r="BN12" s="22">
        <f t="shared" si="16"/>
        <v>0</v>
      </c>
      <c r="BP12" s="115">
        <f t="shared" si="18"/>
        <v>82.269230769230774</v>
      </c>
      <c r="BQ12" s="22">
        <f t="shared" si="19"/>
        <v>1</v>
      </c>
    </row>
    <row r="13" spans="1:69" ht="24.95" customHeight="1" thickTop="1" thickBot="1" x14ac:dyDescent="0.3">
      <c r="A13" s="23">
        <v>12</v>
      </c>
      <c r="B13" s="23">
        <v>2525593</v>
      </c>
      <c r="C13" s="23" t="s">
        <v>868</v>
      </c>
      <c r="D13" s="18" t="s">
        <v>869</v>
      </c>
      <c r="E13" s="23" t="s">
        <v>844</v>
      </c>
      <c r="F13" s="23" t="s">
        <v>845</v>
      </c>
      <c r="G13" s="24" t="s">
        <v>846</v>
      </c>
      <c r="H13" s="24" t="s">
        <v>847</v>
      </c>
      <c r="I13" s="60" t="s">
        <v>76</v>
      </c>
      <c r="J13" s="61" t="s">
        <v>77</v>
      </c>
      <c r="K13" s="23">
        <v>81</v>
      </c>
      <c r="L13" s="23" t="str">
        <f t="shared" si="0"/>
        <v>Mencapai kompetensi dengan baik dalam hal</v>
      </c>
      <c r="M13" s="23">
        <v>80</v>
      </c>
      <c r="N13" s="23" t="str">
        <f t="shared" si="1"/>
        <v>Mencapai kompetensi dengan baik dalam hal</v>
      </c>
      <c r="O13" s="23">
        <v>80</v>
      </c>
      <c r="P13" s="23" t="str">
        <f t="shared" si="2"/>
        <v>Mencapai kompetensi dengan baik dalam hal</v>
      </c>
      <c r="Q13" s="23">
        <v>80</v>
      </c>
      <c r="R13" s="23" t="str">
        <f t="shared" si="3"/>
        <v>Mencapai kompetensi dengan baik dalam hal</v>
      </c>
      <c r="S13" s="23">
        <v>82</v>
      </c>
      <c r="T13" s="23" t="str">
        <f t="shared" si="4"/>
        <v>Mencapai kompetensi dengan baik dalam hal</v>
      </c>
      <c r="U13" s="23">
        <v>82</v>
      </c>
      <c r="V13" s="23" t="str">
        <f t="shared" si="5"/>
        <v>Mencapai kompetensi dengan baik dalam hal</v>
      </c>
      <c r="W13" s="23">
        <v>75</v>
      </c>
      <c r="X13" s="23" t="str">
        <f t="shared" si="6"/>
        <v>Mencapai kompetensi dengan baik dalam hal</v>
      </c>
      <c r="Y13" s="23">
        <v>82</v>
      </c>
      <c r="Z13" s="23" t="str">
        <f t="shared" si="7"/>
        <v>Mencapai kompetensi dengan baik dalam hal</v>
      </c>
      <c r="AA13" s="23">
        <v>80</v>
      </c>
      <c r="AB13" s="23" t="str">
        <f t="shared" si="8"/>
        <v>Mencapai kompetensi dengan baik dalam hal</v>
      </c>
      <c r="AC13" s="23">
        <v>81</v>
      </c>
      <c r="AD13" s="23" t="str">
        <f t="shared" si="9"/>
        <v>Mencapai kompetensi dengan baik dalam hal</v>
      </c>
      <c r="AE13" s="23">
        <v>80</v>
      </c>
      <c r="AF13" s="23" t="str">
        <f t="shared" si="10"/>
        <v>Mencapai kompetensi dengan baik dalam hal</v>
      </c>
      <c r="AG13" s="23">
        <v>81</v>
      </c>
      <c r="AH13" s="23" t="str">
        <f t="shared" si="11"/>
        <v>Mencapai kompetensi dengan baik dalam hal</v>
      </c>
      <c r="AI13" s="62">
        <f t="shared" si="17"/>
        <v>80.5</v>
      </c>
      <c r="AJ13" s="23">
        <v>80</v>
      </c>
      <c r="AK13" s="23" t="str">
        <f t="shared" si="12"/>
        <v>Mencapai kompetensi dengan baik dalam hal</v>
      </c>
      <c r="AL13" s="23">
        <v>79</v>
      </c>
      <c r="AM13" s="18" t="str">
        <f t="shared" si="13"/>
        <v>Mencapai kompetensi dengan baik dalam hal</v>
      </c>
      <c r="AN13" s="23" t="s">
        <v>81</v>
      </c>
      <c r="AO13" s="23" t="s">
        <v>81</v>
      </c>
      <c r="AP13" s="23" t="s">
        <v>81</v>
      </c>
      <c r="AQ13" s="23">
        <v>1</v>
      </c>
      <c r="AR13" s="23" t="s">
        <v>82</v>
      </c>
      <c r="AS13" s="18" t="s">
        <v>83</v>
      </c>
      <c r="AT13" s="23" t="s">
        <v>84</v>
      </c>
      <c r="AU13" s="18" t="str">
        <f t="shared" si="14"/>
        <v>Baik</v>
      </c>
      <c r="AV13" s="23">
        <v>2</v>
      </c>
      <c r="AW13" s="18" t="s">
        <v>170</v>
      </c>
      <c r="AX13" s="18" t="s">
        <v>83</v>
      </c>
      <c r="AY13" s="23" t="s">
        <v>84</v>
      </c>
      <c r="AZ13" s="18" t="str">
        <f t="shared" si="15"/>
        <v>Baik</v>
      </c>
      <c r="BA13" s="23"/>
      <c r="BB13" s="23"/>
      <c r="BC13" s="23"/>
      <c r="BD13" s="23"/>
      <c r="BE13" s="18"/>
      <c r="BG13" s="20"/>
      <c r="BH13" s="20"/>
      <c r="BN13" s="22">
        <f t="shared" si="16"/>
        <v>0</v>
      </c>
      <c r="BP13" s="115">
        <f t="shared" si="18"/>
        <v>80.192307692307693</v>
      </c>
      <c r="BQ13" s="22">
        <f t="shared" si="19"/>
        <v>7</v>
      </c>
    </row>
    <row r="14" spans="1:69" ht="24.95" customHeight="1" thickTop="1" thickBot="1" x14ac:dyDescent="0.3">
      <c r="A14" s="23">
        <v>13</v>
      </c>
      <c r="B14" s="23">
        <v>2525594</v>
      </c>
      <c r="C14" s="23" t="s">
        <v>870</v>
      </c>
      <c r="D14" s="18" t="s">
        <v>871</v>
      </c>
      <c r="E14" s="23" t="s">
        <v>844</v>
      </c>
      <c r="F14" s="23" t="s">
        <v>845</v>
      </c>
      <c r="G14" s="24" t="s">
        <v>846</v>
      </c>
      <c r="H14" s="24" t="s">
        <v>847</v>
      </c>
      <c r="I14" s="60" t="s">
        <v>76</v>
      </c>
      <c r="J14" s="61" t="s">
        <v>77</v>
      </c>
      <c r="K14" s="23">
        <v>79</v>
      </c>
      <c r="L14" s="23" t="str">
        <f t="shared" si="0"/>
        <v>Mencapai kompetensi dengan baik dalam hal</v>
      </c>
      <c r="M14" s="23">
        <v>77</v>
      </c>
      <c r="N14" s="23" t="str">
        <f t="shared" si="1"/>
        <v>Mencapai kompetensi dengan baik dalam hal</v>
      </c>
      <c r="O14" s="23">
        <v>82</v>
      </c>
      <c r="P14" s="23" t="str">
        <f t="shared" si="2"/>
        <v>Mencapai kompetensi dengan baik dalam hal</v>
      </c>
      <c r="Q14" s="23">
        <v>81</v>
      </c>
      <c r="R14" s="23" t="str">
        <f t="shared" si="3"/>
        <v>Mencapai kompetensi dengan baik dalam hal</v>
      </c>
      <c r="S14" s="23">
        <v>76</v>
      </c>
      <c r="T14" s="23" t="str">
        <f t="shared" si="4"/>
        <v>Mencapai kompetensi dengan baik dalam hal</v>
      </c>
      <c r="U14" s="23">
        <v>82</v>
      </c>
      <c r="V14" s="23" t="str">
        <f t="shared" si="5"/>
        <v>Mencapai kompetensi dengan baik dalam hal</v>
      </c>
      <c r="W14" s="23">
        <v>75</v>
      </c>
      <c r="X14" s="23" t="str">
        <f t="shared" si="6"/>
        <v>Mencapai kompetensi dengan baik dalam hal</v>
      </c>
      <c r="Y14" s="23">
        <v>80</v>
      </c>
      <c r="Z14" s="23" t="str">
        <f t="shared" si="7"/>
        <v>Mencapai kompetensi dengan baik dalam hal</v>
      </c>
      <c r="AA14" s="23">
        <v>75</v>
      </c>
      <c r="AB14" s="23" t="str">
        <f t="shared" si="8"/>
        <v>Mencapai kompetensi dengan baik dalam hal</v>
      </c>
      <c r="AC14" s="23">
        <v>83</v>
      </c>
      <c r="AD14" s="23" t="str">
        <f t="shared" si="9"/>
        <v>Mencapai kompetensi dengan baik dalam hal</v>
      </c>
      <c r="AE14" s="23">
        <v>80</v>
      </c>
      <c r="AF14" s="23" t="str">
        <f t="shared" si="10"/>
        <v>Mencapai kompetensi dengan baik dalam hal</v>
      </c>
      <c r="AG14" s="23">
        <v>81</v>
      </c>
      <c r="AH14" s="23" t="str">
        <f t="shared" si="11"/>
        <v>Mencapai kompetensi dengan baik dalam hal</v>
      </c>
      <c r="AI14" s="62">
        <f t="shared" si="17"/>
        <v>80.5</v>
      </c>
      <c r="AJ14" s="23">
        <v>75</v>
      </c>
      <c r="AK14" s="23" t="str">
        <f t="shared" si="12"/>
        <v>Mencapai kompetensi dengan baik dalam hal</v>
      </c>
      <c r="AL14" s="23">
        <v>79</v>
      </c>
      <c r="AM14" s="18" t="str">
        <f t="shared" si="13"/>
        <v>Mencapai kompetensi dengan baik dalam hal</v>
      </c>
      <c r="AN14" s="23" t="s">
        <v>81</v>
      </c>
      <c r="AO14" s="23" t="s">
        <v>81</v>
      </c>
      <c r="AP14" s="23" t="s">
        <v>81</v>
      </c>
      <c r="AQ14" s="23">
        <v>1</v>
      </c>
      <c r="AR14" s="23" t="s">
        <v>82</v>
      </c>
      <c r="AS14" s="18" t="s">
        <v>83</v>
      </c>
      <c r="AT14" s="23" t="s">
        <v>84</v>
      </c>
      <c r="AU14" s="18" t="str">
        <f t="shared" si="14"/>
        <v>Baik</v>
      </c>
      <c r="AV14" s="23">
        <v>2</v>
      </c>
      <c r="AW14" s="18" t="s">
        <v>134</v>
      </c>
      <c r="AX14" s="18" t="s">
        <v>83</v>
      </c>
      <c r="AY14" s="23" t="s">
        <v>104</v>
      </c>
      <c r="AZ14" s="18" t="str">
        <f t="shared" si="15"/>
        <v>Cukup</v>
      </c>
      <c r="BA14" s="23"/>
      <c r="BB14" s="23"/>
      <c r="BC14" s="23"/>
      <c r="BD14" s="23"/>
      <c r="BE14" s="18"/>
      <c r="BG14" s="20"/>
      <c r="BH14" s="20"/>
      <c r="BN14" s="22">
        <f t="shared" si="16"/>
        <v>0</v>
      </c>
      <c r="BP14" s="115">
        <f t="shared" si="18"/>
        <v>78.807692307692307</v>
      </c>
      <c r="BQ14" s="22">
        <f t="shared" si="19"/>
        <v>23</v>
      </c>
    </row>
    <row r="15" spans="1:69" ht="24.95" customHeight="1" thickTop="1" thickBot="1" x14ac:dyDescent="0.3">
      <c r="A15" s="23">
        <v>14</v>
      </c>
      <c r="B15" s="23">
        <v>2525595</v>
      </c>
      <c r="C15" s="23" t="s">
        <v>872</v>
      </c>
      <c r="D15" s="18" t="s">
        <v>873</v>
      </c>
      <c r="E15" s="23" t="s">
        <v>844</v>
      </c>
      <c r="F15" s="23" t="s">
        <v>845</v>
      </c>
      <c r="G15" s="24" t="s">
        <v>846</v>
      </c>
      <c r="H15" s="24" t="s">
        <v>847</v>
      </c>
      <c r="I15" s="60" t="s">
        <v>76</v>
      </c>
      <c r="J15" s="61" t="s">
        <v>77</v>
      </c>
      <c r="K15" s="23">
        <v>80</v>
      </c>
      <c r="L15" s="23" t="str">
        <f t="shared" si="0"/>
        <v>Mencapai kompetensi dengan baik dalam hal</v>
      </c>
      <c r="M15" s="23">
        <v>78</v>
      </c>
      <c r="N15" s="23" t="str">
        <f t="shared" si="1"/>
        <v>Mencapai kompetensi dengan baik dalam hal</v>
      </c>
      <c r="O15" s="23">
        <v>80</v>
      </c>
      <c r="P15" s="23" t="str">
        <f t="shared" si="2"/>
        <v>Mencapai kompetensi dengan baik dalam hal</v>
      </c>
      <c r="Q15" s="23">
        <v>81</v>
      </c>
      <c r="R15" s="23" t="str">
        <f t="shared" si="3"/>
        <v>Mencapai kompetensi dengan baik dalam hal</v>
      </c>
      <c r="S15" s="23">
        <v>80</v>
      </c>
      <c r="T15" s="23" t="str">
        <f t="shared" si="4"/>
        <v>Mencapai kompetensi dengan baik dalam hal</v>
      </c>
      <c r="U15" s="23">
        <v>81</v>
      </c>
      <c r="V15" s="23" t="str">
        <f t="shared" si="5"/>
        <v>Mencapai kompetensi dengan baik dalam hal</v>
      </c>
      <c r="W15" s="23">
        <v>75</v>
      </c>
      <c r="X15" s="23" t="str">
        <f t="shared" si="6"/>
        <v>Mencapai kompetensi dengan baik dalam hal</v>
      </c>
      <c r="Y15" s="23">
        <v>80</v>
      </c>
      <c r="Z15" s="23" t="str">
        <f t="shared" si="7"/>
        <v>Mencapai kompetensi dengan baik dalam hal</v>
      </c>
      <c r="AA15" s="23">
        <v>79</v>
      </c>
      <c r="AB15" s="23" t="str">
        <f t="shared" si="8"/>
        <v>Mencapai kompetensi dengan baik dalam hal</v>
      </c>
      <c r="AC15" s="23">
        <v>82</v>
      </c>
      <c r="AD15" s="23" t="str">
        <f t="shared" si="9"/>
        <v>Mencapai kompetensi dengan baik dalam hal</v>
      </c>
      <c r="AE15" s="23">
        <v>80</v>
      </c>
      <c r="AF15" s="23" t="str">
        <f t="shared" si="10"/>
        <v>Mencapai kompetensi dengan baik dalam hal</v>
      </c>
      <c r="AG15" s="23">
        <v>81</v>
      </c>
      <c r="AH15" s="23" t="str">
        <f t="shared" si="11"/>
        <v>Mencapai kompetensi dengan baik dalam hal</v>
      </c>
      <c r="AI15" s="62">
        <f t="shared" si="17"/>
        <v>80.5</v>
      </c>
      <c r="AJ15" s="23">
        <v>79</v>
      </c>
      <c r="AK15" s="23" t="str">
        <f t="shared" si="12"/>
        <v>Mencapai kompetensi dengan baik dalam hal</v>
      </c>
      <c r="AL15" s="23">
        <v>80</v>
      </c>
      <c r="AM15" s="18" t="str">
        <f t="shared" si="13"/>
        <v>Mencapai kompetensi dengan baik dalam hal</v>
      </c>
      <c r="AN15" s="23">
        <v>1</v>
      </c>
      <c r="AO15" s="23" t="s">
        <v>81</v>
      </c>
      <c r="AP15" s="23" t="s">
        <v>81</v>
      </c>
      <c r="AQ15" s="23">
        <v>1</v>
      </c>
      <c r="AR15" s="23" t="s">
        <v>82</v>
      </c>
      <c r="AS15" s="18" t="s">
        <v>83</v>
      </c>
      <c r="AT15" s="23" t="s">
        <v>84</v>
      </c>
      <c r="AU15" s="18" t="str">
        <f t="shared" si="14"/>
        <v>Baik</v>
      </c>
      <c r="AV15" s="23">
        <v>2</v>
      </c>
      <c r="AW15" s="18" t="s">
        <v>170</v>
      </c>
      <c r="AX15" s="18" t="s">
        <v>83</v>
      </c>
      <c r="AY15" s="23" t="s">
        <v>104</v>
      </c>
      <c r="AZ15" s="18" t="str">
        <f t="shared" si="15"/>
        <v>Cukup</v>
      </c>
      <c r="BA15" s="23"/>
      <c r="BB15" s="23"/>
      <c r="BC15" s="23"/>
      <c r="BD15" s="23"/>
      <c r="BE15" s="18"/>
      <c r="BG15" s="20"/>
      <c r="BH15" s="20"/>
      <c r="BN15" s="22">
        <f t="shared" si="16"/>
        <v>0</v>
      </c>
      <c r="BP15" s="115">
        <f t="shared" si="18"/>
        <v>79.65384615384616</v>
      </c>
      <c r="BQ15" s="22">
        <f t="shared" si="19"/>
        <v>11</v>
      </c>
    </row>
    <row r="16" spans="1:69" ht="24.95" customHeight="1" thickTop="1" thickBot="1" x14ac:dyDescent="0.3">
      <c r="A16" s="23">
        <v>15</v>
      </c>
      <c r="B16" s="23">
        <v>2525596</v>
      </c>
      <c r="C16" s="23" t="s">
        <v>874</v>
      </c>
      <c r="D16" s="18" t="s">
        <v>875</v>
      </c>
      <c r="E16" s="23" t="s">
        <v>844</v>
      </c>
      <c r="F16" s="23" t="s">
        <v>845</v>
      </c>
      <c r="G16" s="24" t="s">
        <v>846</v>
      </c>
      <c r="H16" s="24" t="s">
        <v>847</v>
      </c>
      <c r="I16" s="60" t="s">
        <v>76</v>
      </c>
      <c r="J16" s="61" t="s">
        <v>77</v>
      </c>
      <c r="K16" s="23">
        <v>80</v>
      </c>
      <c r="L16" s="23" t="str">
        <f t="shared" si="0"/>
        <v>Mencapai kompetensi dengan baik dalam hal</v>
      </c>
      <c r="M16" s="23">
        <v>78</v>
      </c>
      <c r="N16" s="23" t="str">
        <f t="shared" si="1"/>
        <v>Mencapai kompetensi dengan baik dalam hal</v>
      </c>
      <c r="O16" s="23">
        <v>83</v>
      </c>
      <c r="P16" s="23" t="str">
        <f t="shared" si="2"/>
        <v>Mencapai kompetensi dengan baik dalam hal</v>
      </c>
      <c r="Q16" s="23">
        <v>82</v>
      </c>
      <c r="R16" s="23" t="str">
        <f t="shared" si="3"/>
        <v>Mencapai kompetensi dengan baik dalam hal</v>
      </c>
      <c r="S16" s="23">
        <v>75</v>
      </c>
      <c r="T16" s="23" t="str">
        <f t="shared" si="4"/>
        <v>Mencapai kompetensi dengan baik dalam hal</v>
      </c>
      <c r="U16" s="23">
        <v>81</v>
      </c>
      <c r="V16" s="23" t="str">
        <f t="shared" si="5"/>
        <v>Mencapai kompetensi dengan baik dalam hal</v>
      </c>
      <c r="W16" s="23">
        <v>75</v>
      </c>
      <c r="X16" s="23" t="str">
        <f t="shared" si="6"/>
        <v>Mencapai kompetensi dengan baik dalam hal</v>
      </c>
      <c r="Y16" s="23">
        <v>79</v>
      </c>
      <c r="Z16" s="23" t="str">
        <f t="shared" si="7"/>
        <v>Mencapai kompetensi dengan baik dalam hal</v>
      </c>
      <c r="AA16" s="23">
        <v>77</v>
      </c>
      <c r="AB16" s="23" t="str">
        <f t="shared" si="8"/>
        <v>Mencapai kompetensi dengan baik dalam hal</v>
      </c>
      <c r="AC16" s="23">
        <v>80</v>
      </c>
      <c r="AD16" s="23" t="str">
        <f t="shared" si="9"/>
        <v>Mencapai kompetensi dengan baik dalam hal</v>
      </c>
      <c r="AE16" s="23">
        <v>79</v>
      </c>
      <c r="AF16" s="23" t="str">
        <f t="shared" si="10"/>
        <v>Mencapai kompetensi dengan baik dalam hal</v>
      </c>
      <c r="AG16" s="23">
        <v>80</v>
      </c>
      <c r="AH16" s="23" t="str">
        <f t="shared" si="11"/>
        <v>Mencapai kompetensi dengan baik dalam hal</v>
      </c>
      <c r="AI16" s="62">
        <f t="shared" si="17"/>
        <v>79.5</v>
      </c>
      <c r="AJ16" s="23">
        <v>77</v>
      </c>
      <c r="AK16" s="23" t="str">
        <f t="shared" si="12"/>
        <v>Mencapai kompetensi dengan baik dalam hal</v>
      </c>
      <c r="AL16" s="23">
        <v>80</v>
      </c>
      <c r="AM16" s="18" t="str">
        <f t="shared" si="13"/>
        <v>Mencapai kompetensi dengan baik dalam hal</v>
      </c>
      <c r="AN16" s="23">
        <v>1</v>
      </c>
      <c r="AO16" s="23" t="s">
        <v>81</v>
      </c>
      <c r="AP16" s="23" t="s">
        <v>81</v>
      </c>
      <c r="AQ16" s="23">
        <v>1</v>
      </c>
      <c r="AR16" s="23" t="s">
        <v>82</v>
      </c>
      <c r="AS16" s="18" t="s">
        <v>83</v>
      </c>
      <c r="AT16" s="23" t="s">
        <v>86</v>
      </c>
      <c r="AU16" s="18" t="str">
        <f t="shared" si="14"/>
        <v>Sangat baik</v>
      </c>
      <c r="AV16" s="23">
        <v>2</v>
      </c>
      <c r="AW16" s="18" t="s">
        <v>99</v>
      </c>
      <c r="AX16" s="18" t="s">
        <v>83</v>
      </c>
      <c r="AY16" s="23" t="s">
        <v>86</v>
      </c>
      <c r="AZ16" s="18" t="str">
        <f t="shared" si="15"/>
        <v>Sangat baik</v>
      </c>
      <c r="BA16" s="23"/>
      <c r="BB16" s="23"/>
      <c r="BC16" s="23"/>
      <c r="BD16" s="23"/>
      <c r="BE16" s="18"/>
      <c r="BG16" s="20"/>
      <c r="BH16" s="20"/>
      <c r="BN16" s="22">
        <f t="shared" si="16"/>
        <v>0</v>
      </c>
      <c r="BP16" s="115">
        <f t="shared" si="18"/>
        <v>78.961538461538467</v>
      </c>
      <c r="BQ16" s="22">
        <f t="shared" si="19"/>
        <v>20</v>
      </c>
    </row>
    <row r="17" spans="1:69" ht="24.95" customHeight="1" thickTop="1" thickBot="1" x14ac:dyDescent="0.3">
      <c r="A17" s="23">
        <v>16</v>
      </c>
      <c r="B17" s="23">
        <v>2525597</v>
      </c>
      <c r="C17" s="23" t="s">
        <v>876</v>
      </c>
      <c r="D17" s="18" t="s">
        <v>877</v>
      </c>
      <c r="E17" s="23" t="s">
        <v>844</v>
      </c>
      <c r="F17" s="23" t="s">
        <v>845</v>
      </c>
      <c r="G17" s="24" t="s">
        <v>846</v>
      </c>
      <c r="H17" s="24" t="s">
        <v>847</v>
      </c>
      <c r="I17" s="60" t="s">
        <v>76</v>
      </c>
      <c r="J17" s="61" t="s">
        <v>77</v>
      </c>
      <c r="K17" s="23">
        <v>82</v>
      </c>
      <c r="L17" s="23" t="str">
        <f t="shared" si="0"/>
        <v>Mencapai kompetensi dengan baik dalam hal</v>
      </c>
      <c r="M17" s="23">
        <v>76</v>
      </c>
      <c r="N17" s="23" t="str">
        <f t="shared" si="1"/>
        <v>Mencapai kompetensi dengan baik dalam hal</v>
      </c>
      <c r="O17" s="23">
        <v>79</v>
      </c>
      <c r="P17" s="23" t="str">
        <f t="shared" si="2"/>
        <v>Mencapai kompetensi dengan baik dalam hal</v>
      </c>
      <c r="Q17" s="23">
        <v>80</v>
      </c>
      <c r="R17" s="23" t="str">
        <f t="shared" si="3"/>
        <v>Mencapai kompetensi dengan baik dalam hal</v>
      </c>
      <c r="S17" s="23">
        <v>75</v>
      </c>
      <c r="T17" s="23" t="str">
        <f t="shared" si="4"/>
        <v>Mencapai kompetensi dengan baik dalam hal</v>
      </c>
      <c r="U17" s="23">
        <v>79</v>
      </c>
      <c r="V17" s="23" t="str">
        <f t="shared" si="5"/>
        <v>Mencapai kompetensi dengan baik dalam hal</v>
      </c>
      <c r="W17" s="23">
        <v>75</v>
      </c>
      <c r="X17" s="23" t="str">
        <f t="shared" si="6"/>
        <v>Mencapai kompetensi dengan baik dalam hal</v>
      </c>
      <c r="Y17" s="23">
        <v>76</v>
      </c>
      <c r="Z17" s="23" t="str">
        <f t="shared" si="7"/>
        <v>Mencapai kompetensi dengan baik dalam hal</v>
      </c>
      <c r="AA17" s="23">
        <v>76</v>
      </c>
      <c r="AB17" s="23" t="str">
        <f t="shared" si="8"/>
        <v>Mencapai kompetensi dengan baik dalam hal</v>
      </c>
      <c r="AC17" s="23">
        <v>80</v>
      </c>
      <c r="AD17" s="23" t="str">
        <f t="shared" si="9"/>
        <v>Mencapai kompetensi dengan baik dalam hal</v>
      </c>
      <c r="AE17" s="23">
        <v>78</v>
      </c>
      <c r="AF17" s="23" t="str">
        <f t="shared" si="10"/>
        <v>Mencapai kompetensi dengan baik dalam hal</v>
      </c>
      <c r="AG17" s="23">
        <v>79</v>
      </c>
      <c r="AH17" s="23" t="str">
        <f t="shared" si="11"/>
        <v>Mencapai kompetensi dengan baik dalam hal</v>
      </c>
      <c r="AI17" s="62">
        <f t="shared" si="17"/>
        <v>78.5</v>
      </c>
      <c r="AJ17" s="23">
        <v>76</v>
      </c>
      <c r="AK17" s="23" t="str">
        <f t="shared" si="12"/>
        <v>Mencapai kompetensi dengan baik dalam hal</v>
      </c>
      <c r="AL17" s="23">
        <v>79</v>
      </c>
      <c r="AM17" s="18" t="str">
        <f t="shared" si="13"/>
        <v>Mencapai kompetensi dengan baik dalam hal</v>
      </c>
      <c r="AN17" s="23" t="s">
        <v>81</v>
      </c>
      <c r="AO17" s="23" t="s">
        <v>81</v>
      </c>
      <c r="AP17" s="23" t="s">
        <v>81</v>
      </c>
      <c r="AQ17" s="23">
        <v>1</v>
      </c>
      <c r="AR17" s="23" t="s">
        <v>82</v>
      </c>
      <c r="AS17" s="18" t="s">
        <v>83</v>
      </c>
      <c r="AT17" s="23" t="s">
        <v>84</v>
      </c>
      <c r="AU17" s="18" t="str">
        <f t="shared" si="14"/>
        <v>Baik</v>
      </c>
      <c r="AV17" s="23">
        <v>2</v>
      </c>
      <c r="AW17" s="18" t="s">
        <v>170</v>
      </c>
      <c r="AX17" s="18" t="s">
        <v>83</v>
      </c>
      <c r="AY17" s="23" t="s">
        <v>84</v>
      </c>
      <c r="AZ17" s="18" t="str">
        <f t="shared" si="15"/>
        <v>Baik</v>
      </c>
      <c r="BA17" s="23"/>
      <c r="BB17" s="23"/>
      <c r="BC17" s="23"/>
      <c r="BD17" s="23"/>
      <c r="BE17" s="18"/>
      <c r="BG17" s="20"/>
      <c r="BH17" s="20"/>
      <c r="BN17" s="22">
        <f t="shared" si="16"/>
        <v>0</v>
      </c>
      <c r="BP17" s="115">
        <f t="shared" si="18"/>
        <v>77.807692307692307</v>
      </c>
      <c r="BQ17" s="22">
        <f t="shared" si="19"/>
        <v>33</v>
      </c>
    </row>
    <row r="18" spans="1:69" ht="24.95" customHeight="1" thickTop="1" thickBot="1" x14ac:dyDescent="0.3">
      <c r="A18" s="23">
        <v>17</v>
      </c>
      <c r="B18" s="23">
        <v>2525598</v>
      </c>
      <c r="C18" s="23" t="s">
        <v>878</v>
      </c>
      <c r="D18" s="18" t="s">
        <v>879</v>
      </c>
      <c r="E18" s="23" t="s">
        <v>844</v>
      </c>
      <c r="F18" s="23" t="s">
        <v>845</v>
      </c>
      <c r="G18" s="24" t="s">
        <v>846</v>
      </c>
      <c r="H18" s="24" t="s">
        <v>847</v>
      </c>
      <c r="I18" s="60" t="s">
        <v>76</v>
      </c>
      <c r="J18" s="61" t="s">
        <v>77</v>
      </c>
      <c r="K18" s="23">
        <v>80</v>
      </c>
      <c r="L18" s="23" t="str">
        <f t="shared" si="0"/>
        <v>Mencapai kompetensi dengan baik dalam hal</v>
      </c>
      <c r="M18" s="23">
        <v>77</v>
      </c>
      <c r="N18" s="23" t="str">
        <f t="shared" si="1"/>
        <v>Mencapai kompetensi dengan baik dalam hal</v>
      </c>
      <c r="O18" s="23">
        <v>79</v>
      </c>
      <c r="P18" s="23" t="str">
        <f t="shared" si="2"/>
        <v>Mencapai kompetensi dengan baik dalam hal</v>
      </c>
      <c r="Q18" s="23">
        <v>79</v>
      </c>
      <c r="R18" s="23" t="str">
        <f t="shared" si="3"/>
        <v>Mencapai kompetensi dengan baik dalam hal</v>
      </c>
      <c r="S18" s="23">
        <v>83</v>
      </c>
      <c r="T18" s="23" t="str">
        <f t="shared" si="4"/>
        <v>Mencapai kompetensi dengan baik dalam hal</v>
      </c>
      <c r="U18" s="23">
        <v>80</v>
      </c>
      <c r="V18" s="23" t="str">
        <f t="shared" si="5"/>
        <v>Mencapai kompetensi dengan baik dalam hal</v>
      </c>
      <c r="W18" s="23">
        <v>75</v>
      </c>
      <c r="X18" s="23" t="str">
        <f t="shared" si="6"/>
        <v>Mencapai kompetensi dengan baik dalam hal</v>
      </c>
      <c r="Y18" s="23">
        <v>77</v>
      </c>
      <c r="Z18" s="23" t="str">
        <f t="shared" si="7"/>
        <v>Mencapai kompetensi dengan baik dalam hal</v>
      </c>
      <c r="AA18" s="23">
        <v>79</v>
      </c>
      <c r="AB18" s="23" t="str">
        <f t="shared" si="8"/>
        <v>Mencapai kompetensi dengan baik dalam hal</v>
      </c>
      <c r="AC18" s="23">
        <v>81</v>
      </c>
      <c r="AD18" s="23" t="str">
        <f t="shared" si="9"/>
        <v>Mencapai kompetensi dengan baik dalam hal</v>
      </c>
      <c r="AE18" s="23">
        <v>80</v>
      </c>
      <c r="AF18" s="23" t="str">
        <f t="shared" si="10"/>
        <v>Mencapai kompetensi dengan baik dalam hal</v>
      </c>
      <c r="AG18" s="23">
        <v>81</v>
      </c>
      <c r="AH18" s="23" t="str">
        <f t="shared" si="11"/>
        <v>Mencapai kompetensi dengan baik dalam hal</v>
      </c>
      <c r="AI18" s="62">
        <f t="shared" si="17"/>
        <v>80.5</v>
      </c>
      <c r="AJ18" s="23">
        <v>79</v>
      </c>
      <c r="AK18" s="23" t="str">
        <f t="shared" si="12"/>
        <v>Mencapai kompetensi dengan baik dalam hal</v>
      </c>
      <c r="AL18" s="23">
        <v>79</v>
      </c>
      <c r="AM18" s="18" t="str">
        <f t="shared" si="13"/>
        <v>Mencapai kompetensi dengan baik dalam hal</v>
      </c>
      <c r="AN18" s="23">
        <v>1</v>
      </c>
      <c r="AO18" s="23" t="s">
        <v>81</v>
      </c>
      <c r="AP18" s="23" t="s">
        <v>81</v>
      </c>
      <c r="AQ18" s="23">
        <v>1</v>
      </c>
      <c r="AR18" s="23" t="s">
        <v>82</v>
      </c>
      <c r="AS18" s="18" t="s">
        <v>83</v>
      </c>
      <c r="AT18" s="23" t="s">
        <v>86</v>
      </c>
      <c r="AU18" s="18" t="str">
        <f t="shared" si="14"/>
        <v>Sangat baik</v>
      </c>
      <c r="AV18" s="23">
        <v>2</v>
      </c>
      <c r="AW18" s="18" t="s">
        <v>170</v>
      </c>
      <c r="AX18" s="18" t="s">
        <v>83</v>
      </c>
      <c r="AY18" s="23" t="s">
        <v>104</v>
      </c>
      <c r="AZ18" s="18" t="str">
        <f t="shared" si="15"/>
        <v>Cukup</v>
      </c>
      <c r="BA18" s="23"/>
      <c r="BB18" s="23"/>
      <c r="BC18" s="23"/>
      <c r="BD18" s="23"/>
      <c r="BE18" s="18"/>
      <c r="BG18" s="20"/>
      <c r="BH18" s="20"/>
      <c r="BN18" s="22">
        <f t="shared" si="16"/>
        <v>0</v>
      </c>
      <c r="BP18" s="115">
        <f t="shared" si="18"/>
        <v>79.115384615384613</v>
      </c>
      <c r="BQ18" s="22">
        <f t="shared" si="19"/>
        <v>19</v>
      </c>
    </row>
    <row r="19" spans="1:69" ht="24.95" customHeight="1" thickTop="1" thickBot="1" x14ac:dyDescent="0.3">
      <c r="A19" s="23">
        <v>18</v>
      </c>
      <c r="B19" s="23">
        <v>2525599</v>
      </c>
      <c r="C19" s="23" t="s">
        <v>880</v>
      </c>
      <c r="D19" s="18" t="s">
        <v>881</v>
      </c>
      <c r="E19" s="23" t="s">
        <v>844</v>
      </c>
      <c r="F19" s="23" t="s">
        <v>845</v>
      </c>
      <c r="G19" s="24" t="s">
        <v>846</v>
      </c>
      <c r="H19" s="24" t="s">
        <v>847</v>
      </c>
      <c r="I19" s="60" t="s">
        <v>76</v>
      </c>
      <c r="J19" s="61" t="s">
        <v>77</v>
      </c>
      <c r="K19" s="23">
        <v>81</v>
      </c>
      <c r="L19" s="23" t="str">
        <f t="shared" si="0"/>
        <v>Mencapai kompetensi dengan baik dalam hal</v>
      </c>
      <c r="M19" s="23">
        <v>78</v>
      </c>
      <c r="N19" s="23" t="str">
        <f t="shared" si="1"/>
        <v>Mencapai kompetensi dengan baik dalam hal</v>
      </c>
      <c r="O19" s="23">
        <v>82</v>
      </c>
      <c r="P19" s="23" t="str">
        <f t="shared" si="2"/>
        <v>Mencapai kompetensi dengan baik dalam hal</v>
      </c>
      <c r="Q19" s="23">
        <v>79</v>
      </c>
      <c r="R19" s="23" t="str">
        <f t="shared" si="3"/>
        <v>Mencapai kompetensi dengan baik dalam hal</v>
      </c>
      <c r="S19" s="23">
        <v>84</v>
      </c>
      <c r="T19" s="23" t="str">
        <f t="shared" si="4"/>
        <v>Mencapai kompetensi dengan baik dalam hal</v>
      </c>
      <c r="U19" s="23">
        <v>82</v>
      </c>
      <c r="V19" s="23" t="str">
        <f t="shared" si="5"/>
        <v>Mencapai kompetensi dengan baik dalam hal</v>
      </c>
      <c r="W19" s="23">
        <v>75</v>
      </c>
      <c r="X19" s="23" t="str">
        <f t="shared" si="6"/>
        <v>Mencapai kompetensi dengan baik dalam hal</v>
      </c>
      <c r="Y19" s="23">
        <v>79</v>
      </c>
      <c r="Z19" s="23" t="str">
        <f t="shared" si="7"/>
        <v>Mencapai kompetensi dengan baik dalam hal</v>
      </c>
      <c r="AA19" s="23">
        <v>87</v>
      </c>
      <c r="AB19" s="23" t="str">
        <f t="shared" si="8"/>
        <v>Mencapai kompetensi dengan baik dalam hal</v>
      </c>
      <c r="AC19" s="23">
        <v>81</v>
      </c>
      <c r="AD19" s="23" t="str">
        <f t="shared" si="9"/>
        <v>Mencapai kompetensi dengan baik dalam hal</v>
      </c>
      <c r="AE19" s="23">
        <v>77</v>
      </c>
      <c r="AF19" s="23" t="str">
        <f t="shared" si="10"/>
        <v>Mencapai kompetensi dengan baik dalam hal</v>
      </c>
      <c r="AG19" s="23">
        <v>78</v>
      </c>
      <c r="AH19" s="23" t="str">
        <f t="shared" si="11"/>
        <v>Mencapai kompetensi dengan baik dalam hal</v>
      </c>
      <c r="AI19" s="62">
        <f t="shared" si="17"/>
        <v>77.5</v>
      </c>
      <c r="AJ19" s="23">
        <v>87</v>
      </c>
      <c r="AK19" s="23" t="str">
        <f t="shared" si="12"/>
        <v>Mencapai kompetensi dengan baik dalam hal</v>
      </c>
      <c r="AL19" s="23">
        <v>79</v>
      </c>
      <c r="AM19" s="18" t="str">
        <f t="shared" si="13"/>
        <v>Mencapai kompetensi dengan baik dalam hal</v>
      </c>
      <c r="AN19" s="23" t="s">
        <v>81</v>
      </c>
      <c r="AO19" s="23">
        <v>1</v>
      </c>
      <c r="AP19" s="23" t="s">
        <v>81</v>
      </c>
      <c r="AQ19" s="23">
        <v>1</v>
      </c>
      <c r="AR19" s="23" t="s">
        <v>82</v>
      </c>
      <c r="AS19" s="18" t="s">
        <v>83</v>
      </c>
      <c r="AT19" s="23" t="s">
        <v>86</v>
      </c>
      <c r="AU19" s="18" t="str">
        <f t="shared" si="14"/>
        <v>Sangat baik</v>
      </c>
      <c r="AV19" s="23">
        <v>2</v>
      </c>
      <c r="AW19" s="18" t="s">
        <v>99</v>
      </c>
      <c r="AX19" s="18" t="s">
        <v>83</v>
      </c>
      <c r="AY19" s="23" t="s">
        <v>84</v>
      </c>
      <c r="AZ19" s="18" t="str">
        <f t="shared" si="15"/>
        <v>Baik</v>
      </c>
      <c r="BA19" s="23"/>
      <c r="BB19" s="23"/>
      <c r="BC19" s="23"/>
      <c r="BD19" s="23"/>
      <c r="BE19" s="18"/>
      <c r="BG19" s="20"/>
      <c r="BH19" s="20"/>
      <c r="BN19" s="22">
        <f t="shared" si="16"/>
        <v>0</v>
      </c>
      <c r="BP19" s="115">
        <f t="shared" si="18"/>
        <v>80.884615384615387</v>
      </c>
      <c r="BQ19" s="22">
        <f t="shared" si="19"/>
        <v>4</v>
      </c>
    </row>
    <row r="20" spans="1:69" ht="24.95" customHeight="1" thickTop="1" thickBot="1" x14ac:dyDescent="0.3">
      <c r="A20" s="23">
        <v>19</v>
      </c>
      <c r="B20" s="23">
        <v>2525600</v>
      </c>
      <c r="C20" s="23" t="s">
        <v>882</v>
      </c>
      <c r="D20" s="18" t="s">
        <v>883</v>
      </c>
      <c r="E20" s="23" t="s">
        <v>844</v>
      </c>
      <c r="F20" s="23" t="s">
        <v>845</v>
      </c>
      <c r="G20" s="24" t="s">
        <v>846</v>
      </c>
      <c r="H20" s="24" t="s">
        <v>847</v>
      </c>
      <c r="I20" s="60" t="s">
        <v>76</v>
      </c>
      <c r="J20" s="61" t="s">
        <v>77</v>
      </c>
      <c r="K20" s="23">
        <v>83</v>
      </c>
      <c r="L20" s="23" t="str">
        <f t="shared" si="0"/>
        <v>Mencapai kompetensi dengan baik dalam hal</v>
      </c>
      <c r="M20" s="23">
        <v>76</v>
      </c>
      <c r="N20" s="23" t="str">
        <f t="shared" si="1"/>
        <v>Mencapai kompetensi dengan baik dalam hal</v>
      </c>
      <c r="O20" s="23">
        <v>80</v>
      </c>
      <c r="P20" s="23" t="str">
        <f t="shared" si="2"/>
        <v>Mencapai kompetensi dengan baik dalam hal</v>
      </c>
      <c r="Q20" s="23">
        <v>79</v>
      </c>
      <c r="R20" s="23" t="str">
        <f t="shared" si="3"/>
        <v>Mencapai kompetensi dengan baik dalam hal</v>
      </c>
      <c r="S20" s="23">
        <v>76</v>
      </c>
      <c r="T20" s="23" t="str">
        <f t="shared" si="4"/>
        <v>Mencapai kompetensi dengan baik dalam hal</v>
      </c>
      <c r="U20" s="23">
        <v>79</v>
      </c>
      <c r="V20" s="23" t="str">
        <f t="shared" si="5"/>
        <v>Mencapai kompetensi dengan baik dalam hal</v>
      </c>
      <c r="W20" s="23">
        <v>76</v>
      </c>
      <c r="X20" s="23" t="str">
        <f t="shared" si="6"/>
        <v>Mencapai kompetensi dengan baik dalam hal</v>
      </c>
      <c r="Y20" s="23">
        <v>76</v>
      </c>
      <c r="Z20" s="23" t="str">
        <f t="shared" si="7"/>
        <v>Mencapai kompetensi dengan baik dalam hal</v>
      </c>
      <c r="AA20" s="23">
        <v>85</v>
      </c>
      <c r="AB20" s="23" t="str">
        <f t="shared" si="8"/>
        <v>Mencapai kompetensi dengan baik dalam hal</v>
      </c>
      <c r="AC20" s="23">
        <v>82</v>
      </c>
      <c r="AD20" s="23" t="str">
        <f t="shared" si="9"/>
        <v>Mencapai kompetensi dengan baik dalam hal</v>
      </c>
      <c r="AE20" s="23">
        <v>77</v>
      </c>
      <c r="AF20" s="23" t="str">
        <f t="shared" si="10"/>
        <v>Mencapai kompetensi dengan baik dalam hal</v>
      </c>
      <c r="AG20" s="23">
        <v>78</v>
      </c>
      <c r="AH20" s="23" t="str">
        <f t="shared" si="11"/>
        <v>Mencapai kompetensi dengan baik dalam hal</v>
      </c>
      <c r="AI20" s="62">
        <f t="shared" si="17"/>
        <v>77.5</v>
      </c>
      <c r="AJ20" s="23">
        <v>85</v>
      </c>
      <c r="AK20" s="23" t="str">
        <f t="shared" si="12"/>
        <v>Mencapai kompetensi dengan baik dalam hal</v>
      </c>
      <c r="AL20" s="23">
        <v>79</v>
      </c>
      <c r="AM20" s="18" t="str">
        <f t="shared" si="13"/>
        <v>Mencapai kompetensi dengan baik dalam hal</v>
      </c>
      <c r="AN20" s="23" t="s">
        <v>81</v>
      </c>
      <c r="AO20" s="23" t="s">
        <v>81</v>
      </c>
      <c r="AP20" s="23" t="s">
        <v>81</v>
      </c>
      <c r="AQ20" s="23">
        <v>1</v>
      </c>
      <c r="AR20" s="23" t="s">
        <v>82</v>
      </c>
      <c r="AS20" s="18" t="s">
        <v>83</v>
      </c>
      <c r="AT20" s="23" t="s">
        <v>86</v>
      </c>
      <c r="AU20" s="18" t="str">
        <f t="shared" si="14"/>
        <v>Sangat baik</v>
      </c>
      <c r="AV20" s="23">
        <v>2</v>
      </c>
      <c r="AW20" s="18" t="s">
        <v>170</v>
      </c>
      <c r="AX20" s="18" t="s">
        <v>83</v>
      </c>
      <c r="AY20" s="23" t="s">
        <v>84</v>
      </c>
      <c r="AZ20" s="18" t="str">
        <f t="shared" si="15"/>
        <v>Baik</v>
      </c>
      <c r="BA20" s="23"/>
      <c r="BB20" s="23"/>
      <c r="BC20" s="23"/>
      <c r="BD20" s="23"/>
      <c r="BE20" s="18"/>
      <c r="BG20" s="20"/>
      <c r="BH20" s="20"/>
      <c r="BN20" s="22">
        <f t="shared" si="16"/>
        <v>0</v>
      </c>
      <c r="BP20" s="115">
        <f t="shared" si="18"/>
        <v>79.5</v>
      </c>
      <c r="BQ20" s="22">
        <f t="shared" si="19"/>
        <v>15</v>
      </c>
    </row>
    <row r="21" spans="1:69" ht="24.95" customHeight="1" thickTop="1" thickBot="1" x14ac:dyDescent="0.3">
      <c r="A21" s="23">
        <v>20</v>
      </c>
      <c r="B21" s="23">
        <v>2525601</v>
      </c>
      <c r="C21" s="23" t="s">
        <v>884</v>
      </c>
      <c r="D21" s="18" t="s">
        <v>885</v>
      </c>
      <c r="E21" s="23" t="s">
        <v>844</v>
      </c>
      <c r="F21" s="23" t="s">
        <v>845</v>
      </c>
      <c r="G21" s="24" t="s">
        <v>846</v>
      </c>
      <c r="H21" s="24" t="s">
        <v>847</v>
      </c>
      <c r="I21" s="60" t="s">
        <v>76</v>
      </c>
      <c r="J21" s="61" t="s">
        <v>77</v>
      </c>
      <c r="K21" s="23">
        <v>80</v>
      </c>
      <c r="L21" s="23" t="str">
        <f t="shared" si="0"/>
        <v>Mencapai kompetensi dengan baik dalam hal</v>
      </c>
      <c r="M21" s="23">
        <v>75</v>
      </c>
      <c r="N21" s="23" t="str">
        <f t="shared" si="1"/>
        <v>Mencapai kompetensi dengan baik dalam hal</v>
      </c>
      <c r="O21" s="23">
        <v>80</v>
      </c>
      <c r="P21" s="23" t="str">
        <f t="shared" si="2"/>
        <v>Mencapai kompetensi dengan baik dalam hal</v>
      </c>
      <c r="Q21" s="23">
        <v>82</v>
      </c>
      <c r="R21" s="23" t="str">
        <f t="shared" si="3"/>
        <v>Mencapai kompetensi dengan baik dalam hal</v>
      </c>
      <c r="S21" s="23">
        <v>75</v>
      </c>
      <c r="T21" s="23" t="str">
        <f t="shared" si="4"/>
        <v>Mencapai kompetensi dengan baik dalam hal</v>
      </c>
      <c r="U21" s="23">
        <v>76</v>
      </c>
      <c r="V21" s="23" t="str">
        <f t="shared" si="5"/>
        <v>Mencapai kompetensi dengan baik dalam hal</v>
      </c>
      <c r="W21" s="23">
        <v>75</v>
      </c>
      <c r="X21" s="23" t="str">
        <f t="shared" si="6"/>
        <v>Mencapai kompetensi dengan baik dalam hal</v>
      </c>
      <c r="Y21" s="23">
        <v>79</v>
      </c>
      <c r="Z21" s="23" t="str">
        <f t="shared" si="7"/>
        <v>Mencapai kompetensi dengan baik dalam hal</v>
      </c>
      <c r="AA21" s="23">
        <v>77</v>
      </c>
      <c r="AB21" s="23" t="str">
        <f t="shared" si="8"/>
        <v>Mencapai kompetensi dengan baik dalam hal</v>
      </c>
      <c r="AC21" s="23">
        <v>79</v>
      </c>
      <c r="AD21" s="23" t="str">
        <f t="shared" si="9"/>
        <v>Mencapai kompetensi dengan baik dalam hal</v>
      </c>
      <c r="AE21" s="23">
        <v>77</v>
      </c>
      <c r="AF21" s="23" t="str">
        <f t="shared" si="10"/>
        <v>Mencapai kompetensi dengan baik dalam hal</v>
      </c>
      <c r="AG21" s="23">
        <v>78</v>
      </c>
      <c r="AH21" s="23" t="str">
        <f t="shared" si="11"/>
        <v>Mencapai kompetensi dengan baik dalam hal</v>
      </c>
      <c r="AI21" s="62">
        <f t="shared" si="17"/>
        <v>77.5</v>
      </c>
      <c r="AJ21" s="23">
        <v>77</v>
      </c>
      <c r="AK21" s="23" t="str">
        <f t="shared" si="12"/>
        <v>Mencapai kompetensi dengan baik dalam hal</v>
      </c>
      <c r="AL21" s="23">
        <v>79</v>
      </c>
      <c r="AM21" s="18" t="str">
        <f t="shared" si="13"/>
        <v>Mencapai kompetensi dengan baik dalam hal</v>
      </c>
      <c r="AN21" s="23">
        <v>6</v>
      </c>
      <c r="AO21" s="23" t="s">
        <v>81</v>
      </c>
      <c r="AP21" s="23" t="s">
        <v>81</v>
      </c>
      <c r="AQ21" s="23">
        <v>1</v>
      </c>
      <c r="AR21" s="23" t="s">
        <v>82</v>
      </c>
      <c r="AS21" s="18" t="s">
        <v>83</v>
      </c>
      <c r="AT21" s="23" t="s">
        <v>86</v>
      </c>
      <c r="AU21" s="18" t="str">
        <f t="shared" si="14"/>
        <v>Sangat baik</v>
      </c>
      <c r="AV21" s="23">
        <v>2</v>
      </c>
      <c r="AW21" s="18" t="s">
        <v>134</v>
      </c>
      <c r="AX21" s="18" t="s">
        <v>83</v>
      </c>
      <c r="AY21" s="23" t="s">
        <v>104</v>
      </c>
      <c r="AZ21" s="18" t="str">
        <f t="shared" si="15"/>
        <v>Cukup</v>
      </c>
      <c r="BA21" s="23"/>
      <c r="BB21" s="23"/>
      <c r="BC21" s="23"/>
      <c r="BD21" s="23"/>
      <c r="BE21" s="18"/>
      <c r="BG21" s="20"/>
      <c r="BH21" s="20"/>
      <c r="BN21" s="22">
        <f t="shared" si="16"/>
        <v>0</v>
      </c>
      <c r="BP21" s="115">
        <f t="shared" si="18"/>
        <v>77.807692307692307</v>
      </c>
      <c r="BQ21" s="22">
        <f t="shared" si="19"/>
        <v>33</v>
      </c>
    </row>
    <row r="22" spans="1:69" ht="24.95" customHeight="1" thickTop="1" thickBot="1" x14ac:dyDescent="0.3">
      <c r="A22" s="23">
        <v>21</v>
      </c>
      <c r="B22" s="23">
        <v>2525602</v>
      </c>
      <c r="C22" s="23" t="s">
        <v>886</v>
      </c>
      <c r="D22" s="18" t="s">
        <v>887</v>
      </c>
      <c r="E22" s="23" t="s">
        <v>844</v>
      </c>
      <c r="F22" s="23" t="s">
        <v>845</v>
      </c>
      <c r="G22" s="24" t="s">
        <v>846</v>
      </c>
      <c r="H22" s="24" t="s">
        <v>847</v>
      </c>
      <c r="I22" s="60" t="s">
        <v>76</v>
      </c>
      <c r="J22" s="61" t="s">
        <v>77</v>
      </c>
      <c r="K22" s="23">
        <v>82</v>
      </c>
      <c r="L22" s="23" t="str">
        <f t="shared" si="0"/>
        <v>Mencapai kompetensi dengan baik dalam hal</v>
      </c>
      <c r="M22" s="23">
        <v>82</v>
      </c>
      <c r="N22" s="23" t="str">
        <f t="shared" si="1"/>
        <v>Mencapai kompetensi dengan baik dalam hal</v>
      </c>
      <c r="O22" s="23">
        <v>80</v>
      </c>
      <c r="P22" s="23" t="str">
        <f t="shared" si="2"/>
        <v>Mencapai kompetensi dengan baik dalam hal</v>
      </c>
      <c r="Q22" s="23">
        <v>81</v>
      </c>
      <c r="R22" s="23" t="str">
        <f t="shared" si="3"/>
        <v>Mencapai kompetensi dengan baik dalam hal</v>
      </c>
      <c r="S22" s="23">
        <v>81</v>
      </c>
      <c r="T22" s="23" t="str">
        <f t="shared" si="4"/>
        <v>Mencapai kompetensi dengan baik dalam hal</v>
      </c>
      <c r="U22" s="23">
        <v>78</v>
      </c>
      <c r="V22" s="23" t="str">
        <f t="shared" si="5"/>
        <v>Mencapai kompetensi dengan baik dalam hal</v>
      </c>
      <c r="W22" s="23">
        <v>76</v>
      </c>
      <c r="X22" s="23" t="str">
        <f t="shared" si="6"/>
        <v>Mencapai kompetensi dengan baik dalam hal</v>
      </c>
      <c r="Y22" s="23">
        <v>80</v>
      </c>
      <c r="Z22" s="23" t="str">
        <f t="shared" si="7"/>
        <v>Mencapai kompetensi dengan baik dalam hal</v>
      </c>
      <c r="AA22" s="23">
        <v>78</v>
      </c>
      <c r="AB22" s="23" t="str">
        <f t="shared" si="8"/>
        <v>Mencapai kompetensi dengan baik dalam hal</v>
      </c>
      <c r="AC22" s="23">
        <v>82</v>
      </c>
      <c r="AD22" s="23" t="str">
        <f t="shared" si="9"/>
        <v>Mencapai kompetensi dengan baik dalam hal</v>
      </c>
      <c r="AE22" s="23">
        <v>83</v>
      </c>
      <c r="AF22" s="23" t="str">
        <f t="shared" si="10"/>
        <v>Mencapai kompetensi dengan baik dalam hal</v>
      </c>
      <c r="AG22" s="23">
        <v>84</v>
      </c>
      <c r="AH22" s="23" t="str">
        <f t="shared" si="11"/>
        <v>Mencapai kompetensi dengan baik dalam hal</v>
      </c>
      <c r="AI22" s="62">
        <f t="shared" si="17"/>
        <v>83.5</v>
      </c>
      <c r="AJ22" s="23">
        <v>78</v>
      </c>
      <c r="AK22" s="23" t="str">
        <f t="shared" si="12"/>
        <v>Mencapai kompetensi dengan baik dalam hal</v>
      </c>
      <c r="AL22" s="23">
        <v>79</v>
      </c>
      <c r="AM22" s="18" t="str">
        <f t="shared" si="13"/>
        <v>Mencapai kompetensi dengan baik dalam hal</v>
      </c>
      <c r="AN22" s="23" t="s">
        <v>81</v>
      </c>
      <c r="AO22" s="23" t="s">
        <v>81</v>
      </c>
      <c r="AP22" s="23" t="s">
        <v>81</v>
      </c>
      <c r="AQ22" s="23">
        <v>1</v>
      </c>
      <c r="AR22" s="23" t="s">
        <v>82</v>
      </c>
      <c r="AS22" s="18" t="s">
        <v>83</v>
      </c>
      <c r="AT22" s="23" t="s">
        <v>86</v>
      </c>
      <c r="AU22" s="18" t="str">
        <f t="shared" si="14"/>
        <v>Sangat baik</v>
      </c>
      <c r="AV22" s="23">
        <v>2</v>
      </c>
      <c r="AW22" s="18" t="s">
        <v>227</v>
      </c>
      <c r="AX22" s="18" t="s">
        <v>83</v>
      </c>
      <c r="AY22" s="23" t="s">
        <v>104</v>
      </c>
      <c r="AZ22" s="18" t="str">
        <f t="shared" si="15"/>
        <v>Cukup</v>
      </c>
      <c r="BA22" s="23"/>
      <c r="BB22" s="23"/>
      <c r="BC22" s="23"/>
      <c r="BD22" s="23"/>
      <c r="BE22" s="18"/>
      <c r="BG22" s="20"/>
      <c r="BH22" s="20"/>
      <c r="BN22" s="22">
        <f t="shared" si="16"/>
        <v>0</v>
      </c>
      <c r="BP22" s="115">
        <f t="shared" si="18"/>
        <v>80.038461538461533</v>
      </c>
      <c r="BQ22" s="22">
        <f t="shared" si="19"/>
        <v>8</v>
      </c>
    </row>
    <row r="23" spans="1:69" ht="24.95" customHeight="1" thickTop="1" thickBot="1" x14ac:dyDescent="0.3">
      <c r="A23" s="23">
        <v>22</v>
      </c>
      <c r="B23" s="23">
        <v>2525603</v>
      </c>
      <c r="C23" s="23" t="s">
        <v>888</v>
      </c>
      <c r="D23" s="18" t="s">
        <v>889</v>
      </c>
      <c r="E23" s="23" t="s">
        <v>844</v>
      </c>
      <c r="F23" s="23" t="s">
        <v>845</v>
      </c>
      <c r="G23" s="24" t="s">
        <v>846</v>
      </c>
      <c r="H23" s="24" t="s">
        <v>847</v>
      </c>
      <c r="I23" s="60" t="s">
        <v>76</v>
      </c>
      <c r="J23" s="61" t="s">
        <v>77</v>
      </c>
      <c r="K23" s="23">
        <v>80</v>
      </c>
      <c r="L23" s="23" t="str">
        <f t="shared" si="0"/>
        <v>Mencapai kompetensi dengan baik dalam hal</v>
      </c>
      <c r="M23" s="23">
        <v>77</v>
      </c>
      <c r="N23" s="23" t="str">
        <f t="shared" si="1"/>
        <v>Mencapai kompetensi dengan baik dalam hal</v>
      </c>
      <c r="O23" s="23">
        <v>80</v>
      </c>
      <c r="P23" s="23" t="str">
        <f t="shared" si="2"/>
        <v>Mencapai kompetensi dengan baik dalam hal</v>
      </c>
      <c r="Q23" s="23">
        <v>79</v>
      </c>
      <c r="R23" s="23" t="str">
        <f t="shared" si="3"/>
        <v>Mencapai kompetensi dengan baik dalam hal</v>
      </c>
      <c r="S23" s="23">
        <v>77</v>
      </c>
      <c r="T23" s="23" t="str">
        <f t="shared" si="4"/>
        <v>Mencapai kompetensi dengan baik dalam hal</v>
      </c>
      <c r="U23" s="23">
        <v>81</v>
      </c>
      <c r="V23" s="23" t="str">
        <f t="shared" si="5"/>
        <v>Mencapai kompetensi dengan baik dalam hal</v>
      </c>
      <c r="W23" s="23">
        <v>75</v>
      </c>
      <c r="X23" s="23" t="str">
        <f t="shared" si="6"/>
        <v>Mencapai kompetensi dengan baik dalam hal</v>
      </c>
      <c r="Y23" s="23">
        <v>82</v>
      </c>
      <c r="Z23" s="23" t="str">
        <f t="shared" si="7"/>
        <v>Mencapai kompetensi dengan baik dalam hal</v>
      </c>
      <c r="AA23" s="23">
        <v>85</v>
      </c>
      <c r="AB23" s="23" t="str">
        <f t="shared" si="8"/>
        <v>Mencapai kompetensi dengan baik dalam hal</v>
      </c>
      <c r="AC23" s="23">
        <v>85</v>
      </c>
      <c r="AD23" s="23" t="str">
        <f t="shared" si="9"/>
        <v>Mencapai kompetensi dengan baik dalam hal</v>
      </c>
      <c r="AE23" s="23">
        <v>81</v>
      </c>
      <c r="AF23" s="23" t="str">
        <f t="shared" si="10"/>
        <v>Mencapai kompetensi dengan baik dalam hal</v>
      </c>
      <c r="AG23" s="23">
        <v>82</v>
      </c>
      <c r="AH23" s="23" t="str">
        <f t="shared" si="11"/>
        <v>Mencapai kompetensi dengan baik dalam hal</v>
      </c>
      <c r="AI23" s="62">
        <f t="shared" si="17"/>
        <v>81.5</v>
      </c>
      <c r="AJ23" s="23">
        <v>85</v>
      </c>
      <c r="AK23" s="23" t="str">
        <f t="shared" si="12"/>
        <v>Mencapai kompetensi dengan baik dalam hal</v>
      </c>
      <c r="AL23" s="23">
        <v>80</v>
      </c>
      <c r="AM23" s="18" t="str">
        <f t="shared" si="13"/>
        <v>Mencapai kompetensi dengan baik dalam hal</v>
      </c>
      <c r="AN23" s="23" t="s">
        <v>81</v>
      </c>
      <c r="AO23" s="23" t="s">
        <v>81</v>
      </c>
      <c r="AP23" s="23" t="s">
        <v>81</v>
      </c>
      <c r="AQ23" s="23">
        <v>1</v>
      </c>
      <c r="AR23" s="23" t="s">
        <v>82</v>
      </c>
      <c r="AS23" s="18" t="s">
        <v>83</v>
      </c>
      <c r="AT23" s="23" t="s">
        <v>86</v>
      </c>
      <c r="AU23" s="18" t="str">
        <f t="shared" si="14"/>
        <v>Sangat baik</v>
      </c>
      <c r="AV23" s="23">
        <v>2</v>
      </c>
      <c r="AW23" s="18" t="s">
        <v>212</v>
      </c>
      <c r="AX23" s="18" t="s">
        <v>83</v>
      </c>
      <c r="AY23" s="23" t="s">
        <v>86</v>
      </c>
      <c r="AZ23" s="18" t="str">
        <f t="shared" si="15"/>
        <v>Sangat baik</v>
      </c>
      <c r="BA23" s="23"/>
      <c r="BB23" s="23"/>
      <c r="BC23" s="23"/>
      <c r="BD23" s="23"/>
      <c r="BE23" s="18"/>
      <c r="BG23" s="20"/>
      <c r="BH23" s="20"/>
      <c r="BN23" s="22">
        <f t="shared" si="16"/>
        <v>0</v>
      </c>
      <c r="BP23" s="115">
        <f t="shared" si="18"/>
        <v>80.57692307692308</v>
      </c>
      <c r="BQ23" s="22">
        <f t="shared" si="19"/>
        <v>6</v>
      </c>
    </row>
    <row r="24" spans="1:69" ht="24.95" customHeight="1" thickTop="1" thickBot="1" x14ac:dyDescent="0.3">
      <c r="A24" s="23">
        <v>23</v>
      </c>
      <c r="B24" s="23">
        <v>2525604</v>
      </c>
      <c r="C24" s="23" t="s">
        <v>890</v>
      </c>
      <c r="D24" s="18" t="s">
        <v>891</v>
      </c>
      <c r="E24" s="23" t="s">
        <v>844</v>
      </c>
      <c r="F24" s="23" t="s">
        <v>845</v>
      </c>
      <c r="G24" s="24" t="s">
        <v>846</v>
      </c>
      <c r="H24" s="24" t="s">
        <v>847</v>
      </c>
      <c r="I24" s="60" t="s">
        <v>76</v>
      </c>
      <c r="J24" s="61" t="s">
        <v>77</v>
      </c>
      <c r="K24" s="23">
        <v>79</v>
      </c>
      <c r="L24" s="23" t="str">
        <f t="shared" si="0"/>
        <v>Mencapai kompetensi dengan baik dalam hal</v>
      </c>
      <c r="M24" s="23">
        <v>76</v>
      </c>
      <c r="N24" s="23" t="str">
        <f t="shared" si="1"/>
        <v>Mencapai kompetensi dengan baik dalam hal</v>
      </c>
      <c r="O24" s="23">
        <v>79</v>
      </c>
      <c r="P24" s="23" t="str">
        <f t="shared" si="2"/>
        <v>Mencapai kompetensi dengan baik dalam hal</v>
      </c>
      <c r="Q24" s="23">
        <v>80</v>
      </c>
      <c r="R24" s="23" t="str">
        <f t="shared" si="3"/>
        <v>Mencapai kompetensi dengan baik dalam hal</v>
      </c>
      <c r="S24" s="23">
        <v>75</v>
      </c>
      <c r="T24" s="23" t="str">
        <f t="shared" si="4"/>
        <v>Mencapai kompetensi dengan baik dalam hal</v>
      </c>
      <c r="U24" s="23">
        <v>78</v>
      </c>
      <c r="V24" s="23" t="str">
        <f t="shared" si="5"/>
        <v>Mencapai kompetensi dengan baik dalam hal</v>
      </c>
      <c r="W24" s="23">
        <v>75</v>
      </c>
      <c r="X24" s="23" t="str">
        <f t="shared" si="6"/>
        <v>Mencapai kompetensi dengan baik dalam hal</v>
      </c>
      <c r="Y24" s="23">
        <v>78</v>
      </c>
      <c r="Z24" s="23" t="str">
        <f t="shared" si="7"/>
        <v>Mencapai kompetensi dengan baik dalam hal</v>
      </c>
      <c r="AA24" s="23">
        <v>79</v>
      </c>
      <c r="AB24" s="23" t="str">
        <f t="shared" si="8"/>
        <v>Mencapai kompetensi dengan baik dalam hal</v>
      </c>
      <c r="AC24" s="23">
        <v>79</v>
      </c>
      <c r="AD24" s="23" t="str">
        <f t="shared" si="9"/>
        <v>Mencapai kompetensi dengan baik dalam hal</v>
      </c>
      <c r="AE24" s="23">
        <v>76</v>
      </c>
      <c r="AF24" s="23" t="str">
        <f t="shared" si="10"/>
        <v>Mencapai kompetensi dengan baik dalam hal</v>
      </c>
      <c r="AG24" s="23">
        <v>77</v>
      </c>
      <c r="AH24" s="23" t="str">
        <f t="shared" si="11"/>
        <v>Mencapai kompetensi dengan baik dalam hal</v>
      </c>
      <c r="AI24" s="62">
        <f t="shared" si="17"/>
        <v>76.5</v>
      </c>
      <c r="AJ24" s="23">
        <v>79</v>
      </c>
      <c r="AK24" s="23" t="str">
        <f t="shared" si="12"/>
        <v>Mencapai kompetensi dengan baik dalam hal</v>
      </c>
      <c r="AL24" s="23">
        <v>79</v>
      </c>
      <c r="AM24" s="18" t="str">
        <f t="shared" si="13"/>
        <v>Mencapai kompetensi dengan baik dalam hal</v>
      </c>
      <c r="AN24" s="23" t="s">
        <v>81</v>
      </c>
      <c r="AO24" s="23" t="s">
        <v>81</v>
      </c>
      <c r="AP24" s="23" t="s">
        <v>81</v>
      </c>
      <c r="AQ24" s="23">
        <v>1</v>
      </c>
      <c r="AR24" s="23" t="s">
        <v>82</v>
      </c>
      <c r="AS24" s="18" t="s">
        <v>83</v>
      </c>
      <c r="AT24" s="23" t="s">
        <v>86</v>
      </c>
      <c r="AU24" s="18" t="str">
        <f t="shared" si="14"/>
        <v>Sangat baik</v>
      </c>
      <c r="AV24" s="23">
        <v>2</v>
      </c>
      <c r="AW24" s="18" t="s">
        <v>108</v>
      </c>
      <c r="AX24" s="18" t="s">
        <v>83</v>
      </c>
      <c r="AY24" s="23" t="s">
        <v>86</v>
      </c>
      <c r="AZ24" s="18" t="str">
        <f t="shared" si="15"/>
        <v>Sangat baik</v>
      </c>
      <c r="BA24" s="23"/>
      <c r="BB24" s="23"/>
      <c r="BC24" s="23"/>
      <c r="BD24" s="23"/>
      <c r="BE24" s="18"/>
      <c r="BG24" s="20"/>
      <c r="BH24" s="20"/>
      <c r="BN24" s="22">
        <f t="shared" si="16"/>
        <v>0</v>
      </c>
      <c r="BP24" s="115">
        <f t="shared" si="18"/>
        <v>77.884615384615387</v>
      </c>
      <c r="BQ24" s="22">
        <f t="shared" si="19"/>
        <v>32</v>
      </c>
    </row>
    <row r="25" spans="1:69" ht="24.95" customHeight="1" thickTop="1" thickBot="1" x14ac:dyDescent="0.3">
      <c r="A25" s="23">
        <v>24</v>
      </c>
      <c r="B25" s="23">
        <v>2525605</v>
      </c>
      <c r="C25" s="23" t="s">
        <v>892</v>
      </c>
      <c r="D25" s="18" t="s">
        <v>893</v>
      </c>
      <c r="E25" s="23" t="s">
        <v>844</v>
      </c>
      <c r="F25" s="23" t="s">
        <v>845</v>
      </c>
      <c r="G25" s="24" t="s">
        <v>846</v>
      </c>
      <c r="H25" s="24" t="s">
        <v>847</v>
      </c>
      <c r="I25" s="60" t="s">
        <v>76</v>
      </c>
      <c r="J25" s="61" t="s">
        <v>77</v>
      </c>
      <c r="K25" s="23">
        <v>79</v>
      </c>
      <c r="L25" s="23" t="str">
        <f t="shared" si="0"/>
        <v>Mencapai kompetensi dengan baik dalam hal</v>
      </c>
      <c r="M25" s="23">
        <v>78</v>
      </c>
      <c r="N25" s="23" t="str">
        <f t="shared" si="1"/>
        <v>Mencapai kompetensi dengan baik dalam hal</v>
      </c>
      <c r="O25" s="23">
        <v>80</v>
      </c>
      <c r="P25" s="23" t="str">
        <f t="shared" si="2"/>
        <v>Mencapai kompetensi dengan baik dalam hal</v>
      </c>
      <c r="Q25" s="23">
        <v>79</v>
      </c>
      <c r="R25" s="23" t="str">
        <f t="shared" si="3"/>
        <v>Mencapai kompetensi dengan baik dalam hal</v>
      </c>
      <c r="S25" s="23">
        <v>75</v>
      </c>
      <c r="T25" s="23" t="str">
        <f t="shared" si="4"/>
        <v>Mencapai kompetensi dengan baik dalam hal</v>
      </c>
      <c r="U25" s="23">
        <v>80</v>
      </c>
      <c r="V25" s="23" t="str">
        <f t="shared" si="5"/>
        <v>Mencapai kompetensi dengan baik dalam hal</v>
      </c>
      <c r="W25" s="23">
        <v>75</v>
      </c>
      <c r="X25" s="23" t="str">
        <f t="shared" si="6"/>
        <v>Mencapai kompetensi dengan baik dalam hal</v>
      </c>
      <c r="Y25" s="23">
        <v>80</v>
      </c>
      <c r="Z25" s="23" t="str">
        <f t="shared" si="7"/>
        <v>Mencapai kompetensi dengan baik dalam hal</v>
      </c>
      <c r="AA25" s="23">
        <v>85</v>
      </c>
      <c r="AB25" s="23" t="str">
        <f t="shared" si="8"/>
        <v>Mencapai kompetensi dengan baik dalam hal</v>
      </c>
      <c r="AC25" s="23">
        <v>83</v>
      </c>
      <c r="AD25" s="23" t="str">
        <f t="shared" si="9"/>
        <v>Mencapai kompetensi dengan baik dalam hal</v>
      </c>
      <c r="AE25" s="23">
        <v>80</v>
      </c>
      <c r="AF25" s="23" t="str">
        <f t="shared" si="10"/>
        <v>Mencapai kompetensi dengan baik dalam hal</v>
      </c>
      <c r="AG25" s="23">
        <v>81</v>
      </c>
      <c r="AH25" s="23" t="str">
        <f t="shared" si="11"/>
        <v>Mencapai kompetensi dengan baik dalam hal</v>
      </c>
      <c r="AI25" s="62">
        <f t="shared" si="17"/>
        <v>80.5</v>
      </c>
      <c r="AJ25" s="23">
        <v>85</v>
      </c>
      <c r="AK25" s="23" t="str">
        <f t="shared" si="12"/>
        <v>Mencapai kompetensi dengan baik dalam hal</v>
      </c>
      <c r="AL25" s="23">
        <v>80</v>
      </c>
      <c r="AM25" s="18" t="str">
        <f t="shared" si="13"/>
        <v>Mencapai kompetensi dengan baik dalam hal</v>
      </c>
      <c r="AN25" s="23">
        <v>1</v>
      </c>
      <c r="AO25" s="23" t="s">
        <v>81</v>
      </c>
      <c r="AP25" s="23">
        <v>1</v>
      </c>
      <c r="AQ25" s="23">
        <v>1</v>
      </c>
      <c r="AR25" s="23" t="s">
        <v>82</v>
      </c>
      <c r="AS25" s="18" t="s">
        <v>83</v>
      </c>
      <c r="AT25" s="23" t="s">
        <v>86</v>
      </c>
      <c r="AU25" s="18" t="str">
        <f t="shared" si="14"/>
        <v>Sangat baik</v>
      </c>
      <c r="AV25" s="23">
        <v>2</v>
      </c>
      <c r="AW25" s="18" t="s">
        <v>167</v>
      </c>
      <c r="AX25" s="18" t="s">
        <v>83</v>
      </c>
      <c r="AY25" s="23" t="s">
        <v>84</v>
      </c>
      <c r="AZ25" s="18" t="str">
        <f t="shared" si="15"/>
        <v>Baik</v>
      </c>
      <c r="BA25" s="23"/>
      <c r="BB25" s="23"/>
      <c r="BC25" s="23"/>
      <c r="BD25" s="23"/>
      <c r="BE25" s="18"/>
      <c r="BG25" s="20"/>
      <c r="BH25" s="20"/>
      <c r="BN25" s="22">
        <f t="shared" si="16"/>
        <v>0</v>
      </c>
      <c r="BP25" s="115">
        <f t="shared" si="18"/>
        <v>79.961538461538467</v>
      </c>
      <c r="BQ25" s="22">
        <f t="shared" si="19"/>
        <v>9</v>
      </c>
    </row>
    <row r="26" spans="1:69" ht="24.95" customHeight="1" thickTop="1" thickBot="1" x14ac:dyDescent="0.3">
      <c r="A26" s="23">
        <v>25</v>
      </c>
      <c r="B26" s="23">
        <v>2525606</v>
      </c>
      <c r="C26" s="23" t="s">
        <v>894</v>
      </c>
      <c r="D26" s="18" t="s">
        <v>895</v>
      </c>
      <c r="E26" s="23" t="s">
        <v>844</v>
      </c>
      <c r="F26" s="23" t="s">
        <v>845</v>
      </c>
      <c r="G26" s="24" t="s">
        <v>846</v>
      </c>
      <c r="H26" s="24" t="s">
        <v>847</v>
      </c>
      <c r="I26" s="60" t="s">
        <v>76</v>
      </c>
      <c r="J26" s="61" t="s">
        <v>77</v>
      </c>
      <c r="K26" s="23">
        <v>80</v>
      </c>
      <c r="L26" s="23" t="str">
        <f t="shared" si="0"/>
        <v>Mencapai kompetensi dengan baik dalam hal</v>
      </c>
      <c r="M26" s="23">
        <v>76</v>
      </c>
      <c r="N26" s="23" t="str">
        <f t="shared" si="1"/>
        <v>Mencapai kompetensi dengan baik dalam hal</v>
      </c>
      <c r="O26" s="23">
        <v>79</v>
      </c>
      <c r="P26" s="23" t="str">
        <f t="shared" si="2"/>
        <v>Mencapai kompetensi dengan baik dalam hal</v>
      </c>
      <c r="Q26" s="23">
        <v>80</v>
      </c>
      <c r="R26" s="23" t="str">
        <f t="shared" si="3"/>
        <v>Mencapai kompetensi dengan baik dalam hal</v>
      </c>
      <c r="S26" s="23">
        <v>75</v>
      </c>
      <c r="T26" s="23" t="str">
        <f t="shared" si="4"/>
        <v>Mencapai kompetensi dengan baik dalam hal</v>
      </c>
      <c r="U26" s="23">
        <v>80</v>
      </c>
      <c r="V26" s="23" t="str">
        <f t="shared" si="5"/>
        <v>Mencapai kompetensi dengan baik dalam hal</v>
      </c>
      <c r="W26" s="23">
        <v>75</v>
      </c>
      <c r="X26" s="23" t="str">
        <f t="shared" si="6"/>
        <v>Mencapai kompetensi dengan baik dalam hal</v>
      </c>
      <c r="Y26" s="23">
        <v>77</v>
      </c>
      <c r="Z26" s="23" t="str">
        <f t="shared" si="7"/>
        <v>Mencapai kompetensi dengan baik dalam hal</v>
      </c>
      <c r="AA26" s="23">
        <v>83</v>
      </c>
      <c r="AB26" s="23" t="str">
        <f t="shared" si="8"/>
        <v>Mencapai kompetensi dengan baik dalam hal</v>
      </c>
      <c r="AC26" s="23">
        <v>80</v>
      </c>
      <c r="AD26" s="23" t="str">
        <f t="shared" si="9"/>
        <v>Mencapai kompetensi dengan baik dalam hal</v>
      </c>
      <c r="AE26" s="23">
        <v>78</v>
      </c>
      <c r="AF26" s="23" t="str">
        <f t="shared" si="10"/>
        <v>Mencapai kompetensi dengan baik dalam hal</v>
      </c>
      <c r="AG26" s="23">
        <v>79</v>
      </c>
      <c r="AH26" s="23" t="str">
        <f t="shared" si="11"/>
        <v>Mencapai kompetensi dengan baik dalam hal</v>
      </c>
      <c r="AI26" s="62">
        <f t="shared" si="17"/>
        <v>78.5</v>
      </c>
      <c r="AJ26" s="23">
        <v>83</v>
      </c>
      <c r="AK26" s="23" t="str">
        <f t="shared" si="12"/>
        <v>Mencapai kompetensi dengan baik dalam hal</v>
      </c>
      <c r="AL26" s="23">
        <v>79</v>
      </c>
      <c r="AM26" s="18" t="str">
        <f t="shared" si="13"/>
        <v>Mencapai kompetensi dengan baik dalam hal</v>
      </c>
      <c r="AN26" s="23" t="s">
        <v>81</v>
      </c>
      <c r="AO26" s="23" t="s">
        <v>81</v>
      </c>
      <c r="AP26" s="23" t="s">
        <v>81</v>
      </c>
      <c r="AQ26" s="23">
        <v>1</v>
      </c>
      <c r="AR26" s="23" t="s">
        <v>82</v>
      </c>
      <c r="AS26" s="18" t="s">
        <v>83</v>
      </c>
      <c r="AT26" s="23" t="s">
        <v>84</v>
      </c>
      <c r="AU26" s="18" t="str">
        <f t="shared" si="14"/>
        <v>Baik</v>
      </c>
      <c r="AV26" s="23">
        <v>2</v>
      </c>
      <c r="AW26" s="18" t="s">
        <v>85</v>
      </c>
      <c r="AX26" s="18" t="s">
        <v>83</v>
      </c>
      <c r="AY26" s="23" t="s">
        <v>84</v>
      </c>
      <c r="AZ26" s="18" t="str">
        <f t="shared" si="15"/>
        <v>Baik</v>
      </c>
      <c r="BA26" s="23"/>
      <c r="BB26" s="23"/>
      <c r="BC26" s="23"/>
      <c r="BD26" s="23"/>
      <c r="BE26" s="18"/>
      <c r="BG26" s="20"/>
      <c r="BH26" s="20"/>
      <c r="BN26" s="22">
        <f t="shared" si="16"/>
        <v>0</v>
      </c>
      <c r="BP26" s="115">
        <f t="shared" si="18"/>
        <v>78.884615384615387</v>
      </c>
      <c r="BQ26" s="22">
        <f t="shared" si="19"/>
        <v>21</v>
      </c>
    </row>
    <row r="27" spans="1:69" ht="24.95" customHeight="1" thickTop="1" thickBot="1" x14ac:dyDescent="0.3">
      <c r="A27" s="23">
        <v>26</v>
      </c>
      <c r="B27" s="23">
        <v>2525607</v>
      </c>
      <c r="C27" s="23" t="s">
        <v>896</v>
      </c>
      <c r="D27" s="18" t="s">
        <v>897</v>
      </c>
      <c r="E27" s="23" t="s">
        <v>844</v>
      </c>
      <c r="F27" s="23" t="s">
        <v>845</v>
      </c>
      <c r="G27" s="24" t="s">
        <v>846</v>
      </c>
      <c r="H27" s="24" t="s">
        <v>847</v>
      </c>
      <c r="I27" s="60" t="s">
        <v>76</v>
      </c>
      <c r="J27" s="61" t="s">
        <v>77</v>
      </c>
      <c r="K27" s="23">
        <v>78</v>
      </c>
      <c r="L27" s="23" t="str">
        <f t="shared" si="0"/>
        <v>Mencapai kompetensi dengan baik dalam hal</v>
      </c>
      <c r="M27" s="23">
        <v>77</v>
      </c>
      <c r="N27" s="23" t="str">
        <f t="shared" si="1"/>
        <v>Mencapai kompetensi dengan baik dalam hal</v>
      </c>
      <c r="O27" s="23">
        <v>80</v>
      </c>
      <c r="P27" s="23" t="str">
        <f t="shared" si="2"/>
        <v>Mencapai kompetensi dengan baik dalam hal</v>
      </c>
      <c r="Q27" s="23">
        <v>82</v>
      </c>
      <c r="R27" s="23" t="str">
        <f t="shared" si="3"/>
        <v>Mencapai kompetensi dengan baik dalam hal</v>
      </c>
      <c r="S27" s="23">
        <v>75</v>
      </c>
      <c r="T27" s="23" t="str">
        <f t="shared" si="4"/>
        <v>Mencapai kompetensi dengan baik dalam hal</v>
      </c>
      <c r="U27" s="23">
        <v>80</v>
      </c>
      <c r="V27" s="23" t="str">
        <f t="shared" si="5"/>
        <v>Mencapai kompetensi dengan baik dalam hal</v>
      </c>
      <c r="W27" s="23">
        <v>75</v>
      </c>
      <c r="X27" s="23" t="str">
        <f t="shared" si="6"/>
        <v>Mencapai kompetensi dengan baik dalam hal</v>
      </c>
      <c r="Y27" s="23">
        <v>76</v>
      </c>
      <c r="Z27" s="23" t="str">
        <f t="shared" si="7"/>
        <v>Mencapai kompetensi dengan baik dalam hal</v>
      </c>
      <c r="AA27" s="23">
        <v>78</v>
      </c>
      <c r="AB27" s="23" t="str">
        <f t="shared" si="8"/>
        <v>Mencapai kompetensi dengan baik dalam hal</v>
      </c>
      <c r="AC27" s="23">
        <v>82</v>
      </c>
      <c r="AD27" s="23" t="str">
        <f t="shared" si="9"/>
        <v>Mencapai kompetensi dengan baik dalam hal</v>
      </c>
      <c r="AE27" s="23">
        <v>80</v>
      </c>
      <c r="AF27" s="23" t="str">
        <f t="shared" si="10"/>
        <v>Mencapai kompetensi dengan baik dalam hal</v>
      </c>
      <c r="AG27" s="23">
        <v>81</v>
      </c>
      <c r="AH27" s="23" t="str">
        <f t="shared" si="11"/>
        <v>Mencapai kompetensi dengan baik dalam hal</v>
      </c>
      <c r="AI27" s="62">
        <f t="shared" si="17"/>
        <v>80.5</v>
      </c>
      <c r="AJ27" s="23">
        <v>78</v>
      </c>
      <c r="AK27" s="23" t="str">
        <f t="shared" si="12"/>
        <v>Mencapai kompetensi dengan baik dalam hal</v>
      </c>
      <c r="AL27" s="23">
        <v>79</v>
      </c>
      <c r="AM27" s="18" t="str">
        <f t="shared" si="13"/>
        <v>Mencapai kompetensi dengan baik dalam hal</v>
      </c>
      <c r="AN27" s="23" t="s">
        <v>81</v>
      </c>
      <c r="AO27" s="23" t="s">
        <v>81</v>
      </c>
      <c r="AP27" s="23" t="s">
        <v>81</v>
      </c>
      <c r="AQ27" s="23">
        <v>1</v>
      </c>
      <c r="AR27" s="23" t="s">
        <v>82</v>
      </c>
      <c r="AS27" s="18" t="s">
        <v>83</v>
      </c>
      <c r="AT27" s="23" t="s">
        <v>86</v>
      </c>
      <c r="AU27" s="18" t="str">
        <f t="shared" si="14"/>
        <v>Sangat baik</v>
      </c>
      <c r="AV27" s="23">
        <v>2</v>
      </c>
      <c r="AW27" s="18" t="s">
        <v>99</v>
      </c>
      <c r="AX27" s="18" t="s">
        <v>83</v>
      </c>
      <c r="AY27" s="23" t="s">
        <v>84</v>
      </c>
      <c r="AZ27" s="18" t="str">
        <f t="shared" si="15"/>
        <v>Baik</v>
      </c>
      <c r="BA27" s="23"/>
      <c r="BB27" s="23"/>
      <c r="BC27" s="23"/>
      <c r="BD27" s="23"/>
      <c r="BE27" s="18"/>
      <c r="BG27" s="20"/>
      <c r="BH27" s="20"/>
      <c r="BN27" s="22">
        <f t="shared" si="16"/>
        <v>0</v>
      </c>
      <c r="BP27" s="115">
        <f t="shared" si="18"/>
        <v>78.5</v>
      </c>
      <c r="BQ27" s="22">
        <f t="shared" si="19"/>
        <v>27</v>
      </c>
    </row>
    <row r="28" spans="1:69" ht="24.95" customHeight="1" thickTop="1" thickBot="1" x14ac:dyDescent="0.3">
      <c r="A28" s="23">
        <v>27</v>
      </c>
      <c r="B28" s="23">
        <v>2525608</v>
      </c>
      <c r="C28" s="23" t="s">
        <v>898</v>
      </c>
      <c r="D28" s="18" t="s">
        <v>899</v>
      </c>
      <c r="E28" s="23" t="s">
        <v>844</v>
      </c>
      <c r="F28" s="23" t="s">
        <v>845</v>
      </c>
      <c r="G28" s="24" t="s">
        <v>846</v>
      </c>
      <c r="H28" s="24" t="s">
        <v>847</v>
      </c>
      <c r="I28" s="60" t="s">
        <v>76</v>
      </c>
      <c r="J28" s="61" t="s">
        <v>77</v>
      </c>
      <c r="K28" s="23">
        <v>78</v>
      </c>
      <c r="L28" s="23" t="str">
        <f t="shared" si="0"/>
        <v>Mencapai kompetensi dengan baik dalam hal</v>
      </c>
      <c r="M28" s="23">
        <v>78</v>
      </c>
      <c r="N28" s="23" t="str">
        <f t="shared" si="1"/>
        <v>Mencapai kompetensi dengan baik dalam hal</v>
      </c>
      <c r="O28" s="23">
        <v>80</v>
      </c>
      <c r="P28" s="23" t="str">
        <f t="shared" si="2"/>
        <v>Mencapai kompetensi dengan baik dalam hal</v>
      </c>
      <c r="Q28" s="23">
        <v>79</v>
      </c>
      <c r="R28" s="23" t="str">
        <f t="shared" si="3"/>
        <v>Mencapai kompetensi dengan baik dalam hal</v>
      </c>
      <c r="S28" s="23">
        <v>78</v>
      </c>
      <c r="T28" s="23" t="str">
        <f t="shared" si="4"/>
        <v>Mencapai kompetensi dengan baik dalam hal</v>
      </c>
      <c r="U28" s="23">
        <v>81</v>
      </c>
      <c r="V28" s="23" t="str">
        <f t="shared" si="5"/>
        <v>Mencapai kompetensi dengan baik dalam hal</v>
      </c>
      <c r="W28" s="23">
        <v>75</v>
      </c>
      <c r="X28" s="23" t="str">
        <f t="shared" si="6"/>
        <v>Mencapai kompetensi dengan baik dalam hal</v>
      </c>
      <c r="Y28" s="23">
        <v>81</v>
      </c>
      <c r="Z28" s="23" t="str">
        <f t="shared" si="7"/>
        <v>Mencapai kompetensi dengan baik dalam hal</v>
      </c>
      <c r="AA28" s="23">
        <v>82</v>
      </c>
      <c r="AB28" s="23" t="str">
        <f t="shared" si="8"/>
        <v>Mencapai kompetensi dengan baik dalam hal</v>
      </c>
      <c r="AC28" s="23">
        <v>82</v>
      </c>
      <c r="AD28" s="23" t="str">
        <f t="shared" si="9"/>
        <v>Mencapai kompetensi dengan baik dalam hal</v>
      </c>
      <c r="AE28" s="23">
        <v>79</v>
      </c>
      <c r="AF28" s="23" t="str">
        <f t="shared" si="10"/>
        <v>Mencapai kompetensi dengan baik dalam hal</v>
      </c>
      <c r="AG28" s="23">
        <v>80</v>
      </c>
      <c r="AH28" s="23" t="str">
        <f t="shared" si="11"/>
        <v>Mencapai kompetensi dengan baik dalam hal</v>
      </c>
      <c r="AI28" s="62">
        <f t="shared" si="17"/>
        <v>79.5</v>
      </c>
      <c r="AJ28" s="23">
        <v>82</v>
      </c>
      <c r="AK28" s="23" t="str">
        <f t="shared" si="12"/>
        <v>Mencapai kompetensi dengan baik dalam hal</v>
      </c>
      <c r="AL28" s="23">
        <v>80</v>
      </c>
      <c r="AM28" s="18" t="str">
        <f t="shared" si="13"/>
        <v>Mencapai kompetensi dengan baik dalam hal</v>
      </c>
      <c r="AN28" s="23" t="s">
        <v>81</v>
      </c>
      <c r="AO28" s="23" t="s">
        <v>81</v>
      </c>
      <c r="AP28" s="23" t="s">
        <v>81</v>
      </c>
      <c r="AQ28" s="23">
        <v>1</v>
      </c>
      <c r="AR28" s="23" t="s">
        <v>82</v>
      </c>
      <c r="AS28" s="18" t="s">
        <v>83</v>
      </c>
      <c r="AT28" s="23" t="s">
        <v>84</v>
      </c>
      <c r="AU28" s="18" t="str">
        <f t="shared" si="14"/>
        <v>Baik</v>
      </c>
      <c r="AV28" s="23">
        <v>2</v>
      </c>
      <c r="AW28" s="18" t="s">
        <v>167</v>
      </c>
      <c r="AX28" s="18" t="s">
        <v>83</v>
      </c>
      <c r="AY28" s="23" t="s">
        <v>84</v>
      </c>
      <c r="AZ28" s="18" t="str">
        <f t="shared" si="15"/>
        <v>Baik</v>
      </c>
      <c r="BA28" s="23"/>
      <c r="BB28" s="23"/>
      <c r="BC28" s="23"/>
      <c r="BD28" s="23"/>
      <c r="BE28" s="18"/>
      <c r="BG28" s="20"/>
      <c r="BH28" s="20"/>
      <c r="BN28" s="22">
        <f t="shared" si="16"/>
        <v>0</v>
      </c>
      <c r="BP28" s="115">
        <f t="shared" si="18"/>
        <v>79.65384615384616</v>
      </c>
      <c r="BQ28" s="22">
        <f t="shared" si="19"/>
        <v>11</v>
      </c>
    </row>
    <row r="29" spans="1:69" ht="24.95" customHeight="1" thickTop="1" thickBot="1" x14ac:dyDescent="0.3">
      <c r="A29" s="23">
        <v>28</v>
      </c>
      <c r="B29" s="23">
        <v>2525609</v>
      </c>
      <c r="C29" s="23" t="s">
        <v>900</v>
      </c>
      <c r="D29" s="18" t="s">
        <v>901</v>
      </c>
      <c r="E29" s="23" t="s">
        <v>844</v>
      </c>
      <c r="F29" s="23" t="s">
        <v>845</v>
      </c>
      <c r="G29" s="24" t="s">
        <v>846</v>
      </c>
      <c r="H29" s="24" t="s">
        <v>847</v>
      </c>
      <c r="I29" s="60" t="s">
        <v>76</v>
      </c>
      <c r="J29" s="61" t="s">
        <v>77</v>
      </c>
      <c r="K29" s="23">
        <v>78</v>
      </c>
      <c r="L29" s="23" t="str">
        <f t="shared" si="0"/>
        <v>Mencapai kompetensi dengan baik dalam hal</v>
      </c>
      <c r="M29" s="23">
        <v>78</v>
      </c>
      <c r="N29" s="23" t="str">
        <f t="shared" si="1"/>
        <v>Mencapai kompetensi dengan baik dalam hal</v>
      </c>
      <c r="O29" s="23">
        <v>80</v>
      </c>
      <c r="P29" s="23" t="str">
        <f t="shared" si="2"/>
        <v>Mencapai kompetensi dengan baik dalam hal</v>
      </c>
      <c r="Q29" s="23">
        <v>79</v>
      </c>
      <c r="R29" s="23" t="str">
        <f t="shared" si="3"/>
        <v>Mencapai kompetensi dengan baik dalam hal</v>
      </c>
      <c r="S29" s="23">
        <v>76</v>
      </c>
      <c r="T29" s="23" t="str">
        <f t="shared" si="4"/>
        <v>Mencapai kompetensi dengan baik dalam hal</v>
      </c>
      <c r="U29" s="23">
        <v>81</v>
      </c>
      <c r="V29" s="23" t="str">
        <f t="shared" si="5"/>
        <v>Mencapai kompetensi dengan baik dalam hal</v>
      </c>
      <c r="W29" s="23">
        <v>77</v>
      </c>
      <c r="X29" s="23" t="str">
        <f t="shared" si="6"/>
        <v>Mencapai kompetensi dengan baik dalam hal</v>
      </c>
      <c r="Y29" s="23">
        <v>81</v>
      </c>
      <c r="Z29" s="23" t="str">
        <f t="shared" si="7"/>
        <v>Mencapai kompetensi dengan baik dalam hal</v>
      </c>
      <c r="AA29" s="23">
        <v>83</v>
      </c>
      <c r="AB29" s="23" t="str">
        <f t="shared" si="8"/>
        <v>Mencapai kompetensi dengan baik dalam hal</v>
      </c>
      <c r="AC29" s="23">
        <v>83</v>
      </c>
      <c r="AD29" s="23" t="str">
        <f t="shared" si="9"/>
        <v>Mencapai kompetensi dengan baik dalam hal</v>
      </c>
      <c r="AE29" s="23">
        <v>76</v>
      </c>
      <c r="AF29" s="23" t="str">
        <f t="shared" si="10"/>
        <v>Mencapai kompetensi dengan baik dalam hal</v>
      </c>
      <c r="AG29" s="23">
        <v>77</v>
      </c>
      <c r="AH29" s="23" t="str">
        <f t="shared" si="11"/>
        <v>Mencapai kompetensi dengan baik dalam hal</v>
      </c>
      <c r="AI29" s="62">
        <f t="shared" si="17"/>
        <v>76.5</v>
      </c>
      <c r="AJ29" s="23">
        <v>83</v>
      </c>
      <c r="AK29" s="23" t="str">
        <f t="shared" si="12"/>
        <v>Mencapai kompetensi dengan baik dalam hal</v>
      </c>
      <c r="AL29" s="23">
        <v>80</v>
      </c>
      <c r="AM29" s="18" t="str">
        <f t="shared" si="13"/>
        <v>Mencapai kompetensi dengan baik dalam hal</v>
      </c>
      <c r="AN29" s="23" t="s">
        <v>81</v>
      </c>
      <c r="AO29" s="23" t="s">
        <v>81</v>
      </c>
      <c r="AP29" s="23" t="s">
        <v>81</v>
      </c>
      <c r="AQ29" s="23">
        <v>1</v>
      </c>
      <c r="AR29" s="23" t="s">
        <v>82</v>
      </c>
      <c r="AS29" s="18" t="s">
        <v>83</v>
      </c>
      <c r="AT29" s="23" t="s">
        <v>86</v>
      </c>
      <c r="AU29" s="18" t="str">
        <f t="shared" si="14"/>
        <v>Sangat baik</v>
      </c>
      <c r="AV29" s="23">
        <v>2</v>
      </c>
      <c r="AW29" s="18" t="s">
        <v>134</v>
      </c>
      <c r="AX29" s="18" t="s">
        <v>83</v>
      </c>
      <c r="AY29" s="23" t="s">
        <v>104</v>
      </c>
      <c r="AZ29" s="18" t="str">
        <f t="shared" si="15"/>
        <v>Cukup</v>
      </c>
      <c r="BA29" s="23"/>
      <c r="BB29" s="23"/>
      <c r="BC29" s="23"/>
      <c r="BD29" s="23"/>
      <c r="BE29" s="18"/>
      <c r="BG29" s="20"/>
      <c r="BH29" s="20"/>
      <c r="BN29" s="22">
        <f t="shared" si="16"/>
        <v>0</v>
      </c>
      <c r="BP29" s="115">
        <f t="shared" si="18"/>
        <v>79.65384615384616</v>
      </c>
      <c r="BQ29" s="22">
        <f t="shared" si="19"/>
        <v>11</v>
      </c>
    </row>
    <row r="30" spans="1:69" ht="24.95" customHeight="1" thickTop="1" thickBot="1" x14ac:dyDescent="0.3">
      <c r="A30" s="23">
        <v>29</v>
      </c>
      <c r="B30" s="23">
        <v>2525610</v>
      </c>
      <c r="C30" s="23" t="s">
        <v>902</v>
      </c>
      <c r="D30" s="18" t="s">
        <v>903</v>
      </c>
      <c r="E30" s="23" t="s">
        <v>844</v>
      </c>
      <c r="F30" s="23" t="s">
        <v>845</v>
      </c>
      <c r="G30" s="24" t="s">
        <v>846</v>
      </c>
      <c r="H30" s="24" t="s">
        <v>847</v>
      </c>
      <c r="I30" s="60" t="s">
        <v>76</v>
      </c>
      <c r="J30" s="61" t="s">
        <v>77</v>
      </c>
      <c r="K30" s="23">
        <v>79</v>
      </c>
      <c r="L30" s="23" t="str">
        <f t="shared" si="0"/>
        <v>Mencapai kompetensi dengan baik dalam hal</v>
      </c>
      <c r="M30" s="23">
        <v>76</v>
      </c>
      <c r="N30" s="23" t="str">
        <f t="shared" si="1"/>
        <v>Mencapai kompetensi dengan baik dalam hal</v>
      </c>
      <c r="O30" s="23">
        <v>83</v>
      </c>
      <c r="P30" s="23" t="str">
        <f t="shared" si="2"/>
        <v>Mencapai kompetensi dengan baik dalam hal</v>
      </c>
      <c r="Q30" s="23">
        <v>81</v>
      </c>
      <c r="R30" s="23" t="str">
        <f t="shared" si="3"/>
        <v>Mencapai kompetensi dengan baik dalam hal</v>
      </c>
      <c r="S30" s="23">
        <v>77</v>
      </c>
      <c r="T30" s="23" t="str">
        <f t="shared" si="4"/>
        <v>Mencapai kompetensi dengan baik dalam hal</v>
      </c>
      <c r="U30" s="23">
        <v>79</v>
      </c>
      <c r="V30" s="23" t="str">
        <f t="shared" si="5"/>
        <v>Mencapai kompetensi dengan baik dalam hal</v>
      </c>
      <c r="W30" s="23">
        <v>75</v>
      </c>
      <c r="X30" s="23" t="str">
        <f t="shared" si="6"/>
        <v>Mencapai kompetensi dengan baik dalam hal</v>
      </c>
      <c r="Y30" s="23">
        <v>79</v>
      </c>
      <c r="Z30" s="23" t="str">
        <f t="shared" si="7"/>
        <v>Mencapai kompetensi dengan baik dalam hal</v>
      </c>
      <c r="AA30" s="23">
        <v>78</v>
      </c>
      <c r="AB30" s="23" t="str">
        <f t="shared" si="8"/>
        <v>Mencapai kompetensi dengan baik dalam hal</v>
      </c>
      <c r="AC30" s="23">
        <v>80</v>
      </c>
      <c r="AD30" s="23" t="str">
        <f t="shared" si="9"/>
        <v>Mencapai kompetensi dengan baik dalam hal</v>
      </c>
      <c r="AE30" s="23">
        <v>78</v>
      </c>
      <c r="AF30" s="23" t="str">
        <f t="shared" si="10"/>
        <v>Mencapai kompetensi dengan baik dalam hal</v>
      </c>
      <c r="AG30" s="23">
        <v>79</v>
      </c>
      <c r="AH30" s="23" t="str">
        <f t="shared" si="11"/>
        <v>Mencapai kompetensi dengan baik dalam hal</v>
      </c>
      <c r="AI30" s="62">
        <f t="shared" si="17"/>
        <v>78.5</v>
      </c>
      <c r="AJ30" s="23">
        <v>78</v>
      </c>
      <c r="AK30" s="23" t="str">
        <f t="shared" si="12"/>
        <v>Mencapai kompetensi dengan baik dalam hal</v>
      </c>
      <c r="AL30" s="23">
        <v>79</v>
      </c>
      <c r="AM30" s="18" t="str">
        <f t="shared" si="13"/>
        <v>Mencapai kompetensi dengan baik dalam hal</v>
      </c>
      <c r="AN30" s="23" t="s">
        <v>81</v>
      </c>
      <c r="AO30" s="23" t="s">
        <v>81</v>
      </c>
      <c r="AP30" s="23" t="s">
        <v>81</v>
      </c>
      <c r="AQ30" s="23">
        <v>1</v>
      </c>
      <c r="AR30" s="23" t="s">
        <v>82</v>
      </c>
      <c r="AS30" s="18" t="s">
        <v>83</v>
      </c>
      <c r="AT30" s="23" t="s">
        <v>86</v>
      </c>
      <c r="AU30" s="18" t="str">
        <f t="shared" si="14"/>
        <v>Sangat baik</v>
      </c>
      <c r="AV30" s="23">
        <v>2</v>
      </c>
      <c r="AW30" s="18" t="s">
        <v>429</v>
      </c>
      <c r="AX30" s="18" t="s">
        <v>83</v>
      </c>
      <c r="AY30" s="23" t="s">
        <v>86</v>
      </c>
      <c r="AZ30" s="18" t="str">
        <f t="shared" si="15"/>
        <v>Sangat baik</v>
      </c>
      <c r="BA30" s="23"/>
      <c r="BB30" s="23"/>
      <c r="BC30" s="23"/>
      <c r="BD30" s="23"/>
      <c r="BE30" s="18"/>
      <c r="BG30" s="20"/>
      <c r="BH30" s="20"/>
      <c r="BN30" s="22">
        <f t="shared" si="16"/>
        <v>0</v>
      </c>
      <c r="BP30" s="115">
        <f t="shared" si="18"/>
        <v>78.65384615384616</v>
      </c>
      <c r="BQ30" s="22">
        <f t="shared" si="19"/>
        <v>25</v>
      </c>
    </row>
    <row r="31" spans="1:69" ht="24.95" customHeight="1" thickTop="1" thickBot="1" x14ac:dyDescent="0.3">
      <c r="A31" s="23">
        <v>30</v>
      </c>
      <c r="B31" s="23">
        <v>2525611</v>
      </c>
      <c r="C31" s="23" t="s">
        <v>904</v>
      </c>
      <c r="D31" s="18" t="s">
        <v>905</v>
      </c>
      <c r="E31" s="23" t="s">
        <v>844</v>
      </c>
      <c r="F31" s="23" t="s">
        <v>845</v>
      </c>
      <c r="G31" s="24" t="s">
        <v>846</v>
      </c>
      <c r="H31" s="24" t="s">
        <v>847</v>
      </c>
      <c r="I31" s="60" t="s">
        <v>76</v>
      </c>
      <c r="J31" s="61" t="s">
        <v>77</v>
      </c>
      <c r="K31" s="23">
        <v>79</v>
      </c>
      <c r="L31" s="23" t="str">
        <f t="shared" si="0"/>
        <v>Mencapai kompetensi dengan baik dalam hal</v>
      </c>
      <c r="M31" s="23">
        <v>78</v>
      </c>
      <c r="N31" s="23" t="str">
        <f t="shared" si="1"/>
        <v>Mencapai kompetensi dengan baik dalam hal</v>
      </c>
      <c r="O31" s="23">
        <v>83</v>
      </c>
      <c r="P31" s="23" t="str">
        <f t="shared" si="2"/>
        <v>Mencapai kompetensi dengan baik dalam hal</v>
      </c>
      <c r="Q31" s="23">
        <v>78</v>
      </c>
      <c r="R31" s="23" t="str">
        <f t="shared" si="3"/>
        <v>Mencapai kompetensi dengan baik dalam hal</v>
      </c>
      <c r="S31" s="23">
        <v>80</v>
      </c>
      <c r="T31" s="23" t="str">
        <f t="shared" si="4"/>
        <v>Mencapai kompetensi dengan baik dalam hal</v>
      </c>
      <c r="U31" s="23">
        <v>82</v>
      </c>
      <c r="V31" s="23" t="str">
        <f t="shared" si="5"/>
        <v>Mencapai kompetensi dengan baik dalam hal</v>
      </c>
      <c r="W31" s="23">
        <v>75</v>
      </c>
      <c r="X31" s="23" t="str">
        <f t="shared" si="6"/>
        <v>Mencapai kompetensi dengan baik dalam hal</v>
      </c>
      <c r="Y31" s="23">
        <v>78</v>
      </c>
      <c r="Z31" s="23" t="str">
        <f t="shared" si="7"/>
        <v>Mencapai kompetensi dengan baik dalam hal</v>
      </c>
      <c r="AA31" s="23">
        <v>81</v>
      </c>
      <c r="AB31" s="23" t="str">
        <f t="shared" si="8"/>
        <v>Mencapai kompetensi dengan baik dalam hal</v>
      </c>
      <c r="AC31" s="23">
        <v>80</v>
      </c>
      <c r="AD31" s="23" t="str">
        <f t="shared" si="9"/>
        <v>Mencapai kompetensi dengan baik dalam hal</v>
      </c>
      <c r="AE31" s="23">
        <v>78</v>
      </c>
      <c r="AF31" s="23" t="str">
        <f t="shared" si="10"/>
        <v>Mencapai kompetensi dengan baik dalam hal</v>
      </c>
      <c r="AG31" s="23">
        <v>79</v>
      </c>
      <c r="AH31" s="23" t="str">
        <f t="shared" si="11"/>
        <v>Mencapai kompetensi dengan baik dalam hal</v>
      </c>
      <c r="AI31" s="62">
        <f t="shared" si="17"/>
        <v>78.5</v>
      </c>
      <c r="AJ31" s="23">
        <v>81</v>
      </c>
      <c r="AK31" s="23" t="str">
        <f t="shared" si="12"/>
        <v>Mencapai kompetensi dengan baik dalam hal</v>
      </c>
      <c r="AL31" s="23">
        <v>80</v>
      </c>
      <c r="AM31" s="18" t="str">
        <f t="shared" si="13"/>
        <v>Mencapai kompetensi dengan baik dalam hal</v>
      </c>
      <c r="AN31" s="23" t="s">
        <v>81</v>
      </c>
      <c r="AO31" s="23" t="s">
        <v>81</v>
      </c>
      <c r="AP31" s="23" t="s">
        <v>81</v>
      </c>
      <c r="AQ31" s="23">
        <v>1</v>
      </c>
      <c r="AR31" s="23" t="s">
        <v>82</v>
      </c>
      <c r="AS31" s="18" t="s">
        <v>83</v>
      </c>
      <c r="AT31" s="23" t="s">
        <v>86</v>
      </c>
      <c r="AU31" s="18" t="str">
        <f t="shared" si="14"/>
        <v>Sangat baik</v>
      </c>
      <c r="AV31" s="23">
        <v>2</v>
      </c>
      <c r="AW31" s="18" t="s">
        <v>298</v>
      </c>
      <c r="AX31" s="18" t="s">
        <v>83</v>
      </c>
      <c r="AY31" s="23" t="s">
        <v>84</v>
      </c>
      <c r="AZ31" s="18" t="str">
        <f t="shared" si="15"/>
        <v>Baik</v>
      </c>
      <c r="BA31" s="23"/>
      <c r="BB31" s="23"/>
      <c r="BC31" s="23"/>
      <c r="BD31" s="23"/>
      <c r="BE31" s="18"/>
      <c r="BG31" s="20"/>
      <c r="BH31" s="20"/>
      <c r="BN31" s="22">
        <f t="shared" si="16"/>
        <v>0</v>
      </c>
      <c r="BP31" s="115">
        <f t="shared" si="18"/>
        <v>79.5</v>
      </c>
      <c r="BQ31" s="22">
        <f t="shared" si="19"/>
        <v>15</v>
      </c>
    </row>
    <row r="32" spans="1:69" ht="24.95" customHeight="1" thickTop="1" thickBot="1" x14ac:dyDescent="0.3">
      <c r="A32" s="23">
        <v>31</v>
      </c>
      <c r="B32" s="23">
        <v>2525612</v>
      </c>
      <c r="C32" s="23" t="s">
        <v>906</v>
      </c>
      <c r="D32" s="18" t="s">
        <v>907</v>
      </c>
      <c r="E32" s="23" t="s">
        <v>844</v>
      </c>
      <c r="F32" s="23" t="s">
        <v>845</v>
      </c>
      <c r="G32" s="24" t="s">
        <v>846</v>
      </c>
      <c r="H32" s="24" t="s">
        <v>847</v>
      </c>
      <c r="I32" s="60" t="s">
        <v>76</v>
      </c>
      <c r="J32" s="61" t="s">
        <v>77</v>
      </c>
      <c r="K32" s="23">
        <v>81</v>
      </c>
      <c r="L32" s="23" t="str">
        <f t="shared" si="0"/>
        <v>Mencapai kompetensi dengan baik dalam hal</v>
      </c>
      <c r="M32" s="23">
        <v>76</v>
      </c>
      <c r="N32" s="23" t="str">
        <f t="shared" si="1"/>
        <v>Mencapai kompetensi dengan baik dalam hal</v>
      </c>
      <c r="O32" s="23">
        <v>80</v>
      </c>
      <c r="P32" s="23" t="str">
        <f t="shared" si="2"/>
        <v>Mencapai kompetensi dengan baik dalam hal</v>
      </c>
      <c r="Q32" s="23">
        <v>78</v>
      </c>
      <c r="R32" s="23" t="str">
        <f t="shared" si="3"/>
        <v>Mencapai kompetensi dengan baik dalam hal</v>
      </c>
      <c r="S32" s="23">
        <v>77</v>
      </c>
      <c r="T32" s="23" t="str">
        <f t="shared" si="4"/>
        <v>Mencapai kompetensi dengan baik dalam hal</v>
      </c>
      <c r="U32" s="23">
        <v>78</v>
      </c>
      <c r="V32" s="23" t="str">
        <f t="shared" si="5"/>
        <v>Mencapai kompetensi dengan baik dalam hal</v>
      </c>
      <c r="W32" s="23">
        <v>75</v>
      </c>
      <c r="X32" s="23" t="str">
        <f t="shared" si="6"/>
        <v>Mencapai kompetensi dengan baik dalam hal</v>
      </c>
      <c r="Y32" s="23">
        <v>77</v>
      </c>
      <c r="Z32" s="23" t="str">
        <f t="shared" si="7"/>
        <v>Mencapai kompetensi dengan baik dalam hal</v>
      </c>
      <c r="AA32" s="23">
        <v>81</v>
      </c>
      <c r="AB32" s="23" t="str">
        <f t="shared" si="8"/>
        <v>Mencapai kompetensi dengan baik dalam hal</v>
      </c>
      <c r="AC32" s="23">
        <v>84</v>
      </c>
      <c r="AD32" s="23" t="str">
        <f t="shared" si="9"/>
        <v>Mencapai kompetensi dengan baik dalam hal</v>
      </c>
      <c r="AE32" s="23">
        <v>76</v>
      </c>
      <c r="AF32" s="23" t="str">
        <f t="shared" si="10"/>
        <v>Mencapai kompetensi dengan baik dalam hal</v>
      </c>
      <c r="AG32" s="23">
        <v>77</v>
      </c>
      <c r="AH32" s="23" t="str">
        <f t="shared" si="11"/>
        <v>Mencapai kompetensi dengan baik dalam hal</v>
      </c>
      <c r="AI32" s="62">
        <f t="shared" si="17"/>
        <v>76.5</v>
      </c>
      <c r="AJ32" s="23">
        <v>81</v>
      </c>
      <c r="AK32" s="23" t="str">
        <f t="shared" si="12"/>
        <v>Mencapai kompetensi dengan baik dalam hal</v>
      </c>
      <c r="AL32" s="23">
        <v>78</v>
      </c>
      <c r="AM32" s="18" t="str">
        <f t="shared" si="13"/>
        <v>Mencapai kompetensi dengan baik dalam hal</v>
      </c>
      <c r="AN32" s="23">
        <v>1</v>
      </c>
      <c r="AO32" s="23" t="s">
        <v>81</v>
      </c>
      <c r="AP32" s="23" t="s">
        <v>81</v>
      </c>
      <c r="AQ32" s="23">
        <v>1</v>
      </c>
      <c r="AR32" s="23" t="s">
        <v>82</v>
      </c>
      <c r="AS32" s="18" t="s">
        <v>83</v>
      </c>
      <c r="AT32" s="23" t="s">
        <v>86</v>
      </c>
      <c r="AU32" s="18" t="str">
        <f t="shared" si="14"/>
        <v>Sangat baik</v>
      </c>
      <c r="AV32" s="23">
        <v>2</v>
      </c>
      <c r="AW32" s="18" t="s">
        <v>212</v>
      </c>
      <c r="AX32" s="18" t="s">
        <v>83</v>
      </c>
      <c r="AY32" s="23" t="s">
        <v>86</v>
      </c>
      <c r="AZ32" s="18" t="str">
        <f t="shared" si="15"/>
        <v>Sangat baik</v>
      </c>
      <c r="BA32" s="23"/>
      <c r="BB32" s="23"/>
      <c r="BC32" s="23"/>
      <c r="BD32" s="23"/>
      <c r="BE32" s="18"/>
      <c r="BG32" s="20"/>
      <c r="BH32" s="20"/>
      <c r="BN32" s="22">
        <f t="shared" si="16"/>
        <v>0</v>
      </c>
      <c r="BP32" s="115">
        <f t="shared" si="18"/>
        <v>78.65384615384616</v>
      </c>
      <c r="BQ32" s="22">
        <f t="shared" si="19"/>
        <v>25</v>
      </c>
    </row>
    <row r="33" spans="1:69" ht="24.95" customHeight="1" thickTop="1" thickBot="1" x14ac:dyDescent="0.3">
      <c r="A33" s="23">
        <v>32</v>
      </c>
      <c r="B33" s="23">
        <v>2525613</v>
      </c>
      <c r="C33" s="23" t="s">
        <v>908</v>
      </c>
      <c r="D33" s="18" t="s">
        <v>909</v>
      </c>
      <c r="E33" s="23" t="s">
        <v>844</v>
      </c>
      <c r="F33" s="23" t="s">
        <v>845</v>
      </c>
      <c r="G33" s="24" t="s">
        <v>846</v>
      </c>
      <c r="H33" s="24" t="s">
        <v>847</v>
      </c>
      <c r="I33" s="60" t="s">
        <v>76</v>
      </c>
      <c r="J33" s="61" t="s">
        <v>77</v>
      </c>
      <c r="K33" s="23">
        <v>80</v>
      </c>
      <c r="L33" s="23" t="str">
        <f t="shared" si="0"/>
        <v>Mencapai kompetensi dengan baik dalam hal</v>
      </c>
      <c r="M33" s="23">
        <v>76</v>
      </c>
      <c r="N33" s="23" t="str">
        <f t="shared" si="1"/>
        <v>Mencapai kompetensi dengan baik dalam hal</v>
      </c>
      <c r="O33" s="23">
        <v>79</v>
      </c>
      <c r="P33" s="23" t="str">
        <f t="shared" si="2"/>
        <v>Mencapai kompetensi dengan baik dalam hal</v>
      </c>
      <c r="Q33" s="23">
        <v>80</v>
      </c>
      <c r="R33" s="23" t="str">
        <f t="shared" si="3"/>
        <v>Mencapai kompetensi dengan baik dalam hal</v>
      </c>
      <c r="S33" s="23">
        <v>77</v>
      </c>
      <c r="T33" s="23" t="str">
        <f t="shared" si="4"/>
        <v>Mencapai kompetensi dengan baik dalam hal</v>
      </c>
      <c r="U33" s="23">
        <v>78</v>
      </c>
      <c r="V33" s="23" t="str">
        <f t="shared" si="5"/>
        <v>Mencapai kompetensi dengan baik dalam hal</v>
      </c>
      <c r="W33" s="23">
        <v>75</v>
      </c>
      <c r="X33" s="23" t="str">
        <f t="shared" si="6"/>
        <v>Mencapai kompetensi dengan baik dalam hal</v>
      </c>
      <c r="Y33" s="23">
        <v>77</v>
      </c>
      <c r="Z33" s="23" t="str">
        <f t="shared" si="7"/>
        <v>Mencapai kompetensi dengan baik dalam hal</v>
      </c>
      <c r="AA33" s="23">
        <v>79</v>
      </c>
      <c r="AB33" s="23" t="str">
        <f t="shared" si="8"/>
        <v>Mencapai kompetensi dengan baik dalam hal</v>
      </c>
      <c r="AC33" s="23">
        <v>80</v>
      </c>
      <c r="AD33" s="23" t="str">
        <f t="shared" si="9"/>
        <v>Mencapai kompetensi dengan baik dalam hal</v>
      </c>
      <c r="AE33" s="23">
        <v>78</v>
      </c>
      <c r="AF33" s="23" t="str">
        <f t="shared" si="10"/>
        <v>Mencapai kompetensi dengan baik dalam hal</v>
      </c>
      <c r="AG33" s="23">
        <v>79</v>
      </c>
      <c r="AH33" s="23" t="str">
        <f t="shared" si="11"/>
        <v>Mencapai kompetensi dengan baik dalam hal</v>
      </c>
      <c r="AI33" s="62">
        <f t="shared" si="17"/>
        <v>78.5</v>
      </c>
      <c r="AJ33" s="23">
        <v>79</v>
      </c>
      <c r="AK33" s="23" t="str">
        <f t="shared" si="12"/>
        <v>Mencapai kompetensi dengan baik dalam hal</v>
      </c>
      <c r="AL33" s="23">
        <v>79</v>
      </c>
      <c r="AM33" s="18" t="str">
        <f t="shared" si="13"/>
        <v>Mencapai kompetensi dengan baik dalam hal</v>
      </c>
      <c r="AN33" s="23">
        <v>5</v>
      </c>
      <c r="AO33" s="23" t="s">
        <v>81</v>
      </c>
      <c r="AP33" s="23" t="s">
        <v>81</v>
      </c>
      <c r="AQ33" s="23">
        <v>1</v>
      </c>
      <c r="AR33" s="23" t="s">
        <v>82</v>
      </c>
      <c r="AS33" s="18" t="s">
        <v>83</v>
      </c>
      <c r="AT33" s="23" t="s">
        <v>84</v>
      </c>
      <c r="AU33" s="18" t="str">
        <f t="shared" si="14"/>
        <v>Baik</v>
      </c>
      <c r="AV33" s="23">
        <v>2</v>
      </c>
      <c r="AW33" s="18" t="s">
        <v>170</v>
      </c>
      <c r="AX33" s="18" t="s">
        <v>83</v>
      </c>
      <c r="AY33" s="23" t="s">
        <v>84</v>
      </c>
      <c r="AZ33" s="18" t="str">
        <f t="shared" si="15"/>
        <v>Baik</v>
      </c>
      <c r="BA33" s="23"/>
      <c r="BB33" s="23"/>
      <c r="BC33" s="23"/>
      <c r="BD33" s="23"/>
      <c r="BE33" s="18"/>
      <c r="BG33" s="20"/>
      <c r="BH33" s="20"/>
      <c r="BN33" s="22">
        <f t="shared" si="16"/>
        <v>0</v>
      </c>
      <c r="BP33" s="115">
        <f t="shared" si="18"/>
        <v>78.269230769230774</v>
      </c>
      <c r="BQ33" s="22">
        <f t="shared" si="19"/>
        <v>30</v>
      </c>
    </row>
    <row r="34" spans="1:69" ht="24.95" customHeight="1" thickTop="1" thickBot="1" x14ac:dyDescent="0.3">
      <c r="A34" s="23">
        <v>33</v>
      </c>
      <c r="B34" s="23">
        <v>2525614</v>
      </c>
      <c r="C34" s="23" t="s">
        <v>910</v>
      </c>
      <c r="D34" s="18" t="s">
        <v>911</v>
      </c>
      <c r="E34" s="23" t="s">
        <v>844</v>
      </c>
      <c r="F34" s="23" t="s">
        <v>845</v>
      </c>
      <c r="G34" s="24" t="s">
        <v>846</v>
      </c>
      <c r="H34" s="24" t="s">
        <v>847</v>
      </c>
      <c r="I34" s="60" t="s">
        <v>76</v>
      </c>
      <c r="J34" s="61" t="s">
        <v>77</v>
      </c>
      <c r="K34" s="23">
        <v>80</v>
      </c>
      <c r="L34" s="23" t="str">
        <f t="shared" si="0"/>
        <v>Mencapai kompetensi dengan baik dalam hal</v>
      </c>
      <c r="M34" s="23">
        <v>79</v>
      </c>
      <c r="N34" s="23" t="str">
        <f t="shared" si="1"/>
        <v>Mencapai kompetensi dengan baik dalam hal</v>
      </c>
      <c r="O34" s="23">
        <v>82</v>
      </c>
      <c r="P34" s="23" t="str">
        <f t="shared" si="2"/>
        <v>Mencapai kompetensi dengan baik dalam hal</v>
      </c>
      <c r="Q34" s="23">
        <v>78</v>
      </c>
      <c r="R34" s="23" t="str">
        <f t="shared" si="3"/>
        <v>Mencapai kompetensi dengan baik dalam hal</v>
      </c>
      <c r="S34" s="23">
        <v>81</v>
      </c>
      <c r="T34" s="23" t="str">
        <f t="shared" si="4"/>
        <v>Mencapai kompetensi dengan baik dalam hal</v>
      </c>
      <c r="U34" s="23">
        <v>80</v>
      </c>
      <c r="V34" s="23" t="str">
        <f t="shared" si="5"/>
        <v>Mencapai kompetensi dengan baik dalam hal</v>
      </c>
      <c r="W34" s="23">
        <v>76</v>
      </c>
      <c r="X34" s="23" t="str">
        <f t="shared" si="6"/>
        <v>Mencapai kompetensi dengan baik dalam hal</v>
      </c>
      <c r="Y34" s="23">
        <v>83</v>
      </c>
      <c r="Z34" s="23" t="str">
        <f t="shared" si="7"/>
        <v>Mencapai kompetensi dengan baik dalam hal</v>
      </c>
      <c r="AA34" s="23">
        <v>88</v>
      </c>
      <c r="AB34" s="23" t="str">
        <f t="shared" si="8"/>
        <v>Mencapai kompetensi dengan baik dalam hal</v>
      </c>
      <c r="AC34" s="23">
        <v>83</v>
      </c>
      <c r="AD34" s="23" t="str">
        <f t="shared" si="9"/>
        <v>Mencapai kompetensi dengan baik dalam hal</v>
      </c>
      <c r="AE34" s="23">
        <v>78</v>
      </c>
      <c r="AF34" s="23" t="str">
        <f t="shared" si="10"/>
        <v>Mencapai kompetensi dengan baik dalam hal</v>
      </c>
      <c r="AG34" s="23">
        <v>79</v>
      </c>
      <c r="AH34" s="23" t="str">
        <f t="shared" si="11"/>
        <v>Mencapai kompetensi dengan baik dalam hal</v>
      </c>
      <c r="AI34" s="62">
        <f t="shared" si="17"/>
        <v>78.5</v>
      </c>
      <c r="AJ34" s="23">
        <v>88</v>
      </c>
      <c r="AK34" s="23" t="str">
        <f t="shared" si="12"/>
        <v>Mencapai kompetensi dengan baik dalam hal</v>
      </c>
      <c r="AL34" s="23">
        <v>80</v>
      </c>
      <c r="AM34" s="18" t="str">
        <f t="shared" si="13"/>
        <v>Mencapai kompetensi dengan baik dalam hal</v>
      </c>
      <c r="AN34" s="23">
        <v>2</v>
      </c>
      <c r="AO34" s="23">
        <v>1</v>
      </c>
      <c r="AP34" s="23" t="s">
        <v>81</v>
      </c>
      <c r="AQ34" s="23">
        <v>1</v>
      </c>
      <c r="AR34" s="23" t="s">
        <v>82</v>
      </c>
      <c r="AS34" s="18" t="s">
        <v>83</v>
      </c>
      <c r="AT34" s="23" t="s">
        <v>86</v>
      </c>
      <c r="AU34" s="18" t="str">
        <f t="shared" ref="AU34:AU65" si="20">VLOOKUP(AT34,grades4,2,TRUE)</f>
        <v>Sangat baik</v>
      </c>
      <c r="AV34" s="23">
        <v>2</v>
      </c>
      <c r="AW34" s="18" t="s">
        <v>162</v>
      </c>
      <c r="AX34" s="18" t="s">
        <v>83</v>
      </c>
      <c r="AY34" s="23" t="s">
        <v>86</v>
      </c>
      <c r="AZ34" s="18" t="str">
        <f t="shared" ref="AZ34:AZ65" si="21">VLOOKUP(AY34,grades4,2,TRUE)</f>
        <v>Sangat baik</v>
      </c>
      <c r="BA34" s="23"/>
      <c r="BB34" s="23"/>
      <c r="BC34" s="23"/>
      <c r="BD34" s="23"/>
      <c r="BE34" s="18"/>
      <c r="BG34" s="20"/>
      <c r="BH34" s="20"/>
      <c r="BN34" s="22">
        <f t="shared" si="16"/>
        <v>0</v>
      </c>
      <c r="BP34" s="115">
        <f t="shared" si="18"/>
        <v>81.269230769230774</v>
      </c>
      <c r="BQ34" s="22">
        <f t="shared" si="19"/>
        <v>2</v>
      </c>
    </row>
    <row r="35" spans="1:69" ht="24.95" customHeight="1" thickTop="1" thickBot="1" x14ac:dyDescent="0.3">
      <c r="A35" s="23">
        <v>34</v>
      </c>
      <c r="B35" s="23">
        <v>2525615</v>
      </c>
      <c r="C35" s="23" t="s">
        <v>912</v>
      </c>
      <c r="D35" s="18" t="s">
        <v>913</v>
      </c>
      <c r="E35" s="23" t="s">
        <v>844</v>
      </c>
      <c r="F35" s="23" t="s">
        <v>845</v>
      </c>
      <c r="G35" s="24" t="s">
        <v>846</v>
      </c>
      <c r="H35" s="24" t="s">
        <v>847</v>
      </c>
      <c r="I35" s="60" t="s">
        <v>76</v>
      </c>
      <c r="J35" s="61" t="s">
        <v>77</v>
      </c>
      <c r="K35" s="23">
        <v>81</v>
      </c>
      <c r="L35" s="23" t="str">
        <f t="shared" si="0"/>
        <v>Mencapai kompetensi dengan baik dalam hal</v>
      </c>
      <c r="M35" s="23">
        <v>80</v>
      </c>
      <c r="N35" s="23" t="str">
        <f t="shared" si="1"/>
        <v>Mencapai kompetensi dengan baik dalam hal</v>
      </c>
      <c r="O35" s="23">
        <v>80</v>
      </c>
      <c r="P35" s="23" t="str">
        <f t="shared" si="2"/>
        <v>Mencapai kompetensi dengan baik dalam hal</v>
      </c>
      <c r="Q35" s="23">
        <v>81</v>
      </c>
      <c r="R35" s="23" t="str">
        <f t="shared" si="3"/>
        <v>Mencapai kompetensi dengan baik dalam hal</v>
      </c>
      <c r="S35" s="23">
        <v>75</v>
      </c>
      <c r="T35" s="23" t="str">
        <f t="shared" si="4"/>
        <v>Mencapai kompetensi dengan baik dalam hal</v>
      </c>
      <c r="U35" s="23">
        <v>82</v>
      </c>
      <c r="V35" s="23" t="str">
        <f t="shared" si="5"/>
        <v>Mencapai kompetensi dengan baik dalam hal</v>
      </c>
      <c r="W35" s="23">
        <v>75</v>
      </c>
      <c r="X35" s="23" t="str">
        <f t="shared" si="6"/>
        <v>Mencapai kompetensi dengan baik dalam hal</v>
      </c>
      <c r="Y35" s="23">
        <v>82</v>
      </c>
      <c r="Z35" s="23" t="str">
        <f t="shared" si="7"/>
        <v>Mencapai kompetensi dengan baik dalam hal</v>
      </c>
      <c r="AA35" s="23">
        <v>79</v>
      </c>
      <c r="AB35" s="23" t="str">
        <f t="shared" si="8"/>
        <v>Mencapai kompetensi dengan baik dalam hal</v>
      </c>
      <c r="AC35" s="23">
        <v>84</v>
      </c>
      <c r="AD35" s="23" t="str">
        <f t="shared" si="9"/>
        <v>Mencapai kompetensi dengan baik dalam hal</v>
      </c>
      <c r="AE35" s="23">
        <v>78</v>
      </c>
      <c r="AF35" s="23" t="str">
        <f t="shared" si="10"/>
        <v>Mencapai kompetensi dengan baik dalam hal</v>
      </c>
      <c r="AG35" s="23">
        <v>79</v>
      </c>
      <c r="AH35" s="23" t="str">
        <f t="shared" si="11"/>
        <v>Mencapai kompetensi dengan baik dalam hal</v>
      </c>
      <c r="AI35" s="62">
        <f t="shared" si="17"/>
        <v>78.5</v>
      </c>
      <c r="AJ35" s="23">
        <v>79</v>
      </c>
      <c r="AK35" s="23" t="str">
        <f t="shared" si="12"/>
        <v>Mencapai kompetensi dengan baik dalam hal</v>
      </c>
      <c r="AL35" s="23">
        <v>79</v>
      </c>
      <c r="AM35" s="18" t="str">
        <f t="shared" si="13"/>
        <v>Mencapai kompetensi dengan baik dalam hal</v>
      </c>
      <c r="AN35" s="23">
        <v>2</v>
      </c>
      <c r="AO35" s="23" t="s">
        <v>81</v>
      </c>
      <c r="AP35" s="23" t="s">
        <v>81</v>
      </c>
      <c r="AQ35" s="23">
        <v>1</v>
      </c>
      <c r="AR35" s="23" t="s">
        <v>82</v>
      </c>
      <c r="AS35" s="18" t="s">
        <v>83</v>
      </c>
      <c r="AT35" s="23" t="s">
        <v>86</v>
      </c>
      <c r="AU35" s="18" t="str">
        <f t="shared" si="20"/>
        <v>Sangat baik</v>
      </c>
      <c r="AV35" s="23">
        <v>2</v>
      </c>
      <c r="AW35" s="18" t="s">
        <v>125</v>
      </c>
      <c r="AX35" s="18" t="s">
        <v>83</v>
      </c>
      <c r="AY35" s="23" t="s">
        <v>104</v>
      </c>
      <c r="AZ35" s="18" t="str">
        <f t="shared" si="21"/>
        <v>Cukup</v>
      </c>
      <c r="BA35" s="23"/>
      <c r="BB35" s="23"/>
      <c r="BC35" s="23"/>
      <c r="BD35" s="23"/>
      <c r="BE35" s="18"/>
      <c r="BG35" s="20"/>
      <c r="BH35" s="20"/>
      <c r="BN35" s="22">
        <f t="shared" si="16"/>
        <v>0</v>
      </c>
      <c r="BP35" s="115">
        <f t="shared" si="18"/>
        <v>79.65384615384616</v>
      </c>
      <c r="BQ35" s="22">
        <f t="shared" si="19"/>
        <v>11</v>
      </c>
    </row>
    <row r="36" spans="1:69" ht="24.95" customHeight="1" thickTop="1" thickBot="1" x14ac:dyDescent="0.3">
      <c r="A36" s="23">
        <v>35</v>
      </c>
      <c r="B36" s="23">
        <v>2525616</v>
      </c>
      <c r="C36" s="23" t="s">
        <v>914</v>
      </c>
      <c r="D36" s="18" t="s">
        <v>915</v>
      </c>
      <c r="E36" s="23" t="s">
        <v>844</v>
      </c>
      <c r="F36" s="23" t="s">
        <v>845</v>
      </c>
      <c r="G36" s="24" t="s">
        <v>846</v>
      </c>
      <c r="H36" s="24" t="s">
        <v>847</v>
      </c>
      <c r="I36" s="60" t="s">
        <v>76</v>
      </c>
      <c r="J36" s="61" t="s">
        <v>77</v>
      </c>
      <c r="K36" s="23">
        <v>79</v>
      </c>
      <c r="L36" s="23" t="str">
        <f t="shared" si="0"/>
        <v>Mencapai kompetensi dengan baik dalam hal</v>
      </c>
      <c r="M36" s="23">
        <v>76</v>
      </c>
      <c r="N36" s="23" t="str">
        <f t="shared" si="1"/>
        <v>Mencapai kompetensi dengan baik dalam hal</v>
      </c>
      <c r="O36" s="23">
        <v>79</v>
      </c>
      <c r="P36" s="23" t="str">
        <f t="shared" si="2"/>
        <v>Mencapai kompetensi dengan baik dalam hal</v>
      </c>
      <c r="Q36" s="23">
        <v>81</v>
      </c>
      <c r="R36" s="23" t="str">
        <f t="shared" si="3"/>
        <v>Mencapai kompetensi dengan baik dalam hal</v>
      </c>
      <c r="S36" s="23">
        <v>75</v>
      </c>
      <c r="T36" s="23" t="str">
        <f t="shared" si="4"/>
        <v>Mencapai kompetensi dengan baik dalam hal</v>
      </c>
      <c r="U36" s="23">
        <v>83</v>
      </c>
      <c r="V36" s="23" t="str">
        <f t="shared" si="5"/>
        <v>Mencapai kompetensi dengan baik dalam hal</v>
      </c>
      <c r="W36" s="23">
        <v>75</v>
      </c>
      <c r="X36" s="23" t="str">
        <f t="shared" si="6"/>
        <v>Mencapai kompetensi dengan baik dalam hal</v>
      </c>
      <c r="Y36" s="23">
        <v>78</v>
      </c>
      <c r="Z36" s="23" t="str">
        <f t="shared" si="7"/>
        <v>Mencapai kompetensi dengan baik dalam hal</v>
      </c>
      <c r="AA36" s="23">
        <v>75</v>
      </c>
      <c r="AB36" s="23" t="str">
        <f t="shared" si="8"/>
        <v>Mencapai kompetensi dengan baik dalam hal</v>
      </c>
      <c r="AC36" s="23">
        <v>80</v>
      </c>
      <c r="AD36" s="23" t="str">
        <f t="shared" si="9"/>
        <v>Mencapai kompetensi dengan baik dalam hal</v>
      </c>
      <c r="AE36" s="23">
        <v>76</v>
      </c>
      <c r="AF36" s="23" t="str">
        <f t="shared" si="10"/>
        <v>Mencapai kompetensi dengan baik dalam hal</v>
      </c>
      <c r="AG36" s="23">
        <v>77</v>
      </c>
      <c r="AH36" s="23" t="str">
        <f t="shared" si="11"/>
        <v>Mencapai kompetensi dengan baik dalam hal</v>
      </c>
      <c r="AI36" s="62">
        <f t="shared" si="17"/>
        <v>76.5</v>
      </c>
      <c r="AJ36" s="23">
        <v>75</v>
      </c>
      <c r="AK36" s="23" t="str">
        <f t="shared" si="12"/>
        <v>Mencapai kompetensi dengan baik dalam hal</v>
      </c>
      <c r="AL36" s="23">
        <v>78</v>
      </c>
      <c r="AM36" s="18" t="str">
        <f t="shared" si="13"/>
        <v>Mencapai kompetensi dengan baik dalam hal</v>
      </c>
      <c r="AN36" s="23">
        <v>1</v>
      </c>
      <c r="AO36" s="23" t="s">
        <v>81</v>
      </c>
      <c r="AP36" s="23" t="s">
        <v>81</v>
      </c>
      <c r="AQ36" s="23">
        <v>1</v>
      </c>
      <c r="AR36" s="23" t="s">
        <v>82</v>
      </c>
      <c r="AS36" s="18" t="s">
        <v>83</v>
      </c>
      <c r="AT36" s="23" t="s">
        <v>84</v>
      </c>
      <c r="AU36" s="18" t="str">
        <f t="shared" si="20"/>
        <v>Baik</v>
      </c>
      <c r="AV36" s="23">
        <v>2</v>
      </c>
      <c r="AW36" s="18" t="s">
        <v>170</v>
      </c>
      <c r="AX36" s="18" t="s">
        <v>83</v>
      </c>
      <c r="AY36" s="23" t="s">
        <v>84</v>
      </c>
      <c r="AZ36" s="18" t="str">
        <f t="shared" si="21"/>
        <v>Baik</v>
      </c>
      <c r="BA36" s="23"/>
      <c r="BB36" s="23"/>
      <c r="BC36" s="23"/>
      <c r="BD36" s="23"/>
      <c r="BE36" s="18"/>
      <c r="BG36" s="20"/>
      <c r="BH36" s="20"/>
      <c r="BN36" s="22">
        <f t="shared" si="16"/>
        <v>0</v>
      </c>
      <c r="BP36" s="115">
        <f t="shared" si="18"/>
        <v>77.730769230769226</v>
      </c>
      <c r="BQ36" s="22">
        <f t="shared" si="19"/>
        <v>35</v>
      </c>
    </row>
    <row r="37" spans="1:69" ht="24.95" customHeight="1" thickTop="1" thickBot="1" x14ac:dyDescent="0.3">
      <c r="A37" s="23">
        <v>36</v>
      </c>
      <c r="B37" s="23">
        <v>2525617</v>
      </c>
      <c r="C37" s="23" t="s">
        <v>916</v>
      </c>
      <c r="D37" s="18" t="s">
        <v>917</v>
      </c>
      <c r="E37" s="23" t="s">
        <v>844</v>
      </c>
      <c r="F37" s="23" t="s">
        <v>845</v>
      </c>
      <c r="G37" s="24" t="s">
        <v>846</v>
      </c>
      <c r="H37" s="24" t="s">
        <v>847</v>
      </c>
      <c r="I37" s="60" t="s">
        <v>76</v>
      </c>
      <c r="J37" s="61" t="s">
        <v>77</v>
      </c>
      <c r="K37" s="23">
        <v>80</v>
      </c>
      <c r="L37" s="23" t="str">
        <f t="shared" si="0"/>
        <v>Mencapai kompetensi dengan baik dalam hal</v>
      </c>
      <c r="M37" s="23">
        <v>77</v>
      </c>
      <c r="N37" s="23" t="str">
        <f t="shared" si="1"/>
        <v>Mencapai kompetensi dengan baik dalam hal</v>
      </c>
      <c r="O37" s="23">
        <v>80</v>
      </c>
      <c r="P37" s="23" t="str">
        <f t="shared" si="2"/>
        <v>Mencapai kompetensi dengan baik dalam hal</v>
      </c>
      <c r="Q37" s="23">
        <v>81</v>
      </c>
      <c r="R37" s="23" t="str">
        <f t="shared" si="3"/>
        <v>Mencapai kompetensi dengan baik dalam hal</v>
      </c>
      <c r="S37" s="23">
        <v>80</v>
      </c>
      <c r="T37" s="23" t="str">
        <f t="shared" si="4"/>
        <v>Mencapai kompetensi dengan baik dalam hal</v>
      </c>
      <c r="U37" s="23">
        <v>79</v>
      </c>
      <c r="V37" s="23" t="str">
        <f t="shared" si="5"/>
        <v>Mencapai kompetensi dengan baik dalam hal</v>
      </c>
      <c r="W37" s="23">
        <v>75</v>
      </c>
      <c r="X37" s="23" t="str">
        <f t="shared" si="6"/>
        <v>Mencapai kompetensi dengan baik dalam hal</v>
      </c>
      <c r="Y37" s="23">
        <v>81</v>
      </c>
      <c r="Z37" s="23" t="str">
        <f t="shared" si="7"/>
        <v>Mencapai kompetensi dengan baik dalam hal</v>
      </c>
      <c r="AA37" s="23">
        <v>77</v>
      </c>
      <c r="AB37" s="23" t="str">
        <f t="shared" si="8"/>
        <v>Mencapai kompetensi dengan baik dalam hal</v>
      </c>
      <c r="AC37" s="23">
        <v>80</v>
      </c>
      <c r="AD37" s="23" t="str">
        <f t="shared" si="9"/>
        <v>Mencapai kompetensi dengan baik dalam hal</v>
      </c>
      <c r="AE37" s="23">
        <v>77</v>
      </c>
      <c r="AF37" s="23" t="str">
        <f t="shared" si="10"/>
        <v>Mencapai kompetensi dengan baik dalam hal</v>
      </c>
      <c r="AG37" s="23">
        <v>78</v>
      </c>
      <c r="AH37" s="23" t="str">
        <f t="shared" si="11"/>
        <v>Mencapai kompetensi dengan baik dalam hal</v>
      </c>
      <c r="AI37" s="62">
        <f t="shared" si="17"/>
        <v>77.5</v>
      </c>
      <c r="AJ37" s="23">
        <v>77</v>
      </c>
      <c r="AK37" s="23" t="str">
        <f t="shared" si="12"/>
        <v>Mencapai kompetensi dengan baik dalam hal</v>
      </c>
      <c r="AL37" s="23">
        <v>80</v>
      </c>
      <c r="AM37" s="18" t="str">
        <f t="shared" si="13"/>
        <v>Mencapai kompetensi dengan baik dalam hal</v>
      </c>
      <c r="AN37" s="23" t="s">
        <v>81</v>
      </c>
      <c r="AO37" s="23" t="s">
        <v>81</v>
      </c>
      <c r="AP37" s="23" t="s">
        <v>81</v>
      </c>
      <c r="AQ37" s="23">
        <v>1</v>
      </c>
      <c r="AR37" s="23" t="s">
        <v>82</v>
      </c>
      <c r="AS37" s="18" t="s">
        <v>83</v>
      </c>
      <c r="AT37" s="23" t="s">
        <v>86</v>
      </c>
      <c r="AU37" s="18" t="str">
        <f t="shared" si="20"/>
        <v>Sangat baik</v>
      </c>
      <c r="AV37" s="23">
        <v>2</v>
      </c>
      <c r="AW37" s="18" t="s">
        <v>227</v>
      </c>
      <c r="AX37" s="18" t="s">
        <v>83</v>
      </c>
      <c r="AY37" s="23" t="s">
        <v>84</v>
      </c>
      <c r="AZ37" s="18" t="str">
        <f t="shared" si="21"/>
        <v>Baik</v>
      </c>
      <c r="BA37" s="23"/>
      <c r="BB37" s="23"/>
      <c r="BC37" s="23"/>
      <c r="BD37" s="23"/>
      <c r="BE37" s="18"/>
      <c r="BG37" s="20"/>
      <c r="BH37" s="20"/>
      <c r="BN37" s="22">
        <f t="shared" si="16"/>
        <v>0</v>
      </c>
      <c r="BP37" s="115">
        <f t="shared" si="18"/>
        <v>78.807692307692307</v>
      </c>
      <c r="BQ37" s="22">
        <f t="shared" si="19"/>
        <v>23</v>
      </c>
    </row>
    <row r="38" spans="1:69" ht="24.95" customHeight="1" thickTop="1" thickBot="1" x14ac:dyDescent="0.3">
      <c r="A38" s="23">
        <v>37</v>
      </c>
      <c r="B38" s="23">
        <v>2525618</v>
      </c>
      <c r="C38" s="23" t="s">
        <v>918</v>
      </c>
      <c r="D38" s="18" t="s">
        <v>919</v>
      </c>
      <c r="E38" s="23" t="s">
        <v>920</v>
      </c>
      <c r="F38" s="23" t="s">
        <v>845</v>
      </c>
      <c r="G38" s="24" t="s">
        <v>921</v>
      </c>
      <c r="H38" s="24" t="s">
        <v>922</v>
      </c>
      <c r="I38" s="60" t="s">
        <v>76</v>
      </c>
      <c r="J38" s="61" t="s">
        <v>77</v>
      </c>
      <c r="K38" s="23">
        <v>80</v>
      </c>
      <c r="L38" s="23" t="str">
        <f t="shared" si="0"/>
        <v>Mencapai kompetensi dengan baik dalam hal</v>
      </c>
      <c r="M38" s="23">
        <v>79</v>
      </c>
      <c r="N38" s="23" t="str">
        <f t="shared" si="1"/>
        <v>Mencapai kompetensi dengan baik dalam hal</v>
      </c>
      <c r="O38" s="23">
        <v>80</v>
      </c>
      <c r="P38" s="23" t="str">
        <f t="shared" si="2"/>
        <v>Mencapai kompetensi dengan baik dalam hal</v>
      </c>
      <c r="Q38" s="23">
        <v>81</v>
      </c>
      <c r="R38" s="23" t="str">
        <f t="shared" si="3"/>
        <v>Mencapai kompetensi dengan baik dalam hal</v>
      </c>
      <c r="S38" s="23">
        <v>82</v>
      </c>
      <c r="T38" s="23" t="str">
        <f t="shared" si="4"/>
        <v>Mencapai kompetensi dengan baik dalam hal</v>
      </c>
      <c r="U38" s="23">
        <v>80</v>
      </c>
      <c r="V38" s="23" t="str">
        <f t="shared" si="5"/>
        <v>Mencapai kompetensi dengan baik dalam hal</v>
      </c>
      <c r="W38" s="23">
        <v>77</v>
      </c>
      <c r="X38" s="23" t="str">
        <f t="shared" si="6"/>
        <v>Mencapai kompetensi dengan baik dalam hal</v>
      </c>
      <c r="Y38" s="23">
        <v>78</v>
      </c>
      <c r="Z38" s="23" t="str">
        <f t="shared" si="7"/>
        <v>Mencapai kompetensi dengan baik dalam hal</v>
      </c>
      <c r="AA38" s="23">
        <v>81</v>
      </c>
      <c r="AB38" s="23" t="str">
        <f t="shared" si="8"/>
        <v>Mencapai kompetensi dengan baik dalam hal</v>
      </c>
      <c r="AC38" s="23">
        <v>80</v>
      </c>
      <c r="AD38" s="23" t="str">
        <f t="shared" si="9"/>
        <v>Mencapai kompetensi dengan baik dalam hal</v>
      </c>
      <c r="AE38" s="23">
        <v>78</v>
      </c>
      <c r="AF38" s="23" t="str">
        <f t="shared" si="10"/>
        <v>Mencapai kompetensi dengan baik dalam hal</v>
      </c>
      <c r="AG38" s="23">
        <v>79</v>
      </c>
      <c r="AH38" s="23" t="str">
        <f t="shared" si="11"/>
        <v>Mencapai kompetensi dengan baik dalam hal</v>
      </c>
      <c r="AI38" s="62">
        <f t="shared" si="17"/>
        <v>78.5</v>
      </c>
      <c r="AJ38" s="23">
        <v>81</v>
      </c>
      <c r="AK38" s="23" t="str">
        <f t="shared" si="12"/>
        <v>Mencapai kompetensi dengan baik dalam hal</v>
      </c>
      <c r="AL38" s="23">
        <v>79</v>
      </c>
      <c r="AM38" s="18" t="str">
        <f t="shared" si="13"/>
        <v>Mencapai kompetensi dengan baik dalam hal</v>
      </c>
      <c r="AN38" s="23">
        <v>1</v>
      </c>
      <c r="AO38" s="23" t="s">
        <v>81</v>
      </c>
      <c r="AP38" s="23" t="s">
        <v>81</v>
      </c>
      <c r="AQ38" s="23">
        <v>1</v>
      </c>
      <c r="AR38" s="23" t="s">
        <v>82</v>
      </c>
      <c r="AS38" s="18" t="s">
        <v>83</v>
      </c>
      <c r="AT38" s="23" t="s">
        <v>84</v>
      </c>
      <c r="AU38" s="18" t="str">
        <f t="shared" si="20"/>
        <v>Baik</v>
      </c>
      <c r="AV38" s="23">
        <v>2</v>
      </c>
      <c r="AW38" s="18" t="s">
        <v>99</v>
      </c>
      <c r="AX38" s="18" t="s">
        <v>83</v>
      </c>
      <c r="AY38" s="23" t="s">
        <v>84</v>
      </c>
      <c r="AZ38" s="18" t="str">
        <f t="shared" si="21"/>
        <v>Baik</v>
      </c>
      <c r="BA38" s="23"/>
      <c r="BB38" s="23"/>
      <c r="BC38" s="23"/>
      <c r="BD38" s="23"/>
      <c r="BE38" s="18"/>
      <c r="BG38" s="20"/>
      <c r="BH38" s="20"/>
      <c r="BN38" s="22">
        <f t="shared" si="16"/>
        <v>0</v>
      </c>
      <c r="BP38" s="115">
        <f t="shared" si="18"/>
        <v>79.730769230769226</v>
      </c>
      <c r="BQ38" s="22">
        <f>_xlfn.RANK.EQ(BP38,$BP$38:$BP$73,0)</f>
        <v>19</v>
      </c>
    </row>
    <row r="39" spans="1:69" ht="24.95" customHeight="1" thickTop="1" thickBot="1" x14ac:dyDescent="0.3">
      <c r="A39" s="23">
        <v>38</v>
      </c>
      <c r="B39" s="23">
        <v>2525619</v>
      </c>
      <c r="C39" s="23" t="s">
        <v>923</v>
      </c>
      <c r="D39" s="18" t="s">
        <v>924</v>
      </c>
      <c r="E39" s="23" t="s">
        <v>920</v>
      </c>
      <c r="F39" s="23" t="s">
        <v>845</v>
      </c>
      <c r="G39" s="24" t="s">
        <v>921</v>
      </c>
      <c r="H39" s="24" t="s">
        <v>922</v>
      </c>
      <c r="I39" s="60" t="s">
        <v>76</v>
      </c>
      <c r="J39" s="61" t="s">
        <v>77</v>
      </c>
      <c r="K39" s="23">
        <v>79</v>
      </c>
      <c r="L39" s="23" t="str">
        <f t="shared" si="0"/>
        <v>Mencapai kompetensi dengan baik dalam hal</v>
      </c>
      <c r="M39" s="23">
        <v>77</v>
      </c>
      <c r="N39" s="23" t="str">
        <f t="shared" si="1"/>
        <v>Mencapai kompetensi dengan baik dalam hal</v>
      </c>
      <c r="O39" s="23">
        <v>80</v>
      </c>
      <c r="P39" s="23" t="str">
        <f t="shared" si="2"/>
        <v>Mencapai kompetensi dengan baik dalam hal</v>
      </c>
      <c r="Q39" s="23">
        <v>81</v>
      </c>
      <c r="R39" s="23" t="str">
        <f t="shared" si="3"/>
        <v>Mencapai kompetensi dengan baik dalam hal</v>
      </c>
      <c r="S39" s="23">
        <v>82</v>
      </c>
      <c r="T39" s="23" t="str">
        <f t="shared" si="4"/>
        <v>Mencapai kompetensi dengan baik dalam hal</v>
      </c>
      <c r="U39" s="23">
        <v>80</v>
      </c>
      <c r="V39" s="23" t="str">
        <f t="shared" si="5"/>
        <v>Mencapai kompetensi dengan baik dalam hal</v>
      </c>
      <c r="W39" s="23">
        <v>81</v>
      </c>
      <c r="X39" s="23" t="str">
        <f t="shared" si="6"/>
        <v>Mencapai kompetensi dengan baik dalam hal</v>
      </c>
      <c r="Y39" s="23">
        <v>78</v>
      </c>
      <c r="Z39" s="23" t="str">
        <f t="shared" si="7"/>
        <v>Mencapai kompetensi dengan baik dalam hal</v>
      </c>
      <c r="AA39" s="23">
        <v>86</v>
      </c>
      <c r="AB39" s="23" t="str">
        <f t="shared" si="8"/>
        <v>Mencapai kompetensi dengan baik dalam hal</v>
      </c>
      <c r="AC39" s="23">
        <v>82</v>
      </c>
      <c r="AD39" s="23" t="str">
        <f t="shared" si="9"/>
        <v>Mencapai kompetensi dengan baik dalam hal</v>
      </c>
      <c r="AE39" s="23">
        <v>80</v>
      </c>
      <c r="AF39" s="23" t="str">
        <f t="shared" si="10"/>
        <v>Mencapai kompetensi dengan baik dalam hal</v>
      </c>
      <c r="AG39" s="23">
        <v>81</v>
      </c>
      <c r="AH39" s="23" t="str">
        <f t="shared" si="11"/>
        <v>Mencapai kompetensi dengan baik dalam hal</v>
      </c>
      <c r="AI39" s="62">
        <f t="shared" si="17"/>
        <v>80.5</v>
      </c>
      <c r="AJ39" s="23">
        <v>86</v>
      </c>
      <c r="AK39" s="23" t="str">
        <f t="shared" si="12"/>
        <v>Mencapai kompetensi dengan baik dalam hal</v>
      </c>
      <c r="AL39" s="23">
        <v>80</v>
      </c>
      <c r="AM39" s="18" t="str">
        <f t="shared" si="13"/>
        <v>Mencapai kompetensi dengan baik dalam hal</v>
      </c>
      <c r="AN39" s="23" t="s">
        <v>81</v>
      </c>
      <c r="AO39" s="23" t="s">
        <v>81</v>
      </c>
      <c r="AP39" s="23" t="s">
        <v>81</v>
      </c>
      <c r="AQ39" s="23">
        <v>1</v>
      </c>
      <c r="AR39" s="23" t="s">
        <v>82</v>
      </c>
      <c r="AS39" s="18" t="s">
        <v>83</v>
      </c>
      <c r="AT39" s="23" t="s">
        <v>86</v>
      </c>
      <c r="AU39" s="18" t="str">
        <f t="shared" si="20"/>
        <v>Sangat baik</v>
      </c>
      <c r="AV39" s="23">
        <v>2</v>
      </c>
      <c r="AW39" s="18" t="s">
        <v>108</v>
      </c>
      <c r="AX39" s="18" t="s">
        <v>83</v>
      </c>
      <c r="AY39" s="23" t="s">
        <v>86</v>
      </c>
      <c r="AZ39" s="18" t="str">
        <f t="shared" si="21"/>
        <v>Sangat baik</v>
      </c>
      <c r="BA39" s="23"/>
      <c r="BB39" s="23"/>
      <c r="BC39" s="23"/>
      <c r="BD39" s="23"/>
      <c r="BE39" s="18"/>
      <c r="BG39" s="20"/>
      <c r="BH39" s="20"/>
      <c r="BN39" s="22">
        <f t="shared" si="16"/>
        <v>0</v>
      </c>
      <c r="BP39" s="115">
        <f t="shared" si="18"/>
        <v>80.961538461538467</v>
      </c>
      <c r="BQ39" s="22">
        <f t="shared" ref="BQ39:BQ73" si="22">_xlfn.RANK.EQ(BP39,$BP$38:$BP$73,0)</f>
        <v>3</v>
      </c>
    </row>
    <row r="40" spans="1:69" ht="24.95" customHeight="1" thickTop="1" thickBot="1" x14ac:dyDescent="0.3">
      <c r="A40" s="23">
        <v>39</v>
      </c>
      <c r="B40" s="23">
        <v>2525620</v>
      </c>
      <c r="C40" s="23" t="s">
        <v>925</v>
      </c>
      <c r="D40" s="18" t="s">
        <v>926</v>
      </c>
      <c r="E40" s="23" t="s">
        <v>920</v>
      </c>
      <c r="F40" s="23" t="s">
        <v>845</v>
      </c>
      <c r="G40" s="24" t="s">
        <v>921</v>
      </c>
      <c r="H40" s="24" t="s">
        <v>922</v>
      </c>
      <c r="I40" s="60" t="s">
        <v>76</v>
      </c>
      <c r="J40" s="61" t="s">
        <v>77</v>
      </c>
      <c r="K40" s="23">
        <v>80</v>
      </c>
      <c r="L40" s="23" t="str">
        <f t="shared" si="0"/>
        <v>Mencapai kompetensi dengan baik dalam hal</v>
      </c>
      <c r="M40" s="23">
        <v>76</v>
      </c>
      <c r="N40" s="23" t="str">
        <f t="shared" si="1"/>
        <v>Mencapai kompetensi dengan baik dalam hal</v>
      </c>
      <c r="O40" s="23">
        <v>80</v>
      </c>
      <c r="P40" s="23" t="str">
        <f t="shared" si="2"/>
        <v>Mencapai kompetensi dengan baik dalam hal</v>
      </c>
      <c r="Q40" s="23">
        <v>80</v>
      </c>
      <c r="R40" s="23" t="str">
        <f t="shared" si="3"/>
        <v>Mencapai kompetensi dengan baik dalam hal</v>
      </c>
      <c r="S40" s="23">
        <v>82</v>
      </c>
      <c r="T40" s="23" t="str">
        <f t="shared" si="4"/>
        <v>Mencapai kompetensi dengan baik dalam hal</v>
      </c>
      <c r="U40" s="23">
        <v>81</v>
      </c>
      <c r="V40" s="23" t="str">
        <f t="shared" si="5"/>
        <v>Mencapai kompetensi dengan baik dalam hal</v>
      </c>
      <c r="W40" s="23">
        <v>75</v>
      </c>
      <c r="X40" s="23" t="str">
        <f t="shared" si="6"/>
        <v>Mencapai kompetensi dengan baik dalam hal</v>
      </c>
      <c r="Y40" s="23">
        <v>79</v>
      </c>
      <c r="Z40" s="23" t="str">
        <f t="shared" si="7"/>
        <v>Mencapai kompetensi dengan baik dalam hal</v>
      </c>
      <c r="AA40" s="23">
        <v>80</v>
      </c>
      <c r="AB40" s="23" t="str">
        <f t="shared" si="8"/>
        <v>Mencapai kompetensi dengan baik dalam hal</v>
      </c>
      <c r="AC40" s="23">
        <v>80</v>
      </c>
      <c r="AD40" s="23" t="str">
        <f t="shared" si="9"/>
        <v>Mencapai kompetensi dengan baik dalam hal</v>
      </c>
      <c r="AE40" s="23">
        <v>77</v>
      </c>
      <c r="AF40" s="23" t="str">
        <f t="shared" si="10"/>
        <v>Mencapai kompetensi dengan baik dalam hal</v>
      </c>
      <c r="AG40" s="23">
        <v>78</v>
      </c>
      <c r="AH40" s="23" t="str">
        <f t="shared" si="11"/>
        <v>Mencapai kompetensi dengan baik dalam hal</v>
      </c>
      <c r="AI40" s="62">
        <f t="shared" si="17"/>
        <v>77.5</v>
      </c>
      <c r="AJ40" s="23">
        <v>80</v>
      </c>
      <c r="AK40" s="23" t="str">
        <f t="shared" si="12"/>
        <v>Mencapai kompetensi dengan baik dalam hal</v>
      </c>
      <c r="AL40" s="23">
        <v>79</v>
      </c>
      <c r="AM40" s="18" t="str">
        <f t="shared" si="13"/>
        <v>Mencapai kompetensi dengan baik dalam hal</v>
      </c>
      <c r="AN40" s="23">
        <v>1</v>
      </c>
      <c r="AO40" s="23" t="s">
        <v>81</v>
      </c>
      <c r="AP40" s="23" t="s">
        <v>81</v>
      </c>
      <c r="AQ40" s="23">
        <v>1</v>
      </c>
      <c r="AR40" s="23" t="s">
        <v>82</v>
      </c>
      <c r="AS40" s="18" t="s">
        <v>83</v>
      </c>
      <c r="AT40" s="23" t="s">
        <v>84</v>
      </c>
      <c r="AU40" s="18" t="str">
        <f t="shared" si="20"/>
        <v>Baik</v>
      </c>
      <c r="AV40" s="23">
        <v>2</v>
      </c>
      <c r="AW40" s="18" t="s">
        <v>108</v>
      </c>
      <c r="AX40" s="18" t="s">
        <v>83</v>
      </c>
      <c r="AY40" s="23" t="s">
        <v>86</v>
      </c>
      <c r="AZ40" s="18" t="str">
        <f t="shared" si="21"/>
        <v>Sangat baik</v>
      </c>
      <c r="BA40" s="23"/>
      <c r="BB40" s="23"/>
      <c r="BC40" s="23"/>
      <c r="BD40" s="23"/>
      <c r="BE40" s="18"/>
      <c r="BG40" s="20"/>
      <c r="BH40" s="20"/>
      <c r="BN40" s="22">
        <f t="shared" si="16"/>
        <v>0</v>
      </c>
      <c r="BP40" s="115">
        <f t="shared" si="18"/>
        <v>79.192307692307693</v>
      </c>
      <c r="BQ40" s="22">
        <f t="shared" si="22"/>
        <v>24</v>
      </c>
    </row>
    <row r="41" spans="1:69" ht="24.95" customHeight="1" thickTop="1" thickBot="1" x14ac:dyDescent="0.3">
      <c r="A41" s="23">
        <v>40</v>
      </c>
      <c r="B41" s="23">
        <v>2525621</v>
      </c>
      <c r="C41" s="23" t="s">
        <v>927</v>
      </c>
      <c r="D41" s="18" t="s">
        <v>928</v>
      </c>
      <c r="E41" s="23" t="s">
        <v>920</v>
      </c>
      <c r="F41" s="23" t="s">
        <v>845</v>
      </c>
      <c r="G41" s="24" t="s">
        <v>921</v>
      </c>
      <c r="H41" s="24" t="s">
        <v>922</v>
      </c>
      <c r="I41" s="60" t="s">
        <v>76</v>
      </c>
      <c r="J41" s="61" t="s">
        <v>77</v>
      </c>
      <c r="K41" s="23">
        <v>80</v>
      </c>
      <c r="L41" s="23" t="str">
        <f t="shared" si="0"/>
        <v>Mencapai kompetensi dengan baik dalam hal</v>
      </c>
      <c r="M41" s="23">
        <v>79</v>
      </c>
      <c r="N41" s="23" t="str">
        <f t="shared" si="1"/>
        <v>Mencapai kompetensi dengan baik dalam hal</v>
      </c>
      <c r="O41" s="23">
        <v>80</v>
      </c>
      <c r="P41" s="23" t="str">
        <f t="shared" si="2"/>
        <v>Mencapai kompetensi dengan baik dalam hal</v>
      </c>
      <c r="Q41" s="23">
        <v>82</v>
      </c>
      <c r="R41" s="23" t="str">
        <f t="shared" si="3"/>
        <v>Mencapai kompetensi dengan baik dalam hal</v>
      </c>
      <c r="S41" s="23">
        <v>85</v>
      </c>
      <c r="T41" s="23" t="str">
        <f t="shared" si="4"/>
        <v>Mencapai kompetensi dengan baik dalam hal</v>
      </c>
      <c r="U41" s="23">
        <v>82</v>
      </c>
      <c r="V41" s="23" t="str">
        <f t="shared" si="5"/>
        <v>Mencapai kompetensi dengan baik dalam hal</v>
      </c>
      <c r="W41" s="23">
        <v>75</v>
      </c>
      <c r="X41" s="23" t="str">
        <f t="shared" si="6"/>
        <v>Mencapai kompetensi dengan baik dalam hal</v>
      </c>
      <c r="Y41" s="23">
        <v>79</v>
      </c>
      <c r="Z41" s="23" t="str">
        <f t="shared" si="7"/>
        <v>Mencapai kompetensi dengan baik dalam hal</v>
      </c>
      <c r="AA41" s="23">
        <v>83</v>
      </c>
      <c r="AB41" s="23" t="str">
        <f t="shared" si="8"/>
        <v>Mencapai kompetensi dengan baik dalam hal</v>
      </c>
      <c r="AC41" s="23">
        <v>84</v>
      </c>
      <c r="AD41" s="23" t="str">
        <f t="shared" si="9"/>
        <v>Mencapai kompetensi dengan baik dalam hal</v>
      </c>
      <c r="AE41" s="23">
        <v>77</v>
      </c>
      <c r="AF41" s="23" t="str">
        <f t="shared" si="10"/>
        <v>Mencapai kompetensi dengan baik dalam hal</v>
      </c>
      <c r="AG41" s="23">
        <v>78</v>
      </c>
      <c r="AH41" s="23" t="str">
        <f t="shared" si="11"/>
        <v>Mencapai kompetensi dengan baik dalam hal</v>
      </c>
      <c r="AI41" s="62">
        <f t="shared" si="17"/>
        <v>77.5</v>
      </c>
      <c r="AJ41" s="23">
        <v>83</v>
      </c>
      <c r="AK41" s="23" t="str">
        <f t="shared" si="12"/>
        <v>Mencapai kompetensi dengan baik dalam hal</v>
      </c>
      <c r="AL41" s="23">
        <v>80</v>
      </c>
      <c r="AM41" s="18" t="str">
        <f t="shared" si="13"/>
        <v>Mencapai kompetensi dengan baik dalam hal</v>
      </c>
      <c r="AN41" s="23" t="s">
        <v>81</v>
      </c>
      <c r="AO41" s="23" t="s">
        <v>81</v>
      </c>
      <c r="AP41" s="23" t="s">
        <v>81</v>
      </c>
      <c r="AQ41" s="23">
        <v>1</v>
      </c>
      <c r="AR41" s="23" t="s">
        <v>82</v>
      </c>
      <c r="AS41" s="18" t="s">
        <v>83</v>
      </c>
      <c r="AT41" s="23" t="s">
        <v>84</v>
      </c>
      <c r="AU41" s="18" t="str">
        <f t="shared" si="20"/>
        <v>Baik</v>
      </c>
      <c r="AV41" s="23">
        <v>2</v>
      </c>
      <c r="AW41" s="18" t="s">
        <v>85</v>
      </c>
      <c r="AX41" s="18" t="s">
        <v>83</v>
      </c>
      <c r="AY41" s="23" t="s">
        <v>84</v>
      </c>
      <c r="AZ41" s="18" t="str">
        <f t="shared" si="21"/>
        <v>Baik</v>
      </c>
      <c r="BA41" s="23">
        <v>3</v>
      </c>
      <c r="BB41" s="23" t="s">
        <v>87</v>
      </c>
      <c r="BC41" s="23" t="s">
        <v>83</v>
      </c>
      <c r="BD41" s="23" t="s">
        <v>84</v>
      </c>
      <c r="BE41" s="18" t="str">
        <f>VLOOKUP(BD41,grades4,2,TRUE)</f>
        <v>Baik</v>
      </c>
      <c r="BG41" s="20"/>
      <c r="BH41" s="20"/>
      <c r="BN41" s="22">
        <f t="shared" si="16"/>
        <v>0</v>
      </c>
      <c r="BP41" s="115">
        <f t="shared" si="18"/>
        <v>80.730769230769226</v>
      </c>
      <c r="BQ41" s="22">
        <f t="shared" si="22"/>
        <v>5</v>
      </c>
    </row>
    <row r="42" spans="1:69" ht="24.95" customHeight="1" thickTop="1" thickBot="1" x14ac:dyDescent="0.3">
      <c r="A42" s="23">
        <v>41</v>
      </c>
      <c r="B42" s="23">
        <v>2525622</v>
      </c>
      <c r="C42" s="23" t="s">
        <v>929</v>
      </c>
      <c r="D42" s="18" t="s">
        <v>930</v>
      </c>
      <c r="E42" s="23" t="s">
        <v>920</v>
      </c>
      <c r="F42" s="23" t="s">
        <v>845</v>
      </c>
      <c r="G42" s="24" t="s">
        <v>921</v>
      </c>
      <c r="H42" s="24" t="s">
        <v>922</v>
      </c>
      <c r="I42" s="60" t="s">
        <v>76</v>
      </c>
      <c r="J42" s="61" t="s">
        <v>77</v>
      </c>
      <c r="K42" s="23">
        <v>81</v>
      </c>
      <c r="L42" s="23" t="str">
        <f t="shared" si="0"/>
        <v>Mencapai kompetensi dengan baik dalam hal</v>
      </c>
      <c r="M42" s="23">
        <v>75</v>
      </c>
      <c r="N42" s="23" t="str">
        <f t="shared" si="1"/>
        <v>Mencapai kompetensi dengan baik dalam hal</v>
      </c>
      <c r="O42" s="23">
        <v>79</v>
      </c>
      <c r="P42" s="23" t="str">
        <f t="shared" si="2"/>
        <v>Mencapai kompetensi dengan baik dalam hal</v>
      </c>
      <c r="Q42" s="23">
        <v>79</v>
      </c>
      <c r="R42" s="23" t="str">
        <f t="shared" si="3"/>
        <v>Mencapai kompetensi dengan baik dalam hal</v>
      </c>
      <c r="S42" s="23">
        <v>79</v>
      </c>
      <c r="T42" s="23" t="str">
        <f t="shared" si="4"/>
        <v>Mencapai kompetensi dengan baik dalam hal</v>
      </c>
      <c r="U42" s="23">
        <v>78</v>
      </c>
      <c r="V42" s="23" t="str">
        <f t="shared" si="5"/>
        <v>Mencapai kompetensi dengan baik dalam hal</v>
      </c>
      <c r="W42" s="23">
        <v>75</v>
      </c>
      <c r="X42" s="23" t="str">
        <f t="shared" si="6"/>
        <v>Mencapai kompetensi dengan baik dalam hal</v>
      </c>
      <c r="Y42" s="23">
        <v>80</v>
      </c>
      <c r="Z42" s="23" t="str">
        <f t="shared" si="7"/>
        <v>Mencapai kompetensi dengan baik dalam hal</v>
      </c>
      <c r="AA42" s="23">
        <v>83</v>
      </c>
      <c r="AB42" s="23" t="str">
        <f t="shared" si="8"/>
        <v>Mencapai kompetensi dengan baik dalam hal</v>
      </c>
      <c r="AC42" s="23">
        <v>80</v>
      </c>
      <c r="AD42" s="23" t="str">
        <f t="shared" si="9"/>
        <v>Mencapai kompetensi dengan baik dalam hal</v>
      </c>
      <c r="AE42" s="23">
        <v>77</v>
      </c>
      <c r="AF42" s="23" t="str">
        <f t="shared" si="10"/>
        <v>Mencapai kompetensi dengan baik dalam hal</v>
      </c>
      <c r="AG42" s="23">
        <v>78</v>
      </c>
      <c r="AH42" s="23" t="str">
        <f t="shared" si="11"/>
        <v>Mencapai kompetensi dengan baik dalam hal</v>
      </c>
      <c r="AI42" s="62">
        <f t="shared" si="17"/>
        <v>77.5</v>
      </c>
      <c r="AJ42" s="23">
        <v>83</v>
      </c>
      <c r="AK42" s="23" t="str">
        <f t="shared" si="12"/>
        <v>Mencapai kompetensi dengan baik dalam hal</v>
      </c>
      <c r="AL42" s="23">
        <v>80</v>
      </c>
      <c r="AM42" s="18" t="str">
        <f t="shared" si="13"/>
        <v>Mencapai kompetensi dengan baik dalam hal</v>
      </c>
      <c r="AN42" s="23">
        <v>3</v>
      </c>
      <c r="AO42" s="23" t="s">
        <v>81</v>
      </c>
      <c r="AP42" s="23" t="s">
        <v>81</v>
      </c>
      <c r="AQ42" s="23">
        <v>1</v>
      </c>
      <c r="AR42" s="23" t="s">
        <v>82</v>
      </c>
      <c r="AS42" s="18" t="s">
        <v>83</v>
      </c>
      <c r="AT42" s="23" t="s">
        <v>86</v>
      </c>
      <c r="AU42" s="18" t="str">
        <f t="shared" si="20"/>
        <v>Sangat baik</v>
      </c>
      <c r="AV42" s="23">
        <v>2</v>
      </c>
      <c r="AW42" s="18" t="s">
        <v>170</v>
      </c>
      <c r="AX42" s="18" t="s">
        <v>83</v>
      </c>
      <c r="AY42" s="23" t="s">
        <v>84</v>
      </c>
      <c r="AZ42" s="18" t="str">
        <f t="shared" si="21"/>
        <v>Baik</v>
      </c>
      <c r="BA42" s="23"/>
      <c r="BB42" s="23"/>
      <c r="BC42" s="23"/>
      <c r="BD42" s="23"/>
      <c r="BE42" s="18"/>
      <c r="BG42" s="20"/>
      <c r="BH42" s="20"/>
      <c r="BN42" s="22">
        <f t="shared" si="16"/>
        <v>0</v>
      </c>
      <c r="BP42" s="115">
        <f t="shared" si="18"/>
        <v>79.192307692307693</v>
      </c>
      <c r="BQ42" s="22">
        <f t="shared" si="22"/>
        <v>24</v>
      </c>
    </row>
    <row r="43" spans="1:69" ht="24.95" customHeight="1" thickTop="1" thickBot="1" x14ac:dyDescent="0.3">
      <c r="A43" s="23">
        <v>42</v>
      </c>
      <c r="B43" s="23">
        <v>2525623</v>
      </c>
      <c r="C43" s="23" t="s">
        <v>931</v>
      </c>
      <c r="D43" s="18" t="s">
        <v>932</v>
      </c>
      <c r="E43" s="23" t="s">
        <v>920</v>
      </c>
      <c r="F43" s="23" t="s">
        <v>845</v>
      </c>
      <c r="G43" s="24" t="s">
        <v>921</v>
      </c>
      <c r="H43" s="24" t="s">
        <v>922</v>
      </c>
      <c r="I43" s="60" t="s">
        <v>76</v>
      </c>
      <c r="J43" s="61" t="s">
        <v>77</v>
      </c>
      <c r="K43" s="23">
        <v>79</v>
      </c>
      <c r="L43" s="23" t="str">
        <f t="shared" si="0"/>
        <v>Mencapai kompetensi dengan baik dalam hal</v>
      </c>
      <c r="M43" s="23">
        <v>81</v>
      </c>
      <c r="N43" s="23" t="str">
        <f t="shared" si="1"/>
        <v>Mencapai kompetensi dengan baik dalam hal</v>
      </c>
      <c r="O43" s="23">
        <v>80</v>
      </c>
      <c r="P43" s="23" t="str">
        <f t="shared" si="2"/>
        <v>Mencapai kompetensi dengan baik dalam hal</v>
      </c>
      <c r="Q43" s="23">
        <v>80</v>
      </c>
      <c r="R43" s="23" t="str">
        <f t="shared" si="3"/>
        <v>Mencapai kompetensi dengan baik dalam hal</v>
      </c>
      <c r="S43" s="23">
        <v>83</v>
      </c>
      <c r="T43" s="23" t="str">
        <f t="shared" si="4"/>
        <v>Mencapai kompetensi dengan baik dalam hal</v>
      </c>
      <c r="U43" s="23">
        <v>80</v>
      </c>
      <c r="V43" s="23" t="str">
        <f t="shared" si="5"/>
        <v>Mencapai kompetensi dengan baik dalam hal</v>
      </c>
      <c r="W43" s="23">
        <v>75</v>
      </c>
      <c r="X43" s="23" t="str">
        <f t="shared" si="6"/>
        <v>Mencapai kompetensi dengan baik dalam hal</v>
      </c>
      <c r="Y43" s="23">
        <v>81</v>
      </c>
      <c r="Z43" s="23" t="str">
        <f t="shared" si="7"/>
        <v>Mencapai kompetensi dengan baik dalam hal</v>
      </c>
      <c r="AA43" s="23">
        <v>80</v>
      </c>
      <c r="AB43" s="23" t="str">
        <f t="shared" si="8"/>
        <v>Mencapai kompetensi dengan baik dalam hal</v>
      </c>
      <c r="AC43" s="23">
        <v>80</v>
      </c>
      <c r="AD43" s="23" t="str">
        <f t="shared" si="9"/>
        <v>Mencapai kompetensi dengan baik dalam hal</v>
      </c>
      <c r="AE43" s="23">
        <v>76</v>
      </c>
      <c r="AF43" s="23" t="str">
        <f t="shared" si="10"/>
        <v>Mencapai kompetensi dengan baik dalam hal</v>
      </c>
      <c r="AG43" s="23">
        <v>77</v>
      </c>
      <c r="AH43" s="23" t="str">
        <f t="shared" si="11"/>
        <v>Mencapai kompetensi dengan baik dalam hal</v>
      </c>
      <c r="AI43" s="62">
        <f t="shared" si="17"/>
        <v>76.5</v>
      </c>
      <c r="AJ43" s="23">
        <v>80</v>
      </c>
      <c r="AK43" s="23" t="str">
        <f t="shared" si="12"/>
        <v>Mencapai kompetensi dengan baik dalam hal</v>
      </c>
      <c r="AL43" s="23">
        <v>78</v>
      </c>
      <c r="AM43" s="18" t="str">
        <f t="shared" si="13"/>
        <v>Mencapai kompetensi dengan baik dalam hal</v>
      </c>
      <c r="AN43" s="23" t="s">
        <v>81</v>
      </c>
      <c r="AO43" s="23" t="s">
        <v>81</v>
      </c>
      <c r="AP43" s="23" t="s">
        <v>81</v>
      </c>
      <c r="AQ43" s="23">
        <v>1</v>
      </c>
      <c r="AR43" s="23" t="s">
        <v>82</v>
      </c>
      <c r="AS43" s="18" t="s">
        <v>83</v>
      </c>
      <c r="AT43" s="23" t="s">
        <v>84</v>
      </c>
      <c r="AU43" s="18" t="str">
        <f t="shared" si="20"/>
        <v>Baik</v>
      </c>
      <c r="AV43" s="23">
        <v>2</v>
      </c>
      <c r="AW43" s="18" t="s">
        <v>85</v>
      </c>
      <c r="AX43" s="18" t="s">
        <v>83</v>
      </c>
      <c r="AY43" s="23" t="s">
        <v>84</v>
      </c>
      <c r="AZ43" s="18" t="str">
        <f t="shared" si="21"/>
        <v>Baik</v>
      </c>
      <c r="BA43" s="23">
        <v>3</v>
      </c>
      <c r="BB43" s="23" t="s">
        <v>87</v>
      </c>
      <c r="BC43" s="23" t="s">
        <v>83</v>
      </c>
      <c r="BD43" s="23" t="s">
        <v>84</v>
      </c>
      <c r="BE43" s="18" t="str">
        <f>VLOOKUP(BD43,grades4,2,TRUE)</f>
        <v>Baik</v>
      </c>
      <c r="BG43" s="20"/>
      <c r="BH43" s="20"/>
      <c r="BN43" s="22">
        <f t="shared" si="16"/>
        <v>0</v>
      </c>
      <c r="BP43" s="115">
        <f t="shared" si="18"/>
        <v>79.5</v>
      </c>
      <c r="BQ43" s="22">
        <f t="shared" si="22"/>
        <v>21</v>
      </c>
    </row>
    <row r="44" spans="1:69" ht="24.95" customHeight="1" thickTop="1" thickBot="1" x14ac:dyDescent="0.3">
      <c r="A44" s="23">
        <v>43</v>
      </c>
      <c r="B44" s="23">
        <v>2525624</v>
      </c>
      <c r="C44" s="23" t="s">
        <v>933</v>
      </c>
      <c r="D44" s="18" t="s">
        <v>934</v>
      </c>
      <c r="E44" s="23" t="s">
        <v>920</v>
      </c>
      <c r="F44" s="23" t="s">
        <v>845</v>
      </c>
      <c r="G44" s="24" t="s">
        <v>921</v>
      </c>
      <c r="H44" s="24" t="s">
        <v>922</v>
      </c>
      <c r="I44" s="60" t="s">
        <v>76</v>
      </c>
      <c r="J44" s="61" t="s">
        <v>77</v>
      </c>
      <c r="K44" s="23">
        <v>79</v>
      </c>
      <c r="L44" s="23" t="str">
        <f t="shared" si="0"/>
        <v>Mencapai kompetensi dengan baik dalam hal</v>
      </c>
      <c r="M44" s="23">
        <v>77</v>
      </c>
      <c r="N44" s="23" t="str">
        <f t="shared" si="1"/>
        <v>Mencapai kompetensi dengan baik dalam hal</v>
      </c>
      <c r="O44" s="23">
        <v>79</v>
      </c>
      <c r="P44" s="23" t="str">
        <f t="shared" si="2"/>
        <v>Mencapai kompetensi dengan baik dalam hal</v>
      </c>
      <c r="Q44" s="23">
        <v>82</v>
      </c>
      <c r="R44" s="23" t="str">
        <f t="shared" si="3"/>
        <v>Mencapai kompetensi dengan baik dalam hal</v>
      </c>
      <c r="S44" s="23">
        <v>84</v>
      </c>
      <c r="T44" s="23" t="str">
        <f t="shared" si="4"/>
        <v>Mencapai kompetensi dengan baik dalam hal</v>
      </c>
      <c r="U44" s="23">
        <v>82</v>
      </c>
      <c r="V44" s="23" t="str">
        <f t="shared" si="5"/>
        <v>Mencapai kompetensi dengan baik dalam hal</v>
      </c>
      <c r="W44" s="23">
        <v>77</v>
      </c>
      <c r="X44" s="23" t="str">
        <f t="shared" si="6"/>
        <v>Mencapai kompetensi dengan baik dalam hal</v>
      </c>
      <c r="Y44" s="23">
        <v>79</v>
      </c>
      <c r="Z44" s="23" t="str">
        <f t="shared" si="7"/>
        <v>Mencapai kompetensi dengan baik dalam hal</v>
      </c>
      <c r="AA44" s="23">
        <v>84</v>
      </c>
      <c r="AB44" s="23" t="str">
        <f t="shared" si="8"/>
        <v>Mencapai kompetensi dengan baik dalam hal</v>
      </c>
      <c r="AC44" s="23">
        <v>81</v>
      </c>
      <c r="AD44" s="23" t="str">
        <f t="shared" si="9"/>
        <v>Mencapai kompetensi dengan baik dalam hal</v>
      </c>
      <c r="AE44" s="23">
        <v>79</v>
      </c>
      <c r="AF44" s="23" t="str">
        <f t="shared" si="10"/>
        <v>Mencapai kompetensi dengan baik dalam hal</v>
      </c>
      <c r="AG44" s="23">
        <v>80</v>
      </c>
      <c r="AH44" s="23" t="str">
        <f t="shared" si="11"/>
        <v>Mencapai kompetensi dengan baik dalam hal</v>
      </c>
      <c r="AI44" s="62">
        <f t="shared" si="17"/>
        <v>79.5</v>
      </c>
      <c r="AJ44" s="23">
        <v>84</v>
      </c>
      <c r="AK44" s="23" t="str">
        <f t="shared" si="12"/>
        <v>Mencapai kompetensi dengan baik dalam hal</v>
      </c>
      <c r="AL44" s="23">
        <v>80</v>
      </c>
      <c r="AM44" s="18" t="str">
        <f t="shared" si="13"/>
        <v>Mencapai kompetensi dengan baik dalam hal</v>
      </c>
      <c r="AN44" s="23" t="s">
        <v>81</v>
      </c>
      <c r="AO44" s="23" t="s">
        <v>81</v>
      </c>
      <c r="AP44" s="23" t="s">
        <v>81</v>
      </c>
      <c r="AQ44" s="23">
        <v>1</v>
      </c>
      <c r="AR44" s="23" t="s">
        <v>82</v>
      </c>
      <c r="AS44" s="18" t="s">
        <v>83</v>
      </c>
      <c r="AT44" s="23" t="s">
        <v>86</v>
      </c>
      <c r="AU44" s="18" t="str">
        <f t="shared" si="20"/>
        <v>Sangat baik</v>
      </c>
      <c r="AV44" s="23">
        <v>2</v>
      </c>
      <c r="AW44" s="18" t="s">
        <v>103</v>
      </c>
      <c r="AX44" s="18" t="s">
        <v>83</v>
      </c>
      <c r="AY44" s="23" t="s">
        <v>84</v>
      </c>
      <c r="AZ44" s="18" t="str">
        <f t="shared" si="21"/>
        <v>Baik</v>
      </c>
      <c r="BA44" s="23"/>
      <c r="BB44" s="23"/>
      <c r="BC44" s="23"/>
      <c r="BD44" s="23"/>
      <c r="BE44" s="18"/>
      <c r="BG44" s="20"/>
      <c r="BH44" s="20"/>
      <c r="BN44" s="22">
        <f t="shared" si="16"/>
        <v>0</v>
      </c>
      <c r="BP44" s="115">
        <f t="shared" si="18"/>
        <v>80.57692307692308</v>
      </c>
      <c r="BQ44" s="22">
        <f t="shared" si="22"/>
        <v>7</v>
      </c>
    </row>
    <row r="45" spans="1:69" ht="24.95" customHeight="1" thickTop="1" thickBot="1" x14ac:dyDescent="0.3">
      <c r="A45" s="23">
        <v>44</v>
      </c>
      <c r="B45" s="23">
        <v>2525625</v>
      </c>
      <c r="C45" s="23" t="s">
        <v>935</v>
      </c>
      <c r="D45" s="18" t="s">
        <v>936</v>
      </c>
      <c r="E45" s="23" t="s">
        <v>920</v>
      </c>
      <c r="F45" s="23" t="s">
        <v>845</v>
      </c>
      <c r="G45" s="24" t="s">
        <v>921</v>
      </c>
      <c r="H45" s="24" t="s">
        <v>922</v>
      </c>
      <c r="I45" s="60" t="s">
        <v>76</v>
      </c>
      <c r="J45" s="61" t="s">
        <v>77</v>
      </c>
      <c r="K45" s="23">
        <v>80</v>
      </c>
      <c r="L45" s="23" t="str">
        <f t="shared" si="0"/>
        <v>Mencapai kompetensi dengan baik dalam hal</v>
      </c>
      <c r="M45" s="23">
        <v>77</v>
      </c>
      <c r="N45" s="23" t="str">
        <f t="shared" si="1"/>
        <v>Mencapai kompetensi dengan baik dalam hal</v>
      </c>
      <c r="O45" s="23">
        <v>80</v>
      </c>
      <c r="P45" s="23" t="str">
        <f t="shared" si="2"/>
        <v>Mencapai kompetensi dengan baik dalam hal</v>
      </c>
      <c r="Q45" s="23">
        <v>81</v>
      </c>
      <c r="R45" s="23" t="str">
        <f t="shared" si="3"/>
        <v>Mencapai kompetensi dengan baik dalam hal</v>
      </c>
      <c r="S45" s="23">
        <v>82</v>
      </c>
      <c r="T45" s="23" t="str">
        <f t="shared" si="4"/>
        <v>Mencapai kompetensi dengan baik dalam hal</v>
      </c>
      <c r="U45" s="23">
        <v>85</v>
      </c>
      <c r="V45" s="23" t="str">
        <f t="shared" si="5"/>
        <v>Mencapai kompetensi dengan baik dalam hal</v>
      </c>
      <c r="W45" s="23">
        <v>75</v>
      </c>
      <c r="X45" s="23" t="str">
        <f t="shared" si="6"/>
        <v>Mencapai kompetensi dengan baik dalam hal</v>
      </c>
      <c r="Y45" s="23">
        <v>80</v>
      </c>
      <c r="Z45" s="23" t="str">
        <f t="shared" si="7"/>
        <v>Mencapai kompetensi dengan baik dalam hal</v>
      </c>
      <c r="AA45" s="23">
        <v>75</v>
      </c>
      <c r="AB45" s="23" t="str">
        <f t="shared" si="8"/>
        <v>Mencapai kompetensi dengan baik dalam hal</v>
      </c>
      <c r="AC45" s="23">
        <v>80</v>
      </c>
      <c r="AD45" s="23" t="str">
        <f t="shared" si="9"/>
        <v>Mencapai kompetensi dengan baik dalam hal</v>
      </c>
      <c r="AE45" s="23">
        <v>78</v>
      </c>
      <c r="AF45" s="23" t="str">
        <f t="shared" si="10"/>
        <v>Mencapai kompetensi dengan baik dalam hal</v>
      </c>
      <c r="AG45" s="23">
        <v>79</v>
      </c>
      <c r="AH45" s="23" t="str">
        <f t="shared" si="11"/>
        <v>Mencapai kompetensi dengan baik dalam hal</v>
      </c>
      <c r="AI45" s="62">
        <f t="shared" si="17"/>
        <v>78.5</v>
      </c>
      <c r="AJ45" s="23">
        <v>75</v>
      </c>
      <c r="AK45" s="23" t="str">
        <f t="shared" si="12"/>
        <v>Mencapai kompetensi dengan baik dalam hal</v>
      </c>
      <c r="AL45" s="23">
        <v>80</v>
      </c>
      <c r="AM45" s="18" t="str">
        <f t="shared" si="13"/>
        <v>Mencapai kompetensi dengan baik dalam hal</v>
      </c>
      <c r="AN45" s="23" t="s">
        <v>81</v>
      </c>
      <c r="AO45" s="23" t="s">
        <v>81</v>
      </c>
      <c r="AP45" s="23" t="s">
        <v>81</v>
      </c>
      <c r="AQ45" s="23">
        <v>1</v>
      </c>
      <c r="AR45" s="23" t="s">
        <v>82</v>
      </c>
      <c r="AS45" s="18" t="s">
        <v>83</v>
      </c>
      <c r="AT45" s="23" t="s">
        <v>84</v>
      </c>
      <c r="AU45" s="18" t="str">
        <f t="shared" si="20"/>
        <v>Baik</v>
      </c>
      <c r="AV45" s="23">
        <v>2</v>
      </c>
      <c r="AW45" s="18" t="s">
        <v>99</v>
      </c>
      <c r="AX45" s="18" t="s">
        <v>83</v>
      </c>
      <c r="AY45" s="23" t="s">
        <v>84</v>
      </c>
      <c r="AZ45" s="18" t="str">
        <f t="shared" si="21"/>
        <v>Baik</v>
      </c>
      <c r="BA45" s="23"/>
      <c r="BB45" s="23"/>
      <c r="BC45" s="23"/>
      <c r="BD45" s="23"/>
      <c r="BE45" s="18"/>
      <c r="BG45" s="20"/>
      <c r="BH45" s="20"/>
      <c r="BN45" s="22">
        <f t="shared" si="16"/>
        <v>0</v>
      </c>
      <c r="BP45" s="115">
        <f t="shared" si="18"/>
        <v>79.115384615384613</v>
      </c>
      <c r="BQ45" s="22">
        <f t="shared" si="22"/>
        <v>28</v>
      </c>
    </row>
    <row r="46" spans="1:69" ht="24.95" customHeight="1" thickTop="1" thickBot="1" x14ac:dyDescent="0.3">
      <c r="A46" s="23">
        <v>45</v>
      </c>
      <c r="B46" s="23">
        <v>2525626</v>
      </c>
      <c r="C46" s="23" t="s">
        <v>937</v>
      </c>
      <c r="D46" s="18" t="s">
        <v>938</v>
      </c>
      <c r="E46" s="23" t="s">
        <v>920</v>
      </c>
      <c r="F46" s="23" t="s">
        <v>845</v>
      </c>
      <c r="G46" s="24" t="s">
        <v>921</v>
      </c>
      <c r="H46" s="24" t="s">
        <v>922</v>
      </c>
      <c r="I46" s="60" t="s">
        <v>76</v>
      </c>
      <c r="J46" s="61" t="s">
        <v>77</v>
      </c>
      <c r="K46" s="23">
        <v>81</v>
      </c>
      <c r="L46" s="23" t="str">
        <f t="shared" si="0"/>
        <v>Mencapai kompetensi dengan baik dalam hal</v>
      </c>
      <c r="M46" s="23">
        <v>79</v>
      </c>
      <c r="N46" s="23" t="str">
        <f t="shared" si="1"/>
        <v>Mencapai kompetensi dengan baik dalam hal</v>
      </c>
      <c r="O46" s="23">
        <v>81</v>
      </c>
      <c r="P46" s="23" t="str">
        <f t="shared" si="2"/>
        <v>Mencapai kompetensi dengan baik dalam hal</v>
      </c>
      <c r="Q46" s="23">
        <v>82</v>
      </c>
      <c r="R46" s="23" t="str">
        <f t="shared" si="3"/>
        <v>Mencapai kompetensi dengan baik dalam hal</v>
      </c>
      <c r="S46" s="23">
        <v>80</v>
      </c>
      <c r="T46" s="23" t="str">
        <f t="shared" si="4"/>
        <v>Mencapai kompetensi dengan baik dalam hal</v>
      </c>
      <c r="U46" s="23">
        <v>83</v>
      </c>
      <c r="V46" s="23" t="str">
        <f t="shared" si="5"/>
        <v>Mencapai kompetensi dengan baik dalam hal</v>
      </c>
      <c r="W46" s="23">
        <v>75</v>
      </c>
      <c r="X46" s="23" t="str">
        <f t="shared" si="6"/>
        <v>Mencapai kompetensi dengan baik dalam hal</v>
      </c>
      <c r="Y46" s="23">
        <v>80</v>
      </c>
      <c r="Z46" s="23" t="str">
        <f t="shared" si="7"/>
        <v>Mencapai kompetensi dengan baik dalam hal</v>
      </c>
      <c r="AA46" s="23">
        <v>82</v>
      </c>
      <c r="AB46" s="23" t="str">
        <f t="shared" si="8"/>
        <v>Mencapai kompetensi dengan baik dalam hal</v>
      </c>
      <c r="AC46" s="23">
        <v>82</v>
      </c>
      <c r="AD46" s="23" t="str">
        <f t="shared" si="9"/>
        <v>Mencapai kompetensi dengan baik dalam hal</v>
      </c>
      <c r="AE46" s="23">
        <v>79</v>
      </c>
      <c r="AF46" s="23" t="str">
        <f t="shared" si="10"/>
        <v>Mencapai kompetensi dengan baik dalam hal</v>
      </c>
      <c r="AG46" s="23">
        <v>80</v>
      </c>
      <c r="AH46" s="23" t="str">
        <f t="shared" si="11"/>
        <v>Mencapai kompetensi dengan baik dalam hal</v>
      </c>
      <c r="AI46" s="62">
        <f t="shared" si="17"/>
        <v>79.5</v>
      </c>
      <c r="AJ46" s="23">
        <v>82</v>
      </c>
      <c r="AK46" s="23" t="str">
        <f t="shared" si="12"/>
        <v>Mencapai kompetensi dengan baik dalam hal</v>
      </c>
      <c r="AL46" s="23">
        <v>78</v>
      </c>
      <c r="AM46" s="18" t="str">
        <f t="shared" si="13"/>
        <v>Mencapai kompetensi dengan baik dalam hal</v>
      </c>
      <c r="AN46" s="23">
        <v>2</v>
      </c>
      <c r="AO46" s="23" t="s">
        <v>81</v>
      </c>
      <c r="AP46" s="23" t="s">
        <v>81</v>
      </c>
      <c r="AQ46" s="23">
        <v>1</v>
      </c>
      <c r="AR46" s="23" t="s">
        <v>82</v>
      </c>
      <c r="AS46" s="18" t="s">
        <v>83</v>
      </c>
      <c r="AT46" s="23" t="s">
        <v>86</v>
      </c>
      <c r="AU46" s="18" t="str">
        <f t="shared" si="20"/>
        <v>Sangat baik</v>
      </c>
      <c r="AV46" s="23">
        <v>2</v>
      </c>
      <c r="AW46" s="18" t="s">
        <v>125</v>
      </c>
      <c r="AX46" s="18" t="s">
        <v>83</v>
      </c>
      <c r="AY46" s="23" t="s">
        <v>104</v>
      </c>
      <c r="AZ46" s="18" t="str">
        <f t="shared" si="21"/>
        <v>Cukup</v>
      </c>
      <c r="BA46" s="23"/>
      <c r="BB46" s="23"/>
      <c r="BC46" s="23"/>
      <c r="BD46" s="23"/>
      <c r="BE46" s="18"/>
      <c r="BG46" s="20"/>
      <c r="BH46" s="20"/>
      <c r="BN46" s="22">
        <f t="shared" si="16"/>
        <v>0</v>
      </c>
      <c r="BP46" s="115">
        <f t="shared" si="18"/>
        <v>80.34615384615384</v>
      </c>
      <c r="BQ46" s="22">
        <f t="shared" si="22"/>
        <v>11</v>
      </c>
    </row>
    <row r="47" spans="1:69" ht="24.95" customHeight="1" thickTop="1" thickBot="1" x14ac:dyDescent="0.3">
      <c r="A47" s="23">
        <v>46</v>
      </c>
      <c r="B47" s="23">
        <v>2525627</v>
      </c>
      <c r="C47" s="23" t="s">
        <v>939</v>
      </c>
      <c r="D47" s="18" t="s">
        <v>940</v>
      </c>
      <c r="E47" s="23" t="s">
        <v>920</v>
      </c>
      <c r="F47" s="23" t="s">
        <v>845</v>
      </c>
      <c r="G47" s="24" t="s">
        <v>921</v>
      </c>
      <c r="H47" s="24" t="s">
        <v>922</v>
      </c>
      <c r="I47" s="60" t="s">
        <v>76</v>
      </c>
      <c r="J47" s="61" t="s">
        <v>77</v>
      </c>
      <c r="K47" s="23">
        <v>82</v>
      </c>
      <c r="L47" s="23" t="str">
        <f t="shared" si="0"/>
        <v>Mencapai kompetensi dengan baik dalam hal</v>
      </c>
      <c r="M47" s="23">
        <v>76</v>
      </c>
      <c r="N47" s="23" t="str">
        <f t="shared" si="1"/>
        <v>Mencapai kompetensi dengan baik dalam hal</v>
      </c>
      <c r="O47" s="23">
        <v>80</v>
      </c>
      <c r="P47" s="23" t="str">
        <f t="shared" si="2"/>
        <v>Mencapai kompetensi dengan baik dalam hal</v>
      </c>
      <c r="Q47" s="23">
        <v>79</v>
      </c>
      <c r="R47" s="23" t="str">
        <f t="shared" si="3"/>
        <v>Mencapai kompetensi dengan baik dalam hal</v>
      </c>
      <c r="S47" s="23">
        <v>78</v>
      </c>
      <c r="T47" s="23" t="str">
        <f t="shared" si="4"/>
        <v>Mencapai kompetensi dengan baik dalam hal</v>
      </c>
      <c r="U47" s="23">
        <v>82</v>
      </c>
      <c r="V47" s="23" t="str">
        <f t="shared" si="5"/>
        <v>Mencapai kompetensi dengan baik dalam hal</v>
      </c>
      <c r="W47" s="23">
        <v>75</v>
      </c>
      <c r="X47" s="23" t="str">
        <f t="shared" si="6"/>
        <v>Mencapai kompetensi dengan baik dalam hal</v>
      </c>
      <c r="Y47" s="23">
        <v>78</v>
      </c>
      <c r="Z47" s="23" t="str">
        <f t="shared" si="7"/>
        <v>Mencapai kompetensi dengan baik dalam hal</v>
      </c>
      <c r="AA47" s="23">
        <v>80</v>
      </c>
      <c r="AB47" s="23" t="str">
        <f t="shared" si="8"/>
        <v>Mencapai kompetensi dengan baik dalam hal</v>
      </c>
      <c r="AC47" s="23">
        <v>80</v>
      </c>
      <c r="AD47" s="23" t="str">
        <f t="shared" si="9"/>
        <v>Mencapai kompetensi dengan baik dalam hal</v>
      </c>
      <c r="AE47" s="23">
        <v>77</v>
      </c>
      <c r="AF47" s="23" t="str">
        <f t="shared" si="10"/>
        <v>Mencapai kompetensi dengan baik dalam hal</v>
      </c>
      <c r="AG47" s="23">
        <v>78</v>
      </c>
      <c r="AH47" s="23" t="str">
        <f t="shared" si="11"/>
        <v>Mencapai kompetensi dengan baik dalam hal</v>
      </c>
      <c r="AI47" s="62">
        <f t="shared" si="17"/>
        <v>77.5</v>
      </c>
      <c r="AJ47" s="23">
        <v>80</v>
      </c>
      <c r="AK47" s="23" t="str">
        <f t="shared" si="12"/>
        <v>Mencapai kompetensi dengan baik dalam hal</v>
      </c>
      <c r="AL47" s="23">
        <v>79</v>
      </c>
      <c r="AM47" s="18" t="str">
        <f t="shared" si="13"/>
        <v>Mencapai kompetensi dengan baik dalam hal</v>
      </c>
      <c r="AN47" s="23" t="s">
        <v>81</v>
      </c>
      <c r="AO47" s="23" t="s">
        <v>81</v>
      </c>
      <c r="AP47" s="23" t="s">
        <v>81</v>
      </c>
      <c r="AQ47" s="23">
        <v>1</v>
      </c>
      <c r="AR47" s="23" t="s">
        <v>82</v>
      </c>
      <c r="AS47" s="18" t="s">
        <v>83</v>
      </c>
      <c r="AT47" s="23" t="s">
        <v>86</v>
      </c>
      <c r="AU47" s="18" t="str">
        <f t="shared" si="20"/>
        <v>Sangat baik</v>
      </c>
      <c r="AV47" s="23">
        <v>2</v>
      </c>
      <c r="AW47" s="18" t="s">
        <v>170</v>
      </c>
      <c r="AX47" s="18" t="s">
        <v>83</v>
      </c>
      <c r="AY47" s="23" t="s">
        <v>84</v>
      </c>
      <c r="AZ47" s="18" t="str">
        <f t="shared" si="21"/>
        <v>Baik</v>
      </c>
      <c r="BA47" s="23"/>
      <c r="BB47" s="23"/>
      <c r="BC47" s="23"/>
      <c r="BD47" s="23"/>
      <c r="BE47" s="18"/>
      <c r="BG47" s="20"/>
      <c r="BH47" s="20"/>
      <c r="BN47" s="22">
        <f t="shared" si="16"/>
        <v>0</v>
      </c>
      <c r="BP47" s="115">
        <f t="shared" si="18"/>
        <v>78.961538461538467</v>
      </c>
      <c r="BQ47" s="22">
        <f t="shared" si="22"/>
        <v>29</v>
      </c>
    </row>
    <row r="48" spans="1:69" ht="24.95" customHeight="1" thickTop="1" thickBot="1" x14ac:dyDescent="0.3">
      <c r="A48" s="23">
        <v>47</v>
      </c>
      <c r="B48" s="23">
        <v>2525628</v>
      </c>
      <c r="C48" s="23" t="s">
        <v>941</v>
      </c>
      <c r="D48" s="18" t="s">
        <v>942</v>
      </c>
      <c r="E48" s="23" t="s">
        <v>920</v>
      </c>
      <c r="F48" s="23" t="s">
        <v>845</v>
      </c>
      <c r="G48" s="24" t="s">
        <v>921</v>
      </c>
      <c r="H48" s="24" t="s">
        <v>922</v>
      </c>
      <c r="I48" s="60" t="s">
        <v>76</v>
      </c>
      <c r="J48" s="61" t="s">
        <v>77</v>
      </c>
      <c r="K48" s="23">
        <v>80</v>
      </c>
      <c r="L48" s="23" t="str">
        <f t="shared" si="0"/>
        <v>Mencapai kompetensi dengan baik dalam hal</v>
      </c>
      <c r="M48" s="23">
        <v>76</v>
      </c>
      <c r="N48" s="23" t="str">
        <f t="shared" si="1"/>
        <v>Mencapai kompetensi dengan baik dalam hal</v>
      </c>
      <c r="O48" s="23">
        <v>79</v>
      </c>
      <c r="P48" s="23" t="str">
        <f t="shared" si="2"/>
        <v>Mencapai kompetensi dengan baik dalam hal</v>
      </c>
      <c r="Q48" s="23">
        <v>83</v>
      </c>
      <c r="R48" s="23" t="str">
        <f t="shared" si="3"/>
        <v>Mencapai kompetensi dengan baik dalam hal</v>
      </c>
      <c r="S48" s="23">
        <v>79</v>
      </c>
      <c r="T48" s="23" t="str">
        <f t="shared" si="4"/>
        <v>Mencapai kompetensi dengan baik dalam hal</v>
      </c>
      <c r="U48" s="23">
        <v>78</v>
      </c>
      <c r="V48" s="23" t="str">
        <f t="shared" si="5"/>
        <v>Mencapai kompetensi dengan baik dalam hal</v>
      </c>
      <c r="W48" s="23">
        <v>75</v>
      </c>
      <c r="X48" s="23" t="str">
        <f t="shared" si="6"/>
        <v>Mencapai kompetensi dengan baik dalam hal</v>
      </c>
      <c r="Y48" s="23">
        <v>78</v>
      </c>
      <c r="Z48" s="23" t="str">
        <f t="shared" si="7"/>
        <v>Mencapai kompetensi dengan baik dalam hal</v>
      </c>
      <c r="AA48" s="23">
        <v>78</v>
      </c>
      <c r="AB48" s="23" t="str">
        <f t="shared" si="8"/>
        <v>Mencapai kompetensi dengan baik dalam hal</v>
      </c>
      <c r="AC48" s="23">
        <v>81</v>
      </c>
      <c r="AD48" s="23" t="str">
        <f t="shared" si="9"/>
        <v>Mencapai kompetensi dengan baik dalam hal</v>
      </c>
      <c r="AE48" s="23">
        <v>79</v>
      </c>
      <c r="AF48" s="23" t="str">
        <f t="shared" si="10"/>
        <v>Mencapai kompetensi dengan baik dalam hal</v>
      </c>
      <c r="AG48" s="23">
        <v>80</v>
      </c>
      <c r="AH48" s="23" t="str">
        <f t="shared" si="11"/>
        <v>Mencapai kompetensi dengan baik dalam hal</v>
      </c>
      <c r="AI48" s="62">
        <f t="shared" si="17"/>
        <v>79.5</v>
      </c>
      <c r="AJ48" s="23">
        <v>78</v>
      </c>
      <c r="AK48" s="23" t="str">
        <f t="shared" si="12"/>
        <v>Mencapai kompetensi dengan baik dalam hal</v>
      </c>
      <c r="AL48" s="23">
        <v>77</v>
      </c>
      <c r="AM48" s="18" t="str">
        <f t="shared" si="13"/>
        <v>Mencapai kompetensi dengan baik dalam hal</v>
      </c>
      <c r="AN48" s="23">
        <v>1</v>
      </c>
      <c r="AO48" s="23">
        <v>1</v>
      </c>
      <c r="AP48" s="23" t="s">
        <v>81</v>
      </c>
      <c r="AQ48" s="23">
        <v>1</v>
      </c>
      <c r="AR48" s="23" t="s">
        <v>82</v>
      </c>
      <c r="AS48" s="18" t="s">
        <v>83</v>
      </c>
      <c r="AT48" s="23" t="s">
        <v>104</v>
      </c>
      <c r="AU48" s="18" t="str">
        <f t="shared" si="20"/>
        <v>Cukup</v>
      </c>
      <c r="AV48" s="23">
        <v>2</v>
      </c>
      <c r="AW48" s="18" t="s">
        <v>103</v>
      </c>
      <c r="AX48" s="18" t="s">
        <v>83</v>
      </c>
      <c r="AY48" s="23" t="s">
        <v>84</v>
      </c>
      <c r="AZ48" s="18" t="str">
        <f t="shared" si="21"/>
        <v>Baik</v>
      </c>
      <c r="BA48" s="23"/>
      <c r="BB48" s="23"/>
      <c r="BC48" s="23"/>
      <c r="BD48" s="23"/>
      <c r="BE48" s="18"/>
      <c r="BG48" s="20"/>
      <c r="BH48" s="20"/>
      <c r="BN48" s="22">
        <f t="shared" si="16"/>
        <v>0</v>
      </c>
      <c r="BP48" s="115">
        <f t="shared" si="18"/>
        <v>78.57692307692308</v>
      </c>
      <c r="BQ48" s="22">
        <f t="shared" si="22"/>
        <v>34</v>
      </c>
    </row>
    <row r="49" spans="1:69" ht="24.95" customHeight="1" thickTop="1" thickBot="1" x14ac:dyDescent="0.3">
      <c r="A49" s="23">
        <v>48</v>
      </c>
      <c r="B49" s="23">
        <v>2525629</v>
      </c>
      <c r="C49" s="23" t="s">
        <v>943</v>
      </c>
      <c r="D49" s="18" t="s">
        <v>944</v>
      </c>
      <c r="E49" s="23" t="s">
        <v>920</v>
      </c>
      <c r="F49" s="23" t="s">
        <v>845</v>
      </c>
      <c r="G49" s="24" t="s">
        <v>921</v>
      </c>
      <c r="H49" s="24" t="s">
        <v>922</v>
      </c>
      <c r="I49" s="60" t="s">
        <v>76</v>
      </c>
      <c r="J49" s="61" t="s">
        <v>77</v>
      </c>
      <c r="K49" s="23">
        <v>79</v>
      </c>
      <c r="L49" s="23" t="str">
        <f t="shared" si="0"/>
        <v>Mencapai kompetensi dengan baik dalam hal</v>
      </c>
      <c r="M49" s="23">
        <v>76</v>
      </c>
      <c r="N49" s="23" t="str">
        <f t="shared" si="1"/>
        <v>Mencapai kompetensi dengan baik dalam hal</v>
      </c>
      <c r="O49" s="23">
        <v>81</v>
      </c>
      <c r="P49" s="23" t="str">
        <f t="shared" si="2"/>
        <v>Mencapai kompetensi dengan baik dalam hal</v>
      </c>
      <c r="Q49" s="23">
        <v>80</v>
      </c>
      <c r="R49" s="23" t="str">
        <f t="shared" si="3"/>
        <v>Mencapai kompetensi dengan baik dalam hal</v>
      </c>
      <c r="S49" s="23">
        <v>81</v>
      </c>
      <c r="T49" s="23" t="str">
        <f t="shared" si="4"/>
        <v>Mencapai kompetensi dengan baik dalam hal</v>
      </c>
      <c r="U49" s="23">
        <v>80</v>
      </c>
      <c r="V49" s="23" t="str">
        <f t="shared" si="5"/>
        <v>Mencapai kompetensi dengan baik dalam hal</v>
      </c>
      <c r="W49" s="23">
        <v>78</v>
      </c>
      <c r="X49" s="23" t="str">
        <f t="shared" si="6"/>
        <v>Mencapai kompetensi dengan baik dalam hal</v>
      </c>
      <c r="Y49" s="23">
        <v>80</v>
      </c>
      <c r="Z49" s="23" t="str">
        <f t="shared" si="7"/>
        <v>Mencapai kompetensi dengan baik dalam hal</v>
      </c>
      <c r="AA49" s="23">
        <v>79</v>
      </c>
      <c r="AB49" s="23" t="str">
        <f t="shared" si="8"/>
        <v>Mencapai kompetensi dengan baik dalam hal</v>
      </c>
      <c r="AC49" s="23">
        <v>80</v>
      </c>
      <c r="AD49" s="23" t="str">
        <f t="shared" si="9"/>
        <v>Mencapai kompetensi dengan baik dalam hal</v>
      </c>
      <c r="AE49" s="23">
        <v>79</v>
      </c>
      <c r="AF49" s="23" t="str">
        <f t="shared" si="10"/>
        <v>Mencapai kompetensi dengan baik dalam hal</v>
      </c>
      <c r="AG49" s="23">
        <v>80</v>
      </c>
      <c r="AH49" s="23" t="str">
        <f t="shared" si="11"/>
        <v>Mencapai kompetensi dengan baik dalam hal</v>
      </c>
      <c r="AI49" s="62">
        <f t="shared" si="17"/>
        <v>79.5</v>
      </c>
      <c r="AJ49" s="23">
        <v>79</v>
      </c>
      <c r="AK49" s="23" t="str">
        <f t="shared" si="12"/>
        <v>Mencapai kompetensi dengan baik dalam hal</v>
      </c>
      <c r="AL49" s="23">
        <v>80</v>
      </c>
      <c r="AM49" s="18" t="str">
        <f t="shared" si="13"/>
        <v>Mencapai kompetensi dengan baik dalam hal</v>
      </c>
      <c r="AN49" s="23">
        <v>1</v>
      </c>
      <c r="AO49" s="23" t="s">
        <v>81</v>
      </c>
      <c r="AP49" s="23" t="s">
        <v>81</v>
      </c>
      <c r="AQ49" s="23">
        <v>1</v>
      </c>
      <c r="AR49" s="23" t="s">
        <v>82</v>
      </c>
      <c r="AS49" s="18" t="s">
        <v>83</v>
      </c>
      <c r="AT49" s="23" t="s">
        <v>84</v>
      </c>
      <c r="AU49" s="18" t="str">
        <f t="shared" si="20"/>
        <v>Baik</v>
      </c>
      <c r="AV49" s="23">
        <v>2</v>
      </c>
      <c r="AW49" s="18" t="s">
        <v>125</v>
      </c>
      <c r="AX49" s="18" t="s">
        <v>83</v>
      </c>
      <c r="AY49" s="23" t="s">
        <v>104</v>
      </c>
      <c r="AZ49" s="18" t="str">
        <f t="shared" si="21"/>
        <v>Cukup</v>
      </c>
      <c r="BA49" s="23"/>
      <c r="BB49" s="23"/>
      <c r="BC49" s="23"/>
      <c r="BD49" s="23"/>
      <c r="BE49" s="18"/>
      <c r="BG49" s="20"/>
      <c r="BH49" s="20"/>
      <c r="BN49" s="22">
        <f t="shared" si="16"/>
        <v>0</v>
      </c>
      <c r="BP49" s="115">
        <f t="shared" si="18"/>
        <v>79.42307692307692</v>
      </c>
      <c r="BQ49" s="22">
        <f t="shared" si="22"/>
        <v>23</v>
      </c>
    </row>
    <row r="50" spans="1:69" ht="24.95" customHeight="1" thickTop="1" thickBot="1" x14ac:dyDescent="0.3">
      <c r="A50" s="23">
        <v>49</v>
      </c>
      <c r="B50" s="23">
        <v>2525630</v>
      </c>
      <c r="C50" s="23" t="s">
        <v>945</v>
      </c>
      <c r="D50" s="18" t="s">
        <v>946</v>
      </c>
      <c r="E50" s="23" t="s">
        <v>920</v>
      </c>
      <c r="F50" s="23" t="s">
        <v>845</v>
      </c>
      <c r="G50" s="24" t="s">
        <v>921</v>
      </c>
      <c r="H50" s="24" t="s">
        <v>922</v>
      </c>
      <c r="I50" s="60" t="s">
        <v>76</v>
      </c>
      <c r="J50" s="61" t="s">
        <v>77</v>
      </c>
      <c r="K50" s="23">
        <v>82</v>
      </c>
      <c r="L50" s="23" t="str">
        <f t="shared" si="0"/>
        <v>Mencapai kompetensi dengan baik dalam hal</v>
      </c>
      <c r="M50" s="23">
        <v>77</v>
      </c>
      <c r="N50" s="23" t="str">
        <f t="shared" si="1"/>
        <v>Mencapai kompetensi dengan baik dalam hal</v>
      </c>
      <c r="O50" s="23">
        <v>80</v>
      </c>
      <c r="P50" s="23" t="str">
        <f t="shared" si="2"/>
        <v>Mencapai kompetensi dengan baik dalam hal</v>
      </c>
      <c r="Q50" s="23">
        <v>83</v>
      </c>
      <c r="R50" s="23" t="str">
        <f t="shared" si="3"/>
        <v>Mencapai kompetensi dengan baik dalam hal</v>
      </c>
      <c r="S50" s="23">
        <v>78</v>
      </c>
      <c r="T50" s="23" t="str">
        <f t="shared" si="4"/>
        <v>Mencapai kompetensi dengan baik dalam hal</v>
      </c>
      <c r="U50" s="23">
        <v>82</v>
      </c>
      <c r="V50" s="23" t="str">
        <f t="shared" si="5"/>
        <v>Mencapai kompetensi dengan baik dalam hal</v>
      </c>
      <c r="W50" s="23">
        <v>75</v>
      </c>
      <c r="X50" s="23" t="str">
        <f t="shared" si="6"/>
        <v>Mencapai kompetensi dengan baik dalam hal</v>
      </c>
      <c r="Y50" s="23">
        <v>78</v>
      </c>
      <c r="Z50" s="23" t="str">
        <f t="shared" si="7"/>
        <v>Mencapai kompetensi dengan baik dalam hal</v>
      </c>
      <c r="AA50" s="23">
        <v>86</v>
      </c>
      <c r="AB50" s="23" t="str">
        <f t="shared" si="8"/>
        <v>Mencapai kompetensi dengan baik dalam hal</v>
      </c>
      <c r="AC50" s="23">
        <v>81</v>
      </c>
      <c r="AD50" s="23" t="str">
        <f t="shared" si="9"/>
        <v>Mencapai kompetensi dengan baik dalam hal</v>
      </c>
      <c r="AE50" s="23">
        <v>77</v>
      </c>
      <c r="AF50" s="23" t="str">
        <f t="shared" si="10"/>
        <v>Mencapai kompetensi dengan baik dalam hal</v>
      </c>
      <c r="AG50" s="23">
        <v>78</v>
      </c>
      <c r="AH50" s="23" t="str">
        <f t="shared" si="11"/>
        <v>Mencapai kompetensi dengan baik dalam hal</v>
      </c>
      <c r="AI50" s="62">
        <f t="shared" si="17"/>
        <v>77.5</v>
      </c>
      <c r="AJ50" s="23">
        <v>86</v>
      </c>
      <c r="AK50" s="23" t="str">
        <f t="shared" si="12"/>
        <v>Mencapai kompetensi dengan baik dalam hal</v>
      </c>
      <c r="AL50" s="23">
        <v>79</v>
      </c>
      <c r="AM50" s="18" t="str">
        <f t="shared" si="13"/>
        <v>Mencapai kompetensi dengan baik dalam hal</v>
      </c>
      <c r="AN50" s="23" t="s">
        <v>81</v>
      </c>
      <c r="AO50" s="23" t="s">
        <v>81</v>
      </c>
      <c r="AP50" s="23" t="s">
        <v>81</v>
      </c>
      <c r="AQ50" s="23">
        <v>1</v>
      </c>
      <c r="AR50" s="23" t="s">
        <v>82</v>
      </c>
      <c r="AS50" s="18" t="s">
        <v>83</v>
      </c>
      <c r="AT50" s="23" t="s">
        <v>84</v>
      </c>
      <c r="AU50" s="18" t="str">
        <f t="shared" si="20"/>
        <v>Baik</v>
      </c>
      <c r="AV50" s="23">
        <v>2</v>
      </c>
      <c r="AW50" s="18" t="s">
        <v>236</v>
      </c>
      <c r="AX50" s="18" t="s">
        <v>83</v>
      </c>
      <c r="AY50" s="23" t="s">
        <v>86</v>
      </c>
      <c r="AZ50" s="18" t="str">
        <f t="shared" si="21"/>
        <v>Sangat baik</v>
      </c>
      <c r="BA50" s="23"/>
      <c r="BB50" s="23"/>
      <c r="BC50" s="23"/>
      <c r="BD50" s="23"/>
      <c r="BE50" s="18"/>
      <c r="BG50" s="20"/>
      <c r="BH50" s="20"/>
      <c r="BN50" s="22">
        <f t="shared" si="16"/>
        <v>0</v>
      </c>
      <c r="BP50" s="115">
        <f t="shared" si="18"/>
        <v>80.34615384615384</v>
      </c>
      <c r="BQ50" s="22">
        <f t="shared" si="22"/>
        <v>11</v>
      </c>
    </row>
    <row r="51" spans="1:69" ht="24.95" customHeight="1" thickTop="1" thickBot="1" x14ac:dyDescent="0.3">
      <c r="A51" s="23">
        <v>50</v>
      </c>
      <c r="B51" s="23">
        <v>2525631</v>
      </c>
      <c r="C51" s="23" t="s">
        <v>947</v>
      </c>
      <c r="D51" s="18" t="s">
        <v>948</v>
      </c>
      <c r="E51" s="23" t="s">
        <v>920</v>
      </c>
      <c r="F51" s="23" t="s">
        <v>845</v>
      </c>
      <c r="G51" s="24" t="s">
        <v>921</v>
      </c>
      <c r="H51" s="24" t="s">
        <v>922</v>
      </c>
      <c r="I51" s="60" t="s">
        <v>76</v>
      </c>
      <c r="J51" s="61" t="s">
        <v>77</v>
      </c>
      <c r="K51" s="23">
        <v>80</v>
      </c>
      <c r="L51" s="23" t="str">
        <f t="shared" si="0"/>
        <v>Mencapai kompetensi dengan baik dalam hal</v>
      </c>
      <c r="M51" s="23">
        <v>77</v>
      </c>
      <c r="N51" s="23" t="str">
        <f t="shared" si="1"/>
        <v>Mencapai kompetensi dengan baik dalam hal</v>
      </c>
      <c r="O51" s="23">
        <v>81</v>
      </c>
      <c r="P51" s="23" t="str">
        <f t="shared" si="2"/>
        <v>Mencapai kompetensi dengan baik dalam hal</v>
      </c>
      <c r="Q51" s="23">
        <v>80</v>
      </c>
      <c r="R51" s="23" t="str">
        <f t="shared" si="3"/>
        <v>Mencapai kompetensi dengan baik dalam hal</v>
      </c>
      <c r="S51" s="23">
        <v>81</v>
      </c>
      <c r="T51" s="23" t="str">
        <f t="shared" si="4"/>
        <v>Mencapai kompetensi dengan baik dalam hal</v>
      </c>
      <c r="U51" s="23">
        <v>80</v>
      </c>
      <c r="V51" s="23" t="str">
        <f t="shared" si="5"/>
        <v>Mencapai kompetensi dengan baik dalam hal</v>
      </c>
      <c r="W51" s="23">
        <v>75</v>
      </c>
      <c r="X51" s="23" t="str">
        <f t="shared" si="6"/>
        <v>Mencapai kompetensi dengan baik dalam hal</v>
      </c>
      <c r="Y51" s="23">
        <v>81</v>
      </c>
      <c r="Z51" s="23" t="str">
        <f t="shared" si="7"/>
        <v>Mencapai kompetensi dengan baik dalam hal</v>
      </c>
      <c r="AA51" s="23">
        <v>85</v>
      </c>
      <c r="AB51" s="23" t="str">
        <f t="shared" si="8"/>
        <v>Mencapai kompetensi dengan baik dalam hal</v>
      </c>
      <c r="AC51" s="23">
        <v>82</v>
      </c>
      <c r="AD51" s="23" t="str">
        <f t="shared" si="9"/>
        <v>Mencapai kompetensi dengan baik dalam hal</v>
      </c>
      <c r="AE51" s="23">
        <v>79</v>
      </c>
      <c r="AF51" s="23" t="str">
        <f t="shared" si="10"/>
        <v>Mencapai kompetensi dengan baik dalam hal</v>
      </c>
      <c r="AG51" s="23">
        <v>80</v>
      </c>
      <c r="AH51" s="23" t="str">
        <f t="shared" si="11"/>
        <v>Mencapai kompetensi dengan baik dalam hal</v>
      </c>
      <c r="AI51" s="62">
        <f t="shared" si="17"/>
        <v>79.5</v>
      </c>
      <c r="AJ51" s="23">
        <v>85</v>
      </c>
      <c r="AK51" s="23" t="str">
        <f t="shared" si="12"/>
        <v>Mencapai kompetensi dengan baik dalam hal</v>
      </c>
      <c r="AL51" s="23">
        <v>80</v>
      </c>
      <c r="AM51" s="18" t="str">
        <f t="shared" si="13"/>
        <v>Mencapai kompetensi dengan baik dalam hal</v>
      </c>
      <c r="AN51" s="23" t="s">
        <v>81</v>
      </c>
      <c r="AO51" s="23" t="s">
        <v>81</v>
      </c>
      <c r="AP51" s="23" t="s">
        <v>81</v>
      </c>
      <c r="AQ51" s="23">
        <v>1</v>
      </c>
      <c r="AR51" s="23" t="s">
        <v>82</v>
      </c>
      <c r="AS51" s="18" t="s">
        <v>83</v>
      </c>
      <c r="AT51" s="23" t="s">
        <v>86</v>
      </c>
      <c r="AU51" s="18" t="str">
        <f t="shared" si="20"/>
        <v>Sangat baik</v>
      </c>
      <c r="AV51" s="23">
        <v>2</v>
      </c>
      <c r="AW51" s="18" t="s">
        <v>170</v>
      </c>
      <c r="AX51" s="18" t="s">
        <v>83</v>
      </c>
      <c r="AY51" s="23" t="s">
        <v>84</v>
      </c>
      <c r="AZ51" s="18" t="str">
        <f t="shared" si="21"/>
        <v>Baik</v>
      </c>
      <c r="BA51" s="23"/>
      <c r="BB51" s="23"/>
      <c r="BC51" s="23"/>
      <c r="BD51" s="23"/>
      <c r="BE51" s="18"/>
      <c r="BG51" s="20"/>
      <c r="BH51" s="20"/>
      <c r="BN51" s="22">
        <f t="shared" si="16"/>
        <v>0</v>
      </c>
      <c r="BP51" s="115">
        <f t="shared" si="18"/>
        <v>80.5</v>
      </c>
      <c r="BQ51" s="22">
        <f t="shared" si="22"/>
        <v>8</v>
      </c>
    </row>
    <row r="52" spans="1:69" ht="24.95" customHeight="1" thickTop="1" thickBot="1" x14ac:dyDescent="0.3">
      <c r="A52" s="23">
        <v>51</v>
      </c>
      <c r="B52" s="23">
        <v>2525632</v>
      </c>
      <c r="C52" s="23" t="s">
        <v>949</v>
      </c>
      <c r="D52" s="18" t="s">
        <v>950</v>
      </c>
      <c r="E52" s="23" t="s">
        <v>920</v>
      </c>
      <c r="F52" s="23" t="s">
        <v>845</v>
      </c>
      <c r="G52" s="24" t="s">
        <v>921</v>
      </c>
      <c r="H52" s="24" t="s">
        <v>922</v>
      </c>
      <c r="I52" s="60" t="s">
        <v>76</v>
      </c>
      <c r="J52" s="61" t="s">
        <v>77</v>
      </c>
      <c r="K52" s="23">
        <v>81</v>
      </c>
      <c r="L52" s="23" t="str">
        <f t="shared" si="0"/>
        <v>Mencapai kompetensi dengan baik dalam hal</v>
      </c>
      <c r="M52" s="23">
        <v>76</v>
      </c>
      <c r="N52" s="23" t="str">
        <f t="shared" si="1"/>
        <v>Mencapai kompetensi dengan baik dalam hal</v>
      </c>
      <c r="O52" s="23">
        <v>79</v>
      </c>
      <c r="P52" s="23" t="str">
        <f t="shared" si="2"/>
        <v>Mencapai kompetensi dengan baik dalam hal</v>
      </c>
      <c r="Q52" s="23">
        <v>84</v>
      </c>
      <c r="R52" s="23" t="str">
        <f t="shared" si="3"/>
        <v>Mencapai kompetensi dengan baik dalam hal</v>
      </c>
      <c r="S52" s="23">
        <v>79</v>
      </c>
      <c r="T52" s="23" t="str">
        <f t="shared" si="4"/>
        <v>Mencapai kompetensi dengan baik dalam hal</v>
      </c>
      <c r="U52" s="23">
        <v>78</v>
      </c>
      <c r="V52" s="23" t="str">
        <f t="shared" si="5"/>
        <v>Mencapai kompetensi dengan baik dalam hal</v>
      </c>
      <c r="W52" s="23">
        <v>75</v>
      </c>
      <c r="X52" s="23" t="str">
        <f t="shared" si="6"/>
        <v>Mencapai kompetensi dengan baik dalam hal</v>
      </c>
      <c r="Y52" s="23">
        <v>78</v>
      </c>
      <c r="Z52" s="23" t="str">
        <f t="shared" si="7"/>
        <v>Mencapai kompetensi dengan baik dalam hal</v>
      </c>
      <c r="AA52" s="23">
        <v>83</v>
      </c>
      <c r="AB52" s="23" t="str">
        <f t="shared" si="8"/>
        <v>Mencapai kompetensi dengan baik dalam hal</v>
      </c>
      <c r="AC52" s="23">
        <v>81</v>
      </c>
      <c r="AD52" s="23" t="str">
        <f t="shared" si="9"/>
        <v>Mencapai kompetensi dengan baik dalam hal</v>
      </c>
      <c r="AE52" s="23">
        <v>83</v>
      </c>
      <c r="AF52" s="23" t="str">
        <f t="shared" si="10"/>
        <v>Mencapai kompetensi dengan baik dalam hal</v>
      </c>
      <c r="AG52" s="23">
        <v>84</v>
      </c>
      <c r="AH52" s="23" t="str">
        <f t="shared" si="11"/>
        <v>Mencapai kompetensi dengan baik dalam hal</v>
      </c>
      <c r="AI52" s="62">
        <f t="shared" si="17"/>
        <v>83.5</v>
      </c>
      <c r="AJ52" s="23">
        <v>83</v>
      </c>
      <c r="AK52" s="23" t="str">
        <f t="shared" si="12"/>
        <v>Mencapai kompetensi dengan baik dalam hal</v>
      </c>
      <c r="AL52" s="23">
        <v>79</v>
      </c>
      <c r="AM52" s="18" t="str">
        <f t="shared" si="13"/>
        <v>Mencapai kompetensi dengan baik dalam hal</v>
      </c>
      <c r="AN52" s="23" t="s">
        <v>81</v>
      </c>
      <c r="AO52" s="23" t="s">
        <v>81</v>
      </c>
      <c r="AP52" s="23" t="s">
        <v>81</v>
      </c>
      <c r="AQ52" s="23">
        <v>1</v>
      </c>
      <c r="AR52" s="23" t="s">
        <v>82</v>
      </c>
      <c r="AS52" s="18" t="s">
        <v>83</v>
      </c>
      <c r="AT52" s="23" t="s">
        <v>86</v>
      </c>
      <c r="AU52" s="18" t="str">
        <f t="shared" si="20"/>
        <v>Sangat baik</v>
      </c>
      <c r="AV52" s="23">
        <v>2</v>
      </c>
      <c r="AW52" s="18" t="s">
        <v>99</v>
      </c>
      <c r="AX52" s="18" t="s">
        <v>83</v>
      </c>
      <c r="AY52" s="23" t="s">
        <v>84</v>
      </c>
      <c r="AZ52" s="18" t="str">
        <f t="shared" si="21"/>
        <v>Baik</v>
      </c>
      <c r="BA52" s="23"/>
      <c r="BB52" s="23"/>
      <c r="BC52" s="23"/>
      <c r="BD52" s="23"/>
      <c r="BE52" s="18"/>
      <c r="BG52" s="20"/>
      <c r="BH52" s="20"/>
      <c r="BN52" s="22">
        <f t="shared" si="16"/>
        <v>0</v>
      </c>
      <c r="BP52" s="115">
        <f t="shared" si="18"/>
        <v>79.961538461538467</v>
      </c>
      <c r="BQ52" s="22">
        <f t="shared" si="22"/>
        <v>17</v>
      </c>
    </row>
    <row r="53" spans="1:69" ht="24.95" customHeight="1" thickTop="1" thickBot="1" x14ac:dyDescent="0.3">
      <c r="A53" s="23">
        <v>52</v>
      </c>
      <c r="B53" s="23">
        <v>2525633</v>
      </c>
      <c r="C53" s="23" t="s">
        <v>951</v>
      </c>
      <c r="D53" s="18" t="s">
        <v>952</v>
      </c>
      <c r="E53" s="23" t="s">
        <v>920</v>
      </c>
      <c r="F53" s="23" t="s">
        <v>845</v>
      </c>
      <c r="G53" s="24" t="s">
        <v>921</v>
      </c>
      <c r="H53" s="24" t="s">
        <v>922</v>
      </c>
      <c r="I53" s="60" t="s">
        <v>76</v>
      </c>
      <c r="J53" s="61" t="s">
        <v>77</v>
      </c>
      <c r="K53" s="23">
        <v>80</v>
      </c>
      <c r="L53" s="23" t="str">
        <f t="shared" si="0"/>
        <v>Mencapai kompetensi dengan baik dalam hal</v>
      </c>
      <c r="M53" s="23">
        <v>76</v>
      </c>
      <c r="N53" s="23" t="str">
        <f t="shared" si="1"/>
        <v>Mencapai kompetensi dengan baik dalam hal</v>
      </c>
      <c r="O53" s="23">
        <v>80</v>
      </c>
      <c r="P53" s="23" t="str">
        <f t="shared" si="2"/>
        <v>Mencapai kompetensi dengan baik dalam hal</v>
      </c>
      <c r="Q53" s="23">
        <v>82</v>
      </c>
      <c r="R53" s="23" t="str">
        <f t="shared" si="3"/>
        <v>Mencapai kompetensi dengan baik dalam hal</v>
      </c>
      <c r="S53" s="23">
        <v>84</v>
      </c>
      <c r="T53" s="23" t="str">
        <f t="shared" si="4"/>
        <v>Mencapai kompetensi dengan baik dalam hal</v>
      </c>
      <c r="U53" s="23">
        <v>80</v>
      </c>
      <c r="V53" s="23" t="str">
        <f t="shared" si="5"/>
        <v>Mencapai kompetensi dengan baik dalam hal</v>
      </c>
      <c r="W53" s="23">
        <v>75</v>
      </c>
      <c r="X53" s="23" t="str">
        <f t="shared" si="6"/>
        <v>Mencapai kompetensi dengan baik dalam hal</v>
      </c>
      <c r="Y53" s="23">
        <v>79</v>
      </c>
      <c r="Z53" s="23" t="str">
        <f t="shared" si="7"/>
        <v>Mencapai kompetensi dengan baik dalam hal</v>
      </c>
      <c r="AA53" s="23">
        <v>84</v>
      </c>
      <c r="AB53" s="23" t="str">
        <f t="shared" si="8"/>
        <v>Mencapai kompetensi dengan baik dalam hal</v>
      </c>
      <c r="AC53" s="23">
        <v>83</v>
      </c>
      <c r="AD53" s="23" t="str">
        <f t="shared" si="9"/>
        <v>Mencapai kompetensi dengan baik dalam hal</v>
      </c>
      <c r="AE53" s="23">
        <v>80</v>
      </c>
      <c r="AF53" s="23" t="str">
        <f t="shared" si="10"/>
        <v>Mencapai kompetensi dengan baik dalam hal</v>
      </c>
      <c r="AG53" s="23">
        <v>81</v>
      </c>
      <c r="AH53" s="23" t="str">
        <f t="shared" si="11"/>
        <v>Mencapai kompetensi dengan baik dalam hal</v>
      </c>
      <c r="AI53" s="62">
        <f t="shared" si="17"/>
        <v>80.5</v>
      </c>
      <c r="AJ53" s="23">
        <v>84</v>
      </c>
      <c r="AK53" s="23" t="str">
        <f t="shared" si="12"/>
        <v>Mencapai kompetensi dengan baik dalam hal</v>
      </c>
      <c r="AL53" s="23">
        <v>78</v>
      </c>
      <c r="AM53" s="18" t="str">
        <f t="shared" si="13"/>
        <v>Mencapai kompetensi dengan baik dalam hal</v>
      </c>
      <c r="AN53" s="23" t="s">
        <v>81</v>
      </c>
      <c r="AO53" s="23" t="s">
        <v>81</v>
      </c>
      <c r="AP53" s="23" t="s">
        <v>81</v>
      </c>
      <c r="AQ53" s="23">
        <v>1</v>
      </c>
      <c r="AR53" s="23" t="s">
        <v>82</v>
      </c>
      <c r="AS53" s="18" t="s">
        <v>83</v>
      </c>
      <c r="AT53" s="23" t="s">
        <v>104</v>
      </c>
      <c r="AU53" s="18" t="str">
        <f t="shared" si="20"/>
        <v>Cukup</v>
      </c>
      <c r="AV53" s="23">
        <v>2</v>
      </c>
      <c r="AW53" s="18" t="s">
        <v>227</v>
      </c>
      <c r="AX53" s="18" t="s">
        <v>83</v>
      </c>
      <c r="AY53" s="23" t="s">
        <v>84</v>
      </c>
      <c r="AZ53" s="18" t="str">
        <f t="shared" si="21"/>
        <v>Baik</v>
      </c>
      <c r="BA53" s="23"/>
      <c r="BB53" s="23"/>
      <c r="BC53" s="23"/>
      <c r="BD53" s="23"/>
      <c r="BE53" s="18"/>
      <c r="BG53" s="20"/>
      <c r="BH53" s="20"/>
      <c r="BN53" s="22">
        <f t="shared" si="16"/>
        <v>0</v>
      </c>
      <c r="BP53" s="115">
        <f t="shared" si="18"/>
        <v>80.42307692307692</v>
      </c>
      <c r="BQ53" s="22">
        <f t="shared" si="22"/>
        <v>10</v>
      </c>
    </row>
    <row r="54" spans="1:69" ht="24.95" customHeight="1" thickTop="1" thickBot="1" x14ac:dyDescent="0.3">
      <c r="A54" s="23">
        <v>53</v>
      </c>
      <c r="B54" s="23">
        <v>2525634</v>
      </c>
      <c r="C54" s="23" t="s">
        <v>953</v>
      </c>
      <c r="D54" s="18" t="s">
        <v>954</v>
      </c>
      <c r="E54" s="23" t="s">
        <v>920</v>
      </c>
      <c r="F54" s="23" t="s">
        <v>845</v>
      </c>
      <c r="G54" s="24" t="s">
        <v>921</v>
      </c>
      <c r="H54" s="24" t="s">
        <v>922</v>
      </c>
      <c r="I54" s="60" t="s">
        <v>76</v>
      </c>
      <c r="J54" s="61" t="s">
        <v>77</v>
      </c>
      <c r="K54" s="23">
        <v>82</v>
      </c>
      <c r="L54" s="23" t="str">
        <f t="shared" si="0"/>
        <v>Mencapai kompetensi dengan baik dalam hal</v>
      </c>
      <c r="M54" s="23">
        <v>77</v>
      </c>
      <c r="N54" s="23" t="str">
        <f t="shared" si="1"/>
        <v>Mencapai kompetensi dengan baik dalam hal</v>
      </c>
      <c r="O54" s="23">
        <v>80</v>
      </c>
      <c r="P54" s="23" t="str">
        <f t="shared" si="2"/>
        <v>Mencapai kompetensi dengan baik dalam hal</v>
      </c>
      <c r="Q54" s="23">
        <v>83</v>
      </c>
      <c r="R54" s="23" t="str">
        <f t="shared" si="3"/>
        <v>Mencapai kompetensi dengan baik dalam hal</v>
      </c>
      <c r="S54" s="23">
        <v>76</v>
      </c>
      <c r="T54" s="23" t="str">
        <f t="shared" si="4"/>
        <v>Mencapai kompetensi dengan baik dalam hal</v>
      </c>
      <c r="U54" s="23">
        <v>81</v>
      </c>
      <c r="V54" s="23" t="str">
        <f t="shared" si="5"/>
        <v>Mencapai kompetensi dengan baik dalam hal</v>
      </c>
      <c r="W54" s="23">
        <v>75</v>
      </c>
      <c r="X54" s="23" t="str">
        <f t="shared" si="6"/>
        <v>Mencapai kompetensi dengan baik dalam hal</v>
      </c>
      <c r="Y54" s="23">
        <v>77</v>
      </c>
      <c r="Z54" s="23" t="str">
        <f t="shared" si="7"/>
        <v>Mencapai kompetensi dengan baik dalam hal</v>
      </c>
      <c r="AA54" s="23">
        <v>85</v>
      </c>
      <c r="AB54" s="23" t="str">
        <f t="shared" si="8"/>
        <v>Mencapai kompetensi dengan baik dalam hal</v>
      </c>
      <c r="AC54" s="23">
        <v>80</v>
      </c>
      <c r="AD54" s="23" t="str">
        <f t="shared" si="9"/>
        <v>Mencapai kompetensi dengan baik dalam hal</v>
      </c>
      <c r="AE54" s="23">
        <v>80</v>
      </c>
      <c r="AF54" s="23" t="str">
        <f t="shared" si="10"/>
        <v>Mencapai kompetensi dengan baik dalam hal</v>
      </c>
      <c r="AG54" s="23">
        <v>81</v>
      </c>
      <c r="AH54" s="23" t="str">
        <f t="shared" si="11"/>
        <v>Mencapai kompetensi dengan baik dalam hal</v>
      </c>
      <c r="AI54" s="62">
        <f t="shared" si="17"/>
        <v>80.5</v>
      </c>
      <c r="AJ54" s="23">
        <v>85</v>
      </c>
      <c r="AK54" s="23" t="str">
        <f t="shared" si="12"/>
        <v>Mencapai kompetensi dengan baik dalam hal</v>
      </c>
      <c r="AL54" s="23">
        <v>80</v>
      </c>
      <c r="AM54" s="18" t="str">
        <f t="shared" si="13"/>
        <v>Mencapai kompetensi dengan baik dalam hal</v>
      </c>
      <c r="AN54" s="23">
        <v>2</v>
      </c>
      <c r="AO54" s="23" t="s">
        <v>81</v>
      </c>
      <c r="AP54" s="23" t="s">
        <v>81</v>
      </c>
      <c r="AQ54" s="23">
        <v>1</v>
      </c>
      <c r="AR54" s="23" t="s">
        <v>82</v>
      </c>
      <c r="AS54" s="18" t="s">
        <v>83</v>
      </c>
      <c r="AT54" s="23" t="s">
        <v>86</v>
      </c>
      <c r="AU54" s="18" t="str">
        <f t="shared" si="20"/>
        <v>Sangat baik</v>
      </c>
      <c r="AV54" s="23">
        <v>2</v>
      </c>
      <c r="AW54" s="18" t="s">
        <v>212</v>
      </c>
      <c r="AX54" s="18" t="s">
        <v>83</v>
      </c>
      <c r="AY54" s="23" t="s">
        <v>84</v>
      </c>
      <c r="AZ54" s="18" t="str">
        <f t="shared" si="21"/>
        <v>Baik</v>
      </c>
      <c r="BA54" s="23"/>
      <c r="BB54" s="23"/>
      <c r="BC54" s="23"/>
      <c r="BD54" s="23"/>
      <c r="BE54" s="18"/>
      <c r="BG54" s="20"/>
      <c r="BH54" s="20"/>
      <c r="BN54" s="22">
        <f t="shared" si="16"/>
        <v>0</v>
      </c>
      <c r="BP54" s="115">
        <f t="shared" si="18"/>
        <v>80.115384615384613</v>
      </c>
      <c r="BQ54" s="22">
        <f t="shared" si="22"/>
        <v>14</v>
      </c>
    </row>
    <row r="55" spans="1:69" ht="24.95" customHeight="1" thickTop="1" thickBot="1" x14ac:dyDescent="0.3">
      <c r="A55" s="23">
        <v>54</v>
      </c>
      <c r="B55" s="23">
        <v>2525635</v>
      </c>
      <c r="C55" s="23" t="s">
        <v>955</v>
      </c>
      <c r="D55" s="18" t="s">
        <v>956</v>
      </c>
      <c r="E55" s="23" t="s">
        <v>920</v>
      </c>
      <c r="F55" s="23" t="s">
        <v>845</v>
      </c>
      <c r="G55" s="24" t="s">
        <v>921</v>
      </c>
      <c r="H55" s="24" t="s">
        <v>922</v>
      </c>
      <c r="I55" s="60" t="s">
        <v>76</v>
      </c>
      <c r="J55" s="61" t="s">
        <v>77</v>
      </c>
      <c r="K55" s="23">
        <v>79</v>
      </c>
      <c r="L55" s="23" t="str">
        <f t="shared" si="0"/>
        <v>Mencapai kompetensi dengan baik dalam hal</v>
      </c>
      <c r="M55" s="23">
        <v>76</v>
      </c>
      <c r="N55" s="23" t="str">
        <f t="shared" si="1"/>
        <v>Mencapai kompetensi dengan baik dalam hal</v>
      </c>
      <c r="O55" s="23">
        <v>79</v>
      </c>
      <c r="P55" s="23" t="str">
        <f t="shared" si="2"/>
        <v>Mencapai kompetensi dengan baik dalam hal</v>
      </c>
      <c r="Q55" s="23">
        <v>79</v>
      </c>
      <c r="R55" s="23" t="str">
        <f t="shared" si="3"/>
        <v>Mencapai kompetensi dengan baik dalam hal</v>
      </c>
      <c r="S55" s="23">
        <v>78</v>
      </c>
      <c r="T55" s="23" t="str">
        <f t="shared" si="4"/>
        <v>Mencapai kompetensi dengan baik dalam hal</v>
      </c>
      <c r="U55" s="23">
        <v>78</v>
      </c>
      <c r="V55" s="23" t="str">
        <f t="shared" si="5"/>
        <v>Mencapai kompetensi dengan baik dalam hal</v>
      </c>
      <c r="W55" s="23">
        <v>75</v>
      </c>
      <c r="X55" s="23" t="str">
        <f t="shared" si="6"/>
        <v>Mencapai kompetensi dengan baik dalam hal</v>
      </c>
      <c r="Y55" s="23">
        <v>80</v>
      </c>
      <c r="Z55" s="23" t="str">
        <f t="shared" si="7"/>
        <v>Mencapai kompetensi dengan baik dalam hal</v>
      </c>
      <c r="AA55" s="23">
        <v>83</v>
      </c>
      <c r="AB55" s="23" t="str">
        <f t="shared" si="8"/>
        <v>Mencapai kompetensi dengan baik dalam hal</v>
      </c>
      <c r="AC55" s="23">
        <v>80</v>
      </c>
      <c r="AD55" s="23" t="str">
        <f t="shared" si="9"/>
        <v>Mencapai kompetensi dengan baik dalam hal</v>
      </c>
      <c r="AE55" s="23">
        <v>80</v>
      </c>
      <c r="AF55" s="23" t="str">
        <f t="shared" si="10"/>
        <v>Mencapai kompetensi dengan baik dalam hal</v>
      </c>
      <c r="AG55" s="23">
        <v>81</v>
      </c>
      <c r="AH55" s="23" t="str">
        <f t="shared" si="11"/>
        <v>Mencapai kompetensi dengan baik dalam hal</v>
      </c>
      <c r="AI55" s="62">
        <f t="shared" si="17"/>
        <v>80.5</v>
      </c>
      <c r="AJ55" s="23">
        <v>83</v>
      </c>
      <c r="AK55" s="23" t="str">
        <f t="shared" si="12"/>
        <v>Mencapai kompetensi dengan baik dalam hal</v>
      </c>
      <c r="AL55" s="23">
        <v>79</v>
      </c>
      <c r="AM55" s="18" t="str">
        <f t="shared" si="13"/>
        <v>Mencapai kompetensi dengan baik dalam hal</v>
      </c>
      <c r="AN55" s="23">
        <v>2</v>
      </c>
      <c r="AO55" s="23" t="s">
        <v>81</v>
      </c>
      <c r="AP55" s="23" t="s">
        <v>81</v>
      </c>
      <c r="AQ55" s="23">
        <v>1</v>
      </c>
      <c r="AR55" s="23" t="s">
        <v>82</v>
      </c>
      <c r="AS55" s="18" t="s">
        <v>83</v>
      </c>
      <c r="AT55" s="23" t="s">
        <v>84</v>
      </c>
      <c r="AU55" s="18" t="str">
        <f t="shared" si="20"/>
        <v>Baik</v>
      </c>
      <c r="AV55" s="23">
        <v>2</v>
      </c>
      <c r="AW55" s="18" t="s">
        <v>429</v>
      </c>
      <c r="AX55" s="18" t="s">
        <v>83</v>
      </c>
      <c r="AY55" s="23" t="s">
        <v>86</v>
      </c>
      <c r="AZ55" s="18" t="str">
        <f t="shared" si="21"/>
        <v>Sangat baik</v>
      </c>
      <c r="BA55" s="23"/>
      <c r="BB55" s="23"/>
      <c r="BC55" s="23"/>
      <c r="BD55" s="23"/>
      <c r="BE55" s="18"/>
      <c r="BG55" s="20"/>
      <c r="BH55" s="20"/>
      <c r="BN55" s="22">
        <f t="shared" si="16"/>
        <v>0</v>
      </c>
      <c r="BP55" s="115">
        <f t="shared" si="18"/>
        <v>79.192307692307693</v>
      </c>
      <c r="BQ55" s="22">
        <f t="shared" si="22"/>
        <v>24</v>
      </c>
    </row>
    <row r="56" spans="1:69" ht="24.95" customHeight="1" thickTop="1" thickBot="1" x14ac:dyDescent="0.3">
      <c r="A56" s="23">
        <v>55</v>
      </c>
      <c r="B56" s="23">
        <v>2525636</v>
      </c>
      <c r="C56" s="23" t="s">
        <v>957</v>
      </c>
      <c r="D56" s="18" t="s">
        <v>958</v>
      </c>
      <c r="E56" s="23" t="s">
        <v>920</v>
      </c>
      <c r="F56" s="23" t="s">
        <v>845</v>
      </c>
      <c r="G56" s="24" t="s">
        <v>921</v>
      </c>
      <c r="H56" s="24" t="s">
        <v>922</v>
      </c>
      <c r="I56" s="60" t="s">
        <v>76</v>
      </c>
      <c r="J56" s="61" t="s">
        <v>77</v>
      </c>
      <c r="K56" s="23">
        <v>80</v>
      </c>
      <c r="L56" s="23" t="str">
        <f t="shared" si="0"/>
        <v>Mencapai kompetensi dengan baik dalam hal</v>
      </c>
      <c r="M56" s="23">
        <v>76</v>
      </c>
      <c r="N56" s="23" t="str">
        <f t="shared" si="1"/>
        <v>Mencapai kompetensi dengan baik dalam hal</v>
      </c>
      <c r="O56" s="23">
        <v>80</v>
      </c>
      <c r="P56" s="23" t="str">
        <f t="shared" si="2"/>
        <v>Mencapai kompetensi dengan baik dalam hal</v>
      </c>
      <c r="Q56" s="23">
        <v>79</v>
      </c>
      <c r="R56" s="23" t="str">
        <f t="shared" si="3"/>
        <v>Mencapai kompetensi dengan baik dalam hal</v>
      </c>
      <c r="S56" s="23">
        <v>76</v>
      </c>
      <c r="T56" s="23" t="str">
        <f t="shared" si="4"/>
        <v>Mencapai kompetensi dengan baik dalam hal</v>
      </c>
      <c r="U56" s="23">
        <v>79</v>
      </c>
      <c r="V56" s="23" t="str">
        <f t="shared" si="5"/>
        <v>Mencapai kompetensi dengan baik dalam hal</v>
      </c>
      <c r="W56" s="23">
        <v>75</v>
      </c>
      <c r="X56" s="23" t="str">
        <f t="shared" si="6"/>
        <v>Mencapai kompetensi dengan baik dalam hal</v>
      </c>
      <c r="Y56" s="23">
        <v>77</v>
      </c>
      <c r="Z56" s="23" t="str">
        <f t="shared" si="7"/>
        <v>Mencapai kompetensi dengan baik dalam hal</v>
      </c>
      <c r="AA56" s="23">
        <v>83</v>
      </c>
      <c r="AB56" s="23" t="str">
        <f t="shared" si="8"/>
        <v>Mencapai kompetensi dengan baik dalam hal</v>
      </c>
      <c r="AC56" s="23">
        <v>80</v>
      </c>
      <c r="AD56" s="23" t="str">
        <f t="shared" si="9"/>
        <v>Mencapai kompetensi dengan baik dalam hal</v>
      </c>
      <c r="AE56" s="23">
        <v>77</v>
      </c>
      <c r="AF56" s="23" t="str">
        <f t="shared" si="10"/>
        <v>Mencapai kompetensi dengan baik dalam hal</v>
      </c>
      <c r="AG56" s="23">
        <v>78</v>
      </c>
      <c r="AH56" s="23" t="str">
        <f t="shared" si="11"/>
        <v>Mencapai kompetensi dengan baik dalam hal</v>
      </c>
      <c r="AI56" s="62">
        <f t="shared" si="17"/>
        <v>77.5</v>
      </c>
      <c r="AJ56" s="23">
        <v>83</v>
      </c>
      <c r="AK56" s="23" t="str">
        <f t="shared" si="12"/>
        <v>Mencapai kompetensi dengan baik dalam hal</v>
      </c>
      <c r="AL56" s="23">
        <v>78</v>
      </c>
      <c r="AM56" s="18" t="str">
        <f t="shared" si="13"/>
        <v>Mencapai kompetensi dengan baik dalam hal</v>
      </c>
      <c r="AN56" s="23" t="s">
        <v>81</v>
      </c>
      <c r="AO56" s="23" t="s">
        <v>81</v>
      </c>
      <c r="AP56" s="23" t="s">
        <v>81</v>
      </c>
      <c r="AQ56" s="23">
        <v>1</v>
      </c>
      <c r="AR56" s="23" t="s">
        <v>82</v>
      </c>
      <c r="AS56" s="18" t="s">
        <v>83</v>
      </c>
      <c r="AT56" s="23" t="s">
        <v>86</v>
      </c>
      <c r="AU56" s="18" t="str">
        <f t="shared" si="20"/>
        <v>Sangat baik</v>
      </c>
      <c r="AV56" s="23">
        <v>2</v>
      </c>
      <c r="AW56" s="18" t="s">
        <v>108</v>
      </c>
      <c r="AX56" s="18" t="s">
        <v>83</v>
      </c>
      <c r="AY56" s="23" t="s">
        <v>86</v>
      </c>
      <c r="AZ56" s="18" t="str">
        <f t="shared" si="21"/>
        <v>Sangat baik</v>
      </c>
      <c r="BA56" s="23"/>
      <c r="BB56" s="23"/>
      <c r="BC56" s="23"/>
      <c r="BD56" s="23"/>
      <c r="BE56" s="18"/>
      <c r="BG56" s="20"/>
      <c r="BH56" s="20"/>
      <c r="BN56" s="22">
        <f t="shared" si="16"/>
        <v>0</v>
      </c>
      <c r="BP56" s="115">
        <f t="shared" si="18"/>
        <v>78.730769230769226</v>
      </c>
      <c r="BQ56" s="22">
        <f t="shared" si="22"/>
        <v>33</v>
      </c>
    </row>
    <row r="57" spans="1:69" ht="24.95" customHeight="1" thickTop="1" thickBot="1" x14ac:dyDescent="0.3">
      <c r="A57" s="23">
        <v>56</v>
      </c>
      <c r="B57" s="23">
        <v>2525637</v>
      </c>
      <c r="C57" s="23" t="s">
        <v>959</v>
      </c>
      <c r="D57" s="18" t="s">
        <v>960</v>
      </c>
      <c r="E57" s="23" t="s">
        <v>920</v>
      </c>
      <c r="F57" s="23" t="s">
        <v>845</v>
      </c>
      <c r="G57" s="24" t="s">
        <v>921</v>
      </c>
      <c r="H57" s="24" t="s">
        <v>922</v>
      </c>
      <c r="I57" s="60" t="s">
        <v>76</v>
      </c>
      <c r="J57" s="61" t="s">
        <v>77</v>
      </c>
      <c r="K57" s="23">
        <v>79</v>
      </c>
      <c r="L57" s="23" t="str">
        <f t="shared" si="0"/>
        <v>Mencapai kompetensi dengan baik dalam hal</v>
      </c>
      <c r="M57" s="23">
        <v>80</v>
      </c>
      <c r="N57" s="23" t="str">
        <f t="shared" si="1"/>
        <v>Mencapai kompetensi dengan baik dalam hal</v>
      </c>
      <c r="O57" s="23">
        <v>81</v>
      </c>
      <c r="P57" s="23" t="str">
        <f t="shared" si="2"/>
        <v>Mencapai kompetensi dengan baik dalam hal</v>
      </c>
      <c r="Q57" s="23">
        <v>80</v>
      </c>
      <c r="R57" s="23" t="str">
        <f t="shared" si="3"/>
        <v>Mencapai kompetensi dengan baik dalam hal</v>
      </c>
      <c r="S57" s="23">
        <v>80</v>
      </c>
      <c r="T57" s="23" t="str">
        <f t="shared" si="4"/>
        <v>Mencapai kompetensi dengan baik dalam hal</v>
      </c>
      <c r="U57" s="23">
        <v>86</v>
      </c>
      <c r="V57" s="23" t="str">
        <f t="shared" si="5"/>
        <v>Mencapai kompetensi dengan baik dalam hal</v>
      </c>
      <c r="W57" s="23">
        <v>75</v>
      </c>
      <c r="X57" s="23" t="str">
        <f t="shared" si="6"/>
        <v>Mencapai kompetensi dengan baik dalam hal</v>
      </c>
      <c r="Y57" s="23">
        <v>79</v>
      </c>
      <c r="Z57" s="23" t="str">
        <f t="shared" si="7"/>
        <v>Mencapai kompetensi dengan baik dalam hal</v>
      </c>
      <c r="AA57" s="23">
        <v>83</v>
      </c>
      <c r="AB57" s="23" t="str">
        <f t="shared" si="8"/>
        <v>Mencapai kompetensi dengan baik dalam hal</v>
      </c>
      <c r="AC57" s="23">
        <v>86</v>
      </c>
      <c r="AD57" s="23" t="str">
        <f t="shared" si="9"/>
        <v>Mencapai kompetensi dengan baik dalam hal</v>
      </c>
      <c r="AE57" s="23">
        <v>79</v>
      </c>
      <c r="AF57" s="23" t="str">
        <f t="shared" si="10"/>
        <v>Mencapai kompetensi dengan baik dalam hal</v>
      </c>
      <c r="AG57" s="23">
        <v>80</v>
      </c>
      <c r="AH57" s="23" t="str">
        <f t="shared" si="11"/>
        <v>Mencapai kompetensi dengan baik dalam hal</v>
      </c>
      <c r="AI57" s="62">
        <f t="shared" si="17"/>
        <v>79.5</v>
      </c>
      <c r="AJ57" s="23">
        <v>83</v>
      </c>
      <c r="AK57" s="23" t="str">
        <f t="shared" si="12"/>
        <v>Mencapai kompetensi dengan baik dalam hal</v>
      </c>
      <c r="AL57" s="23">
        <v>79</v>
      </c>
      <c r="AM57" s="18" t="str">
        <f t="shared" si="13"/>
        <v>Mencapai kompetensi dengan baik dalam hal</v>
      </c>
      <c r="AN57" s="23" t="s">
        <v>81</v>
      </c>
      <c r="AO57" s="23" t="s">
        <v>81</v>
      </c>
      <c r="AP57" s="23" t="s">
        <v>81</v>
      </c>
      <c r="AQ57" s="23">
        <v>1</v>
      </c>
      <c r="AR57" s="23" t="s">
        <v>82</v>
      </c>
      <c r="AS57" s="18" t="s">
        <v>83</v>
      </c>
      <c r="AT57" s="23" t="s">
        <v>86</v>
      </c>
      <c r="AU57" s="18" t="str">
        <f t="shared" si="20"/>
        <v>Sangat baik</v>
      </c>
      <c r="AV57" s="23">
        <v>2</v>
      </c>
      <c r="AW57" s="18" t="s">
        <v>162</v>
      </c>
      <c r="AX57" s="18" t="s">
        <v>83</v>
      </c>
      <c r="AY57" s="23" t="s">
        <v>86</v>
      </c>
      <c r="AZ57" s="18" t="str">
        <f t="shared" si="21"/>
        <v>Sangat baik</v>
      </c>
      <c r="BA57" s="23"/>
      <c r="BB57" s="23"/>
      <c r="BC57" s="23"/>
      <c r="BD57" s="23"/>
      <c r="BE57" s="18"/>
      <c r="BG57" s="20"/>
      <c r="BH57" s="20"/>
      <c r="BN57" s="22">
        <f t="shared" si="16"/>
        <v>0</v>
      </c>
      <c r="BP57" s="115">
        <f t="shared" si="18"/>
        <v>80.807692307692307</v>
      </c>
      <c r="BQ57" s="22">
        <f t="shared" si="22"/>
        <v>4</v>
      </c>
    </row>
    <row r="58" spans="1:69" ht="24.95" customHeight="1" thickTop="1" thickBot="1" x14ac:dyDescent="0.3">
      <c r="A58" s="23">
        <v>57</v>
      </c>
      <c r="B58" s="23">
        <v>2525638</v>
      </c>
      <c r="C58" s="23" t="s">
        <v>961</v>
      </c>
      <c r="D58" s="18" t="s">
        <v>962</v>
      </c>
      <c r="E58" s="23" t="s">
        <v>920</v>
      </c>
      <c r="F58" s="23" t="s">
        <v>845</v>
      </c>
      <c r="G58" s="24" t="s">
        <v>921</v>
      </c>
      <c r="H58" s="24" t="s">
        <v>922</v>
      </c>
      <c r="I58" s="60" t="s">
        <v>76</v>
      </c>
      <c r="J58" s="61" t="s">
        <v>77</v>
      </c>
      <c r="K58" s="23">
        <v>80</v>
      </c>
      <c r="L58" s="23" t="str">
        <f t="shared" si="0"/>
        <v>Mencapai kompetensi dengan baik dalam hal</v>
      </c>
      <c r="M58" s="23">
        <v>79</v>
      </c>
      <c r="N58" s="23" t="str">
        <f t="shared" si="1"/>
        <v>Mencapai kompetensi dengan baik dalam hal</v>
      </c>
      <c r="O58" s="23">
        <v>81</v>
      </c>
      <c r="P58" s="23" t="str">
        <f t="shared" si="2"/>
        <v>Mencapai kompetensi dengan baik dalam hal</v>
      </c>
      <c r="Q58" s="23">
        <v>79</v>
      </c>
      <c r="R58" s="23" t="str">
        <f t="shared" si="3"/>
        <v>Mencapai kompetensi dengan baik dalam hal</v>
      </c>
      <c r="S58" s="23">
        <v>80</v>
      </c>
      <c r="T58" s="23" t="str">
        <f t="shared" si="4"/>
        <v>Mencapai kompetensi dengan baik dalam hal</v>
      </c>
      <c r="U58" s="23">
        <v>81</v>
      </c>
      <c r="V58" s="23" t="str">
        <f t="shared" si="5"/>
        <v>Mencapai kompetensi dengan baik dalam hal</v>
      </c>
      <c r="W58" s="23">
        <v>78</v>
      </c>
      <c r="X58" s="23" t="str">
        <f t="shared" si="6"/>
        <v>Mencapai kompetensi dengan baik dalam hal</v>
      </c>
      <c r="Y58" s="23">
        <v>77</v>
      </c>
      <c r="Z58" s="23" t="str">
        <f t="shared" si="7"/>
        <v>Mencapai kompetensi dengan baik dalam hal</v>
      </c>
      <c r="AA58" s="23">
        <v>79</v>
      </c>
      <c r="AB58" s="23" t="str">
        <f t="shared" si="8"/>
        <v>Mencapai kompetensi dengan baik dalam hal</v>
      </c>
      <c r="AC58" s="23">
        <v>82</v>
      </c>
      <c r="AD58" s="23" t="str">
        <f t="shared" si="9"/>
        <v>Mencapai kompetensi dengan baik dalam hal</v>
      </c>
      <c r="AE58" s="23">
        <v>78</v>
      </c>
      <c r="AF58" s="23" t="str">
        <f t="shared" si="10"/>
        <v>Mencapai kompetensi dengan baik dalam hal</v>
      </c>
      <c r="AG58" s="23">
        <v>79</v>
      </c>
      <c r="AH58" s="23" t="str">
        <f t="shared" si="11"/>
        <v>Mencapai kompetensi dengan baik dalam hal</v>
      </c>
      <c r="AI58" s="62">
        <f t="shared" si="17"/>
        <v>78.5</v>
      </c>
      <c r="AJ58" s="23">
        <v>79</v>
      </c>
      <c r="AK58" s="23" t="str">
        <f t="shared" si="12"/>
        <v>Mencapai kompetensi dengan baik dalam hal</v>
      </c>
      <c r="AL58" s="23">
        <v>80</v>
      </c>
      <c r="AM58" s="18" t="str">
        <f t="shared" si="13"/>
        <v>Mencapai kompetensi dengan baik dalam hal</v>
      </c>
      <c r="AN58" s="23">
        <v>1</v>
      </c>
      <c r="AO58" s="23" t="s">
        <v>81</v>
      </c>
      <c r="AP58" s="23" t="s">
        <v>81</v>
      </c>
      <c r="AQ58" s="23">
        <v>1</v>
      </c>
      <c r="AR58" s="23" t="s">
        <v>82</v>
      </c>
      <c r="AS58" s="18" t="s">
        <v>83</v>
      </c>
      <c r="AT58" s="23" t="s">
        <v>84</v>
      </c>
      <c r="AU58" s="18" t="str">
        <f t="shared" si="20"/>
        <v>Baik</v>
      </c>
      <c r="AV58" s="23">
        <v>2</v>
      </c>
      <c r="AW58" s="18" t="s">
        <v>170</v>
      </c>
      <c r="AX58" s="18" t="s">
        <v>83</v>
      </c>
      <c r="AY58" s="23" t="s">
        <v>84</v>
      </c>
      <c r="AZ58" s="18" t="str">
        <f t="shared" si="21"/>
        <v>Baik</v>
      </c>
      <c r="BA58" s="23"/>
      <c r="BB58" s="23"/>
      <c r="BC58" s="23"/>
      <c r="BD58" s="23"/>
      <c r="BE58" s="18"/>
      <c r="BG58" s="20"/>
      <c r="BH58" s="20"/>
      <c r="BN58" s="22">
        <f t="shared" si="16"/>
        <v>0</v>
      </c>
      <c r="BP58" s="115">
        <f t="shared" si="18"/>
        <v>79.5</v>
      </c>
      <c r="BQ58" s="22">
        <f t="shared" si="22"/>
        <v>21</v>
      </c>
    </row>
    <row r="59" spans="1:69" ht="24.95" customHeight="1" thickTop="1" thickBot="1" x14ac:dyDescent="0.3">
      <c r="A59" s="23">
        <v>58</v>
      </c>
      <c r="B59" s="23">
        <v>2525639</v>
      </c>
      <c r="C59" s="23" t="s">
        <v>963</v>
      </c>
      <c r="D59" s="18" t="s">
        <v>964</v>
      </c>
      <c r="E59" s="23" t="s">
        <v>920</v>
      </c>
      <c r="F59" s="23" t="s">
        <v>845</v>
      </c>
      <c r="G59" s="24" t="s">
        <v>921</v>
      </c>
      <c r="H59" s="24" t="s">
        <v>922</v>
      </c>
      <c r="I59" s="60" t="s">
        <v>76</v>
      </c>
      <c r="J59" s="61" t="s">
        <v>77</v>
      </c>
      <c r="K59" s="23">
        <v>80</v>
      </c>
      <c r="L59" s="23" t="str">
        <f t="shared" si="0"/>
        <v>Mencapai kompetensi dengan baik dalam hal</v>
      </c>
      <c r="M59" s="23">
        <v>77</v>
      </c>
      <c r="N59" s="23" t="str">
        <f t="shared" si="1"/>
        <v>Mencapai kompetensi dengan baik dalam hal</v>
      </c>
      <c r="O59" s="23">
        <v>81</v>
      </c>
      <c r="P59" s="23" t="str">
        <f t="shared" si="2"/>
        <v>Mencapai kompetensi dengan baik dalam hal</v>
      </c>
      <c r="Q59" s="23">
        <v>83</v>
      </c>
      <c r="R59" s="23" t="str">
        <f t="shared" si="3"/>
        <v>Mencapai kompetensi dengan baik dalam hal</v>
      </c>
      <c r="S59" s="23">
        <v>75</v>
      </c>
      <c r="T59" s="23" t="str">
        <f t="shared" si="4"/>
        <v>Mencapai kompetensi dengan baik dalam hal</v>
      </c>
      <c r="U59" s="23">
        <v>82</v>
      </c>
      <c r="V59" s="23" t="str">
        <f t="shared" si="5"/>
        <v>Mencapai kompetensi dengan baik dalam hal</v>
      </c>
      <c r="W59" s="23">
        <v>75</v>
      </c>
      <c r="X59" s="23" t="str">
        <f t="shared" si="6"/>
        <v>Mencapai kompetensi dengan baik dalam hal</v>
      </c>
      <c r="Y59" s="23">
        <v>77</v>
      </c>
      <c r="Z59" s="23" t="str">
        <f t="shared" si="7"/>
        <v>Mencapai kompetensi dengan baik dalam hal</v>
      </c>
      <c r="AA59" s="23">
        <v>82</v>
      </c>
      <c r="AB59" s="23" t="str">
        <f t="shared" si="8"/>
        <v>Mencapai kompetensi dengan baik dalam hal</v>
      </c>
      <c r="AC59" s="23">
        <v>82</v>
      </c>
      <c r="AD59" s="23" t="str">
        <f t="shared" si="9"/>
        <v>Mencapai kompetensi dengan baik dalam hal</v>
      </c>
      <c r="AE59" s="23">
        <v>83</v>
      </c>
      <c r="AF59" s="23" t="str">
        <f t="shared" si="10"/>
        <v>Mencapai kompetensi dengan baik dalam hal</v>
      </c>
      <c r="AG59" s="23">
        <v>84</v>
      </c>
      <c r="AH59" s="23" t="str">
        <f t="shared" si="11"/>
        <v>Mencapai kompetensi dengan baik dalam hal</v>
      </c>
      <c r="AI59" s="62">
        <f t="shared" si="17"/>
        <v>83.5</v>
      </c>
      <c r="AJ59" s="23">
        <v>82</v>
      </c>
      <c r="AK59" s="23" t="str">
        <f t="shared" si="12"/>
        <v>Mencapai kompetensi dengan baik dalam hal</v>
      </c>
      <c r="AL59" s="23">
        <v>80</v>
      </c>
      <c r="AM59" s="18" t="str">
        <f t="shared" si="13"/>
        <v>Mencapai kompetensi dengan baik dalam hal</v>
      </c>
      <c r="AN59" s="23" t="s">
        <v>81</v>
      </c>
      <c r="AO59" s="23" t="s">
        <v>81</v>
      </c>
      <c r="AP59" s="23" t="s">
        <v>81</v>
      </c>
      <c r="AQ59" s="23">
        <v>1</v>
      </c>
      <c r="AR59" s="23" t="s">
        <v>82</v>
      </c>
      <c r="AS59" s="18" t="s">
        <v>83</v>
      </c>
      <c r="AT59" s="23" t="s">
        <v>84</v>
      </c>
      <c r="AU59" s="18" t="str">
        <f t="shared" si="20"/>
        <v>Baik</v>
      </c>
      <c r="AV59" s="23">
        <v>2</v>
      </c>
      <c r="AW59" s="18" t="s">
        <v>170</v>
      </c>
      <c r="AX59" s="18" t="s">
        <v>83</v>
      </c>
      <c r="AY59" s="23" t="s">
        <v>84</v>
      </c>
      <c r="AZ59" s="18" t="str">
        <f t="shared" si="21"/>
        <v>Baik</v>
      </c>
      <c r="BA59" s="23"/>
      <c r="BB59" s="23"/>
      <c r="BC59" s="23"/>
      <c r="BD59" s="23"/>
      <c r="BE59" s="18"/>
      <c r="BG59" s="20"/>
      <c r="BH59" s="20"/>
      <c r="BN59" s="22">
        <f t="shared" si="16"/>
        <v>0</v>
      </c>
      <c r="BP59" s="115">
        <f t="shared" si="18"/>
        <v>79.961538461538467</v>
      </c>
      <c r="BQ59" s="22">
        <f t="shared" si="22"/>
        <v>17</v>
      </c>
    </row>
    <row r="60" spans="1:69" ht="24.95" customHeight="1" thickTop="1" thickBot="1" x14ac:dyDescent="0.3">
      <c r="A60" s="23">
        <v>59</v>
      </c>
      <c r="B60" s="23">
        <v>2525640</v>
      </c>
      <c r="C60" s="23" t="s">
        <v>965</v>
      </c>
      <c r="D60" s="18" t="s">
        <v>966</v>
      </c>
      <c r="E60" s="23" t="s">
        <v>920</v>
      </c>
      <c r="F60" s="23" t="s">
        <v>845</v>
      </c>
      <c r="G60" s="24" t="s">
        <v>921</v>
      </c>
      <c r="H60" s="24" t="s">
        <v>922</v>
      </c>
      <c r="I60" s="60" t="s">
        <v>76</v>
      </c>
      <c r="J60" s="61" t="s">
        <v>77</v>
      </c>
      <c r="K60" s="23">
        <v>78</v>
      </c>
      <c r="L60" s="23" t="str">
        <f t="shared" si="0"/>
        <v>Mencapai kompetensi dengan baik dalam hal</v>
      </c>
      <c r="M60" s="23">
        <v>80</v>
      </c>
      <c r="N60" s="23" t="str">
        <f t="shared" si="1"/>
        <v>Mencapai kompetensi dengan baik dalam hal</v>
      </c>
      <c r="O60" s="23">
        <v>79</v>
      </c>
      <c r="P60" s="23" t="str">
        <f t="shared" si="2"/>
        <v>Mencapai kompetensi dengan baik dalam hal</v>
      </c>
      <c r="Q60" s="23">
        <v>81</v>
      </c>
      <c r="R60" s="23" t="str">
        <f t="shared" si="3"/>
        <v>Mencapai kompetensi dengan baik dalam hal</v>
      </c>
      <c r="S60" s="23">
        <v>81</v>
      </c>
      <c r="T60" s="23" t="str">
        <f t="shared" si="4"/>
        <v>Mencapai kompetensi dengan baik dalam hal</v>
      </c>
      <c r="U60" s="23">
        <v>80</v>
      </c>
      <c r="V60" s="23" t="str">
        <f t="shared" si="5"/>
        <v>Mencapai kompetensi dengan baik dalam hal</v>
      </c>
      <c r="W60" s="23">
        <v>77</v>
      </c>
      <c r="X60" s="23" t="str">
        <f t="shared" si="6"/>
        <v>Mencapai kompetensi dengan baik dalam hal</v>
      </c>
      <c r="Y60" s="23">
        <v>82</v>
      </c>
      <c r="Z60" s="23" t="str">
        <f t="shared" si="7"/>
        <v>Mencapai kompetensi dengan baik dalam hal</v>
      </c>
      <c r="AA60" s="23">
        <v>86</v>
      </c>
      <c r="AB60" s="23" t="str">
        <f t="shared" si="8"/>
        <v>Mencapai kompetensi dengan baik dalam hal</v>
      </c>
      <c r="AC60" s="23">
        <v>86</v>
      </c>
      <c r="AD60" s="23" t="str">
        <f t="shared" si="9"/>
        <v>Mencapai kompetensi dengan baik dalam hal</v>
      </c>
      <c r="AE60" s="23">
        <v>79</v>
      </c>
      <c r="AF60" s="23" t="str">
        <f t="shared" si="10"/>
        <v>Mencapai kompetensi dengan baik dalam hal</v>
      </c>
      <c r="AG60" s="23">
        <v>80</v>
      </c>
      <c r="AH60" s="23" t="str">
        <f t="shared" si="11"/>
        <v>Mencapai kompetensi dengan baik dalam hal</v>
      </c>
      <c r="AI60" s="62">
        <f t="shared" si="17"/>
        <v>79.5</v>
      </c>
      <c r="AJ60" s="23">
        <v>86</v>
      </c>
      <c r="AK60" s="23" t="str">
        <f t="shared" si="12"/>
        <v>Mencapai kompetensi dengan baik dalam hal</v>
      </c>
      <c r="AL60" s="23">
        <v>79</v>
      </c>
      <c r="AM60" s="18" t="str">
        <f t="shared" si="13"/>
        <v>Mencapai kompetensi dengan baik dalam hal</v>
      </c>
      <c r="AN60" s="23">
        <v>2</v>
      </c>
      <c r="AO60" s="23" t="s">
        <v>81</v>
      </c>
      <c r="AP60" s="23" t="s">
        <v>81</v>
      </c>
      <c r="AQ60" s="23">
        <v>1</v>
      </c>
      <c r="AR60" s="23" t="s">
        <v>82</v>
      </c>
      <c r="AS60" s="18" t="s">
        <v>83</v>
      </c>
      <c r="AT60" s="23" t="s">
        <v>86</v>
      </c>
      <c r="AU60" s="18" t="str">
        <f t="shared" si="20"/>
        <v>Sangat baik</v>
      </c>
      <c r="AV60" s="23">
        <v>2</v>
      </c>
      <c r="AW60" s="18" t="s">
        <v>99</v>
      </c>
      <c r="AX60" s="18" t="s">
        <v>83</v>
      </c>
      <c r="AY60" s="23" t="s">
        <v>84</v>
      </c>
      <c r="AZ60" s="18" t="str">
        <f t="shared" si="21"/>
        <v>Baik</v>
      </c>
      <c r="BA60" s="23"/>
      <c r="BB60" s="23"/>
      <c r="BC60" s="23"/>
      <c r="BD60" s="23"/>
      <c r="BE60" s="18"/>
      <c r="BG60" s="20"/>
      <c r="BH60" s="20"/>
      <c r="BN60" s="22">
        <f t="shared" si="16"/>
        <v>0</v>
      </c>
      <c r="BP60" s="115">
        <f t="shared" si="18"/>
        <v>81.115384615384613</v>
      </c>
      <c r="BQ60" s="22">
        <f t="shared" si="22"/>
        <v>2</v>
      </c>
    </row>
    <row r="61" spans="1:69" ht="24.95" customHeight="1" thickTop="1" thickBot="1" x14ac:dyDescent="0.3">
      <c r="A61" s="23">
        <v>60</v>
      </c>
      <c r="B61" s="23">
        <v>2525641</v>
      </c>
      <c r="C61" s="23" t="s">
        <v>967</v>
      </c>
      <c r="D61" s="18" t="s">
        <v>968</v>
      </c>
      <c r="E61" s="23" t="s">
        <v>920</v>
      </c>
      <c r="F61" s="23" t="s">
        <v>845</v>
      </c>
      <c r="G61" s="24" t="s">
        <v>921</v>
      </c>
      <c r="H61" s="24" t="s">
        <v>922</v>
      </c>
      <c r="I61" s="60" t="s">
        <v>76</v>
      </c>
      <c r="J61" s="61" t="s">
        <v>77</v>
      </c>
      <c r="K61" s="23">
        <v>77</v>
      </c>
      <c r="L61" s="23" t="str">
        <f t="shared" si="0"/>
        <v>Mencapai kompetensi dengan baik dalam hal</v>
      </c>
      <c r="M61" s="23">
        <v>76</v>
      </c>
      <c r="N61" s="23" t="str">
        <f t="shared" si="1"/>
        <v>Mencapai kompetensi dengan baik dalam hal</v>
      </c>
      <c r="O61" s="23">
        <v>79</v>
      </c>
      <c r="P61" s="23" t="str">
        <f t="shared" si="2"/>
        <v>Mencapai kompetensi dengan baik dalam hal</v>
      </c>
      <c r="Q61" s="23">
        <v>82</v>
      </c>
      <c r="R61" s="23" t="str">
        <f t="shared" si="3"/>
        <v>Mencapai kompetensi dengan baik dalam hal</v>
      </c>
      <c r="S61" s="23">
        <v>74</v>
      </c>
      <c r="T61" s="23" t="str">
        <f t="shared" si="4"/>
        <v>Perlu peningkatan dalam hal</v>
      </c>
      <c r="U61" s="23">
        <v>77</v>
      </c>
      <c r="V61" s="23" t="str">
        <f t="shared" si="5"/>
        <v>Mencapai kompetensi dengan baik dalam hal</v>
      </c>
      <c r="W61" s="23">
        <v>77</v>
      </c>
      <c r="X61" s="23" t="str">
        <f t="shared" si="6"/>
        <v>Mencapai kompetensi dengan baik dalam hal</v>
      </c>
      <c r="Y61" s="23">
        <v>78</v>
      </c>
      <c r="Z61" s="23" t="str">
        <f t="shared" si="7"/>
        <v>Mencapai kompetensi dengan baik dalam hal</v>
      </c>
      <c r="AA61" s="23">
        <v>83</v>
      </c>
      <c r="AB61" s="23" t="str">
        <f t="shared" si="8"/>
        <v>Mencapai kompetensi dengan baik dalam hal</v>
      </c>
      <c r="AC61" s="23">
        <v>83</v>
      </c>
      <c r="AD61" s="23" t="str">
        <f t="shared" si="9"/>
        <v>Mencapai kompetensi dengan baik dalam hal</v>
      </c>
      <c r="AE61" s="23">
        <v>78</v>
      </c>
      <c r="AF61" s="23" t="str">
        <f t="shared" si="10"/>
        <v>Mencapai kompetensi dengan baik dalam hal</v>
      </c>
      <c r="AG61" s="23">
        <v>79</v>
      </c>
      <c r="AH61" s="23" t="str">
        <f t="shared" si="11"/>
        <v>Mencapai kompetensi dengan baik dalam hal</v>
      </c>
      <c r="AI61" s="62">
        <f t="shared" si="17"/>
        <v>78.5</v>
      </c>
      <c r="AJ61" s="23">
        <v>83</v>
      </c>
      <c r="AK61" s="23" t="str">
        <f t="shared" si="12"/>
        <v>Mencapai kompetensi dengan baik dalam hal</v>
      </c>
      <c r="AL61" s="23">
        <v>78</v>
      </c>
      <c r="AM61" s="18" t="str">
        <f t="shared" si="13"/>
        <v>Mencapai kompetensi dengan baik dalam hal</v>
      </c>
      <c r="AN61" s="23" t="s">
        <v>81</v>
      </c>
      <c r="AO61" s="23" t="s">
        <v>81</v>
      </c>
      <c r="AP61" s="23" t="s">
        <v>81</v>
      </c>
      <c r="AQ61" s="23">
        <v>1</v>
      </c>
      <c r="AR61" s="23" t="s">
        <v>82</v>
      </c>
      <c r="AS61" s="18" t="s">
        <v>83</v>
      </c>
      <c r="AT61" s="23" t="s">
        <v>86</v>
      </c>
      <c r="AU61" s="18" t="str">
        <f t="shared" si="20"/>
        <v>Sangat baik</v>
      </c>
      <c r="AV61" s="23">
        <v>2</v>
      </c>
      <c r="AW61" s="18" t="s">
        <v>103</v>
      </c>
      <c r="AX61" s="18" t="s">
        <v>83</v>
      </c>
      <c r="AY61" s="23" t="s">
        <v>84</v>
      </c>
      <c r="AZ61" s="18" t="str">
        <f t="shared" si="21"/>
        <v>Baik</v>
      </c>
      <c r="BA61" s="23"/>
      <c r="BB61" s="23"/>
      <c r="BC61" s="23"/>
      <c r="BD61" s="23"/>
      <c r="BE61" s="18"/>
      <c r="BG61" s="20"/>
      <c r="BH61" s="20"/>
      <c r="BN61" s="22">
        <f t="shared" si="16"/>
        <v>1</v>
      </c>
      <c r="BP61" s="115">
        <f t="shared" si="18"/>
        <v>78.884615384615387</v>
      </c>
      <c r="BQ61" s="22">
        <f t="shared" si="22"/>
        <v>30</v>
      </c>
    </row>
    <row r="62" spans="1:69" ht="24.95" customHeight="1" thickTop="1" thickBot="1" x14ac:dyDescent="0.3">
      <c r="A62" s="23">
        <v>61</v>
      </c>
      <c r="B62" s="23">
        <v>2525642</v>
      </c>
      <c r="C62" s="23" t="s">
        <v>969</v>
      </c>
      <c r="D62" s="18" t="s">
        <v>970</v>
      </c>
      <c r="E62" s="23" t="s">
        <v>920</v>
      </c>
      <c r="F62" s="23" t="s">
        <v>845</v>
      </c>
      <c r="G62" s="24" t="s">
        <v>921</v>
      </c>
      <c r="H62" s="24" t="s">
        <v>922</v>
      </c>
      <c r="I62" s="60" t="s">
        <v>76</v>
      </c>
      <c r="J62" s="61" t="s">
        <v>77</v>
      </c>
      <c r="K62" s="23">
        <v>79</v>
      </c>
      <c r="L62" s="23" t="str">
        <f t="shared" si="0"/>
        <v>Mencapai kompetensi dengan baik dalam hal</v>
      </c>
      <c r="M62" s="23">
        <v>76</v>
      </c>
      <c r="N62" s="23" t="str">
        <f t="shared" si="1"/>
        <v>Mencapai kompetensi dengan baik dalam hal</v>
      </c>
      <c r="O62" s="23">
        <v>79</v>
      </c>
      <c r="P62" s="23" t="str">
        <f t="shared" si="2"/>
        <v>Mencapai kompetensi dengan baik dalam hal</v>
      </c>
      <c r="Q62" s="23">
        <v>83</v>
      </c>
      <c r="R62" s="23" t="str">
        <f t="shared" si="3"/>
        <v>Mencapai kompetensi dengan baik dalam hal</v>
      </c>
      <c r="S62" s="23">
        <v>82</v>
      </c>
      <c r="T62" s="23" t="str">
        <f t="shared" si="4"/>
        <v>Mencapai kompetensi dengan baik dalam hal</v>
      </c>
      <c r="U62" s="23">
        <v>77</v>
      </c>
      <c r="V62" s="23" t="str">
        <f t="shared" si="5"/>
        <v>Mencapai kompetensi dengan baik dalam hal</v>
      </c>
      <c r="W62" s="23">
        <v>75</v>
      </c>
      <c r="X62" s="23" t="str">
        <f t="shared" si="6"/>
        <v>Mencapai kompetensi dengan baik dalam hal</v>
      </c>
      <c r="Y62" s="23">
        <v>79</v>
      </c>
      <c r="Z62" s="23" t="str">
        <f t="shared" si="7"/>
        <v>Mencapai kompetensi dengan baik dalam hal</v>
      </c>
      <c r="AA62" s="23">
        <v>78</v>
      </c>
      <c r="AB62" s="23" t="str">
        <f t="shared" si="8"/>
        <v>Mencapai kompetensi dengan baik dalam hal</v>
      </c>
      <c r="AC62" s="23">
        <v>82</v>
      </c>
      <c r="AD62" s="23" t="str">
        <f t="shared" si="9"/>
        <v>Mencapai kompetensi dengan baik dalam hal</v>
      </c>
      <c r="AE62" s="23">
        <v>78</v>
      </c>
      <c r="AF62" s="23" t="str">
        <f t="shared" si="10"/>
        <v>Mencapai kompetensi dengan baik dalam hal</v>
      </c>
      <c r="AG62" s="23">
        <v>79</v>
      </c>
      <c r="AH62" s="23" t="str">
        <f t="shared" si="11"/>
        <v>Mencapai kompetensi dengan baik dalam hal</v>
      </c>
      <c r="AI62" s="62">
        <f t="shared" si="17"/>
        <v>78.5</v>
      </c>
      <c r="AJ62" s="23">
        <v>78</v>
      </c>
      <c r="AK62" s="23" t="str">
        <f t="shared" si="12"/>
        <v>Mencapai kompetensi dengan baik dalam hal</v>
      </c>
      <c r="AL62" s="23">
        <v>79</v>
      </c>
      <c r="AM62" s="18" t="str">
        <f t="shared" si="13"/>
        <v>Mencapai kompetensi dengan baik dalam hal</v>
      </c>
      <c r="AN62" s="23" t="s">
        <v>81</v>
      </c>
      <c r="AO62" s="23" t="s">
        <v>81</v>
      </c>
      <c r="AP62" s="23" t="s">
        <v>81</v>
      </c>
      <c r="AQ62" s="23">
        <v>1</v>
      </c>
      <c r="AR62" s="23" t="s">
        <v>82</v>
      </c>
      <c r="AS62" s="18" t="s">
        <v>83</v>
      </c>
      <c r="AT62" s="23" t="s">
        <v>86</v>
      </c>
      <c r="AU62" s="18" t="str">
        <f t="shared" si="20"/>
        <v>Sangat baik</v>
      </c>
      <c r="AV62" s="23">
        <v>2</v>
      </c>
      <c r="AW62" s="18" t="s">
        <v>99</v>
      </c>
      <c r="AX62" s="18" t="s">
        <v>83</v>
      </c>
      <c r="AY62" s="23" t="s">
        <v>84</v>
      </c>
      <c r="AZ62" s="18" t="str">
        <f t="shared" si="21"/>
        <v>Baik</v>
      </c>
      <c r="BA62" s="23"/>
      <c r="BB62" s="23"/>
      <c r="BC62" s="23"/>
      <c r="BD62" s="23"/>
      <c r="BE62" s="18"/>
      <c r="BG62" s="20"/>
      <c r="BH62" s="20"/>
      <c r="BN62" s="22">
        <f t="shared" si="16"/>
        <v>0</v>
      </c>
      <c r="BP62" s="115">
        <f t="shared" si="18"/>
        <v>78.884615384615387</v>
      </c>
      <c r="BQ62" s="22">
        <f t="shared" si="22"/>
        <v>30</v>
      </c>
    </row>
    <row r="63" spans="1:69" ht="24.95" customHeight="1" thickTop="1" thickBot="1" x14ac:dyDescent="0.3">
      <c r="A63" s="23">
        <v>62</v>
      </c>
      <c r="B63" s="23">
        <v>2525643</v>
      </c>
      <c r="C63" s="23" t="s">
        <v>971</v>
      </c>
      <c r="D63" s="18" t="s">
        <v>972</v>
      </c>
      <c r="E63" s="23" t="s">
        <v>920</v>
      </c>
      <c r="F63" s="23" t="s">
        <v>845</v>
      </c>
      <c r="G63" s="24" t="s">
        <v>921</v>
      </c>
      <c r="H63" s="24" t="s">
        <v>922</v>
      </c>
      <c r="I63" s="60" t="s">
        <v>76</v>
      </c>
      <c r="J63" s="61" t="s">
        <v>77</v>
      </c>
      <c r="K63" s="23">
        <v>79</v>
      </c>
      <c r="L63" s="23" t="str">
        <f t="shared" si="0"/>
        <v>Mencapai kompetensi dengan baik dalam hal</v>
      </c>
      <c r="M63" s="23">
        <v>79</v>
      </c>
      <c r="N63" s="23" t="str">
        <f t="shared" si="1"/>
        <v>Mencapai kompetensi dengan baik dalam hal</v>
      </c>
      <c r="O63" s="23">
        <v>79</v>
      </c>
      <c r="P63" s="23" t="str">
        <f t="shared" si="2"/>
        <v>Mencapai kompetensi dengan baik dalam hal</v>
      </c>
      <c r="Q63" s="23">
        <v>83</v>
      </c>
      <c r="R63" s="23" t="str">
        <f t="shared" si="3"/>
        <v>Mencapai kompetensi dengan baik dalam hal</v>
      </c>
      <c r="S63" s="23">
        <v>78</v>
      </c>
      <c r="T63" s="23" t="str">
        <f t="shared" si="4"/>
        <v>Mencapai kompetensi dengan baik dalam hal</v>
      </c>
      <c r="U63" s="23">
        <v>85</v>
      </c>
      <c r="V63" s="23" t="str">
        <f t="shared" si="5"/>
        <v>Mencapai kompetensi dengan baik dalam hal</v>
      </c>
      <c r="W63" s="23">
        <v>77</v>
      </c>
      <c r="X63" s="23" t="str">
        <f t="shared" si="6"/>
        <v>Mencapai kompetensi dengan baik dalam hal</v>
      </c>
      <c r="Y63" s="23">
        <v>79</v>
      </c>
      <c r="Z63" s="23" t="str">
        <f t="shared" si="7"/>
        <v>Mencapai kompetensi dengan baik dalam hal</v>
      </c>
      <c r="AA63" s="23">
        <v>83</v>
      </c>
      <c r="AB63" s="23" t="str">
        <f t="shared" si="8"/>
        <v>Mencapai kompetensi dengan baik dalam hal</v>
      </c>
      <c r="AC63" s="23">
        <v>83</v>
      </c>
      <c r="AD63" s="23" t="str">
        <f t="shared" si="9"/>
        <v>Mencapai kompetensi dengan baik dalam hal</v>
      </c>
      <c r="AE63" s="23">
        <v>80</v>
      </c>
      <c r="AF63" s="23" t="str">
        <f t="shared" si="10"/>
        <v>Mencapai kompetensi dengan baik dalam hal</v>
      </c>
      <c r="AG63" s="23">
        <v>81</v>
      </c>
      <c r="AH63" s="23" t="str">
        <f t="shared" si="11"/>
        <v>Mencapai kompetensi dengan baik dalam hal</v>
      </c>
      <c r="AI63" s="62">
        <f t="shared" si="17"/>
        <v>80.5</v>
      </c>
      <c r="AJ63" s="23">
        <v>83</v>
      </c>
      <c r="AK63" s="23" t="str">
        <f t="shared" si="12"/>
        <v>Mencapai kompetensi dengan baik dalam hal</v>
      </c>
      <c r="AL63" s="23">
        <v>80</v>
      </c>
      <c r="AM63" s="18" t="str">
        <f t="shared" si="13"/>
        <v>Mencapai kompetensi dengan baik dalam hal</v>
      </c>
      <c r="AN63" s="23" t="s">
        <v>81</v>
      </c>
      <c r="AO63" s="23" t="s">
        <v>81</v>
      </c>
      <c r="AP63" s="23" t="s">
        <v>81</v>
      </c>
      <c r="AQ63" s="23">
        <v>1</v>
      </c>
      <c r="AR63" s="23" t="s">
        <v>82</v>
      </c>
      <c r="AS63" s="18" t="s">
        <v>83</v>
      </c>
      <c r="AT63" s="23" t="s">
        <v>84</v>
      </c>
      <c r="AU63" s="18" t="str">
        <f t="shared" si="20"/>
        <v>Baik</v>
      </c>
      <c r="AV63" s="23">
        <v>2</v>
      </c>
      <c r="AW63" s="18" t="s">
        <v>212</v>
      </c>
      <c r="AX63" s="18" t="s">
        <v>83</v>
      </c>
      <c r="AY63" s="23" t="s">
        <v>86</v>
      </c>
      <c r="AZ63" s="18" t="str">
        <f t="shared" si="21"/>
        <v>Sangat baik</v>
      </c>
      <c r="BA63" s="23"/>
      <c r="BB63" s="23"/>
      <c r="BC63" s="23"/>
      <c r="BD63" s="23"/>
      <c r="BE63" s="18"/>
      <c r="BG63" s="20"/>
      <c r="BH63" s="20"/>
      <c r="BN63" s="22">
        <f t="shared" si="16"/>
        <v>0</v>
      </c>
      <c r="BP63" s="115">
        <f t="shared" si="18"/>
        <v>80.65384615384616</v>
      </c>
      <c r="BQ63" s="22">
        <f t="shared" si="22"/>
        <v>6</v>
      </c>
    </row>
    <row r="64" spans="1:69" ht="24.95" customHeight="1" thickTop="1" thickBot="1" x14ac:dyDescent="0.3">
      <c r="A64" s="23">
        <v>63</v>
      </c>
      <c r="B64" s="23">
        <v>2525644</v>
      </c>
      <c r="C64" s="23" t="s">
        <v>973</v>
      </c>
      <c r="D64" s="18" t="s">
        <v>974</v>
      </c>
      <c r="E64" s="23" t="s">
        <v>920</v>
      </c>
      <c r="F64" s="23" t="s">
        <v>845</v>
      </c>
      <c r="G64" s="24" t="s">
        <v>921</v>
      </c>
      <c r="H64" s="24" t="s">
        <v>922</v>
      </c>
      <c r="I64" s="60" t="s">
        <v>76</v>
      </c>
      <c r="J64" s="61" t="s">
        <v>77</v>
      </c>
      <c r="K64" s="23">
        <v>79</v>
      </c>
      <c r="L64" s="23" t="str">
        <f t="shared" si="0"/>
        <v>Mencapai kompetensi dengan baik dalam hal</v>
      </c>
      <c r="M64" s="23">
        <v>76</v>
      </c>
      <c r="N64" s="23" t="str">
        <f t="shared" si="1"/>
        <v>Mencapai kompetensi dengan baik dalam hal</v>
      </c>
      <c r="O64" s="23">
        <v>80</v>
      </c>
      <c r="P64" s="23" t="str">
        <f t="shared" si="2"/>
        <v>Mencapai kompetensi dengan baik dalam hal</v>
      </c>
      <c r="Q64" s="23">
        <v>80</v>
      </c>
      <c r="R64" s="23" t="str">
        <f t="shared" si="3"/>
        <v>Mencapai kompetensi dengan baik dalam hal</v>
      </c>
      <c r="S64" s="23">
        <v>78</v>
      </c>
      <c r="T64" s="23" t="str">
        <f t="shared" si="4"/>
        <v>Mencapai kompetensi dengan baik dalam hal</v>
      </c>
      <c r="U64" s="23">
        <v>84</v>
      </c>
      <c r="V64" s="23" t="str">
        <f t="shared" si="5"/>
        <v>Mencapai kompetensi dengan baik dalam hal</v>
      </c>
      <c r="W64" s="23">
        <v>78</v>
      </c>
      <c r="X64" s="23" t="str">
        <f t="shared" si="6"/>
        <v>Mencapai kompetensi dengan baik dalam hal</v>
      </c>
      <c r="Y64" s="23">
        <v>77</v>
      </c>
      <c r="Z64" s="23" t="str">
        <f t="shared" si="7"/>
        <v>Mencapai kompetensi dengan baik dalam hal</v>
      </c>
      <c r="AA64" s="23">
        <v>84</v>
      </c>
      <c r="AB64" s="23" t="str">
        <f t="shared" si="8"/>
        <v>Mencapai kompetensi dengan baik dalam hal</v>
      </c>
      <c r="AC64" s="23">
        <v>83</v>
      </c>
      <c r="AD64" s="23" t="str">
        <f t="shared" si="9"/>
        <v>Mencapai kompetensi dengan baik dalam hal</v>
      </c>
      <c r="AE64" s="23">
        <v>80</v>
      </c>
      <c r="AF64" s="23" t="str">
        <f t="shared" si="10"/>
        <v>Mencapai kompetensi dengan baik dalam hal</v>
      </c>
      <c r="AG64" s="23">
        <v>81</v>
      </c>
      <c r="AH64" s="23" t="str">
        <f t="shared" si="11"/>
        <v>Mencapai kompetensi dengan baik dalam hal</v>
      </c>
      <c r="AI64" s="62">
        <f t="shared" si="17"/>
        <v>80.5</v>
      </c>
      <c r="AJ64" s="23">
        <v>84</v>
      </c>
      <c r="AK64" s="23" t="str">
        <f t="shared" si="12"/>
        <v>Mencapai kompetensi dengan baik dalam hal</v>
      </c>
      <c r="AL64" s="23">
        <v>80</v>
      </c>
      <c r="AM64" s="18" t="str">
        <f t="shared" si="13"/>
        <v>Mencapai kompetensi dengan baik dalam hal</v>
      </c>
      <c r="AN64" s="23">
        <v>1</v>
      </c>
      <c r="AO64" s="23" t="s">
        <v>81</v>
      </c>
      <c r="AP64" s="23" t="s">
        <v>81</v>
      </c>
      <c r="AQ64" s="23">
        <v>1</v>
      </c>
      <c r="AR64" s="23" t="s">
        <v>82</v>
      </c>
      <c r="AS64" s="18" t="s">
        <v>83</v>
      </c>
      <c r="AT64" s="23" t="s">
        <v>86</v>
      </c>
      <c r="AU64" s="18" t="str">
        <f t="shared" si="20"/>
        <v>Sangat baik</v>
      </c>
      <c r="AV64" s="23">
        <v>2</v>
      </c>
      <c r="AW64" s="18" t="s">
        <v>162</v>
      </c>
      <c r="AX64" s="18" t="s">
        <v>83</v>
      </c>
      <c r="AY64" s="23" t="s">
        <v>86</v>
      </c>
      <c r="AZ64" s="18" t="str">
        <f t="shared" si="21"/>
        <v>Sangat baik</v>
      </c>
      <c r="BA64" s="23"/>
      <c r="BB64" s="23"/>
      <c r="BC64" s="23"/>
      <c r="BD64" s="23"/>
      <c r="BE64" s="18"/>
      <c r="BG64" s="20"/>
      <c r="BH64" s="20"/>
      <c r="BN64" s="22">
        <f t="shared" si="16"/>
        <v>0</v>
      </c>
      <c r="BP64" s="115">
        <f t="shared" si="18"/>
        <v>80.269230769230774</v>
      </c>
      <c r="BQ64" s="22">
        <f t="shared" si="22"/>
        <v>13</v>
      </c>
    </row>
    <row r="65" spans="1:69" ht="24.95" customHeight="1" thickTop="1" thickBot="1" x14ac:dyDescent="0.3">
      <c r="A65" s="23">
        <v>64</v>
      </c>
      <c r="B65" s="23">
        <v>2525645</v>
      </c>
      <c r="C65" s="23" t="s">
        <v>975</v>
      </c>
      <c r="D65" s="18" t="s">
        <v>976</v>
      </c>
      <c r="E65" s="23" t="s">
        <v>920</v>
      </c>
      <c r="F65" s="23" t="s">
        <v>845</v>
      </c>
      <c r="G65" s="24" t="s">
        <v>921</v>
      </c>
      <c r="H65" s="24" t="s">
        <v>922</v>
      </c>
      <c r="I65" s="60" t="s">
        <v>76</v>
      </c>
      <c r="J65" s="61" t="s">
        <v>77</v>
      </c>
      <c r="K65" s="23">
        <v>79</v>
      </c>
      <c r="L65" s="23" t="str">
        <f t="shared" si="0"/>
        <v>Mencapai kompetensi dengan baik dalam hal</v>
      </c>
      <c r="M65" s="23">
        <v>75</v>
      </c>
      <c r="N65" s="23" t="str">
        <f t="shared" si="1"/>
        <v>Mencapai kompetensi dengan baik dalam hal</v>
      </c>
      <c r="O65" s="23">
        <v>80</v>
      </c>
      <c r="P65" s="23" t="str">
        <f t="shared" si="2"/>
        <v>Mencapai kompetensi dengan baik dalam hal</v>
      </c>
      <c r="Q65" s="23">
        <v>80</v>
      </c>
      <c r="R65" s="23" t="str">
        <f t="shared" si="3"/>
        <v>Mencapai kompetensi dengan baik dalam hal</v>
      </c>
      <c r="S65" s="23">
        <v>79</v>
      </c>
      <c r="T65" s="23" t="str">
        <f t="shared" si="4"/>
        <v>Mencapai kompetensi dengan baik dalam hal</v>
      </c>
      <c r="U65" s="23">
        <v>84</v>
      </c>
      <c r="V65" s="23" t="str">
        <f t="shared" si="5"/>
        <v>Mencapai kompetensi dengan baik dalam hal</v>
      </c>
      <c r="W65" s="23">
        <v>75</v>
      </c>
      <c r="X65" s="23" t="str">
        <f t="shared" si="6"/>
        <v>Mencapai kompetensi dengan baik dalam hal</v>
      </c>
      <c r="Y65" s="23">
        <v>82</v>
      </c>
      <c r="Z65" s="23" t="str">
        <f t="shared" si="7"/>
        <v>Mencapai kompetensi dengan baik dalam hal</v>
      </c>
      <c r="AA65" s="23">
        <v>84</v>
      </c>
      <c r="AB65" s="23" t="str">
        <f t="shared" si="8"/>
        <v>Mencapai kompetensi dengan baik dalam hal</v>
      </c>
      <c r="AC65" s="23">
        <v>80</v>
      </c>
      <c r="AD65" s="23" t="str">
        <f t="shared" si="9"/>
        <v>Mencapai kompetensi dengan baik dalam hal</v>
      </c>
      <c r="AE65" s="23">
        <v>79</v>
      </c>
      <c r="AF65" s="23" t="str">
        <f t="shared" si="10"/>
        <v>Mencapai kompetensi dengan baik dalam hal</v>
      </c>
      <c r="AG65" s="23">
        <v>80</v>
      </c>
      <c r="AH65" s="23" t="str">
        <f t="shared" si="11"/>
        <v>Mencapai kompetensi dengan baik dalam hal</v>
      </c>
      <c r="AI65" s="62">
        <f t="shared" si="17"/>
        <v>79.5</v>
      </c>
      <c r="AJ65" s="23">
        <v>84</v>
      </c>
      <c r="AK65" s="23" t="str">
        <f t="shared" si="12"/>
        <v>Mencapai kompetensi dengan baik dalam hal</v>
      </c>
      <c r="AL65" s="23">
        <v>79</v>
      </c>
      <c r="AM65" s="18" t="str">
        <f t="shared" si="13"/>
        <v>Mencapai kompetensi dengan baik dalam hal</v>
      </c>
      <c r="AN65" s="23" t="s">
        <v>81</v>
      </c>
      <c r="AO65" s="23" t="s">
        <v>81</v>
      </c>
      <c r="AP65" s="23" t="s">
        <v>81</v>
      </c>
      <c r="AQ65" s="23">
        <v>1</v>
      </c>
      <c r="AR65" s="23" t="s">
        <v>82</v>
      </c>
      <c r="AS65" s="18" t="s">
        <v>83</v>
      </c>
      <c r="AT65" s="23" t="s">
        <v>86</v>
      </c>
      <c r="AU65" s="18" t="str">
        <f t="shared" si="20"/>
        <v>Sangat baik</v>
      </c>
      <c r="AV65" s="23">
        <v>2</v>
      </c>
      <c r="AW65" s="18" t="s">
        <v>227</v>
      </c>
      <c r="AX65" s="18" t="s">
        <v>83</v>
      </c>
      <c r="AY65" s="23" t="s">
        <v>84</v>
      </c>
      <c r="AZ65" s="18" t="str">
        <f t="shared" si="21"/>
        <v>Baik</v>
      </c>
      <c r="BA65" s="23"/>
      <c r="BB65" s="23"/>
      <c r="BC65" s="23"/>
      <c r="BD65" s="23"/>
      <c r="BE65" s="18"/>
      <c r="BG65" s="20"/>
      <c r="BH65" s="20"/>
      <c r="BN65" s="22">
        <f t="shared" si="16"/>
        <v>0</v>
      </c>
      <c r="BP65" s="115">
        <f t="shared" si="18"/>
        <v>80.038461538461533</v>
      </c>
      <c r="BQ65" s="22">
        <f t="shared" si="22"/>
        <v>15</v>
      </c>
    </row>
    <row r="66" spans="1:69" ht="24.95" customHeight="1" thickTop="1" thickBot="1" x14ac:dyDescent="0.3">
      <c r="A66" s="23">
        <v>65</v>
      </c>
      <c r="B66" s="23">
        <v>2525646</v>
      </c>
      <c r="C66" s="23" t="s">
        <v>977</v>
      </c>
      <c r="D66" s="18" t="s">
        <v>978</v>
      </c>
      <c r="E66" s="23" t="s">
        <v>920</v>
      </c>
      <c r="F66" s="23" t="s">
        <v>845</v>
      </c>
      <c r="G66" s="24" t="s">
        <v>921</v>
      </c>
      <c r="H66" s="24" t="s">
        <v>922</v>
      </c>
      <c r="I66" s="60" t="s">
        <v>76</v>
      </c>
      <c r="J66" s="61" t="s">
        <v>77</v>
      </c>
      <c r="K66" s="23">
        <v>80</v>
      </c>
      <c r="L66" s="23" t="str">
        <f t="shared" si="0"/>
        <v>Mencapai kompetensi dengan baik dalam hal</v>
      </c>
      <c r="M66" s="23">
        <v>76</v>
      </c>
      <c r="N66" s="23" t="str">
        <f t="shared" si="1"/>
        <v>Mencapai kompetensi dengan baik dalam hal</v>
      </c>
      <c r="O66" s="23">
        <v>80</v>
      </c>
      <c r="P66" s="23" t="str">
        <f t="shared" si="2"/>
        <v>Mencapai kompetensi dengan baik dalam hal</v>
      </c>
      <c r="Q66" s="23">
        <v>80</v>
      </c>
      <c r="R66" s="23" t="str">
        <f t="shared" si="3"/>
        <v>Mencapai kompetensi dengan baik dalam hal</v>
      </c>
      <c r="S66" s="23">
        <v>80</v>
      </c>
      <c r="T66" s="23" t="str">
        <f t="shared" si="4"/>
        <v>Mencapai kompetensi dengan baik dalam hal</v>
      </c>
      <c r="U66" s="23">
        <v>81</v>
      </c>
      <c r="V66" s="23" t="str">
        <f t="shared" si="5"/>
        <v>Mencapai kompetensi dengan baik dalam hal</v>
      </c>
      <c r="W66" s="23">
        <v>75</v>
      </c>
      <c r="X66" s="23" t="str">
        <f t="shared" si="6"/>
        <v>Mencapai kompetensi dengan baik dalam hal</v>
      </c>
      <c r="Y66" s="23">
        <v>78</v>
      </c>
      <c r="Z66" s="23" t="str">
        <f t="shared" si="7"/>
        <v>Mencapai kompetensi dengan baik dalam hal</v>
      </c>
      <c r="AA66" s="23">
        <v>76</v>
      </c>
      <c r="AB66" s="23" t="str">
        <f t="shared" si="8"/>
        <v>Mencapai kompetensi dengan baik dalam hal</v>
      </c>
      <c r="AC66" s="23">
        <v>83</v>
      </c>
      <c r="AD66" s="23" t="str">
        <f t="shared" si="9"/>
        <v>Mencapai kompetensi dengan baik dalam hal</v>
      </c>
      <c r="AE66" s="23">
        <v>79</v>
      </c>
      <c r="AF66" s="23" t="str">
        <f t="shared" si="10"/>
        <v>Mencapai kompetensi dengan baik dalam hal</v>
      </c>
      <c r="AG66" s="23">
        <v>80</v>
      </c>
      <c r="AH66" s="23" t="str">
        <f t="shared" si="11"/>
        <v>Mencapai kompetensi dengan baik dalam hal</v>
      </c>
      <c r="AI66" s="62">
        <f t="shared" si="17"/>
        <v>79.5</v>
      </c>
      <c r="AJ66" s="23">
        <v>76</v>
      </c>
      <c r="AK66" s="23" t="str">
        <f t="shared" si="12"/>
        <v>Mencapai kompetensi dengan baik dalam hal</v>
      </c>
      <c r="AL66" s="23">
        <v>80</v>
      </c>
      <c r="AM66" s="18" t="str">
        <f t="shared" si="13"/>
        <v>Mencapai kompetensi dengan baik dalam hal</v>
      </c>
      <c r="AN66" s="23" t="s">
        <v>81</v>
      </c>
      <c r="AO66" s="23" t="s">
        <v>81</v>
      </c>
      <c r="AP66" s="23" t="s">
        <v>81</v>
      </c>
      <c r="AQ66" s="23">
        <v>1</v>
      </c>
      <c r="AR66" s="23" t="s">
        <v>82</v>
      </c>
      <c r="AS66" s="18" t="s">
        <v>83</v>
      </c>
      <c r="AT66" s="23" t="s">
        <v>86</v>
      </c>
      <c r="AU66" s="18" t="str">
        <f t="shared" ref="AU66:AU97" si="23">VLOOKUP(AT66,grades4,2,TRUE)</f>
        <v>Sangat baik</v>
      </c>
      <c r="AV66" s="23">
        <v>2</v>
      </c>
      <c r="AW66" s="18" t="s">
        <v>125</v>
      </c>
      <c r="AX66" s="18" t="s">
        <v>83</v>
      </c>
      <c r="AY66" s="23" t="s">
        <v>84</v>
      </c>
      <c r="AZ66" s="18" t="str">
        <f t="shared" ref="AZ66:AZ97" si="24">VLOOKUP(AY66,grades4,2,TRUE)</f>
        <v>Baik</v>
      </c>
      <c r="BA66" s="23"/>
      <c r="BB66" s="23"/>
      <c r="BC66" s="23"/>
      <c r="BD66" s="23"/>
      <c r="BE66" s="18"/>
      <c r="BG66" s="20"/>
      <c r="BH66" s="20"/>
      <c r="BN66" s="22">
        <f t="shared" ref="BN66:BN129" si="25">COUNTIFS(K66:AL66,"&gt;=0",K66:AL66,"&lt;75")</f>
        <v>0</v>
      </c>
      <c r="BP66" s="115">
        <f t="shared" si="18"/>
        <v>78.807692307692307</v>
      </c>
      <c r="BQ66" s="22">
        <f t="shared" si="22"/>
        <v>32</v>
      </c>
    </row>
    <row r="67" spans="1:69" ht="24.95" customHeight="1" thickTop="1" thickBot="1" x14ac:dyDescent="0.3">
      <c r="A67" s="23">
        <v>66</v>
      </c>
      <c r="B67" s="23">
        <v>2525647</v>
      </c>
      <c r="C67" s="23" t="s">
        <v>979</v>
      </c>
      <c r="D67" s="18" t="s">
        <v>980</v>
      </c>
      <c r="E67" s="23" t="s">
        <v>920</v>
      </c>
      <c r="F67" s="23" t="s">
        <v>845</v>
      </c>
      <c r="G67" s="24" t="s">
        <v>921</v>
      </c>
      <c r="H67" s="24" t="s">
        <v>922</v>
      </c>
      <c r="I67" s="60" t="s">
        <v>76</v>
      </c>
      <c r="J67" s="61" t="s">
        <v>77</v>
      </c>
      <c r="K67" s="23">
        <v>79</v>
      </c>
      <c r="L67" s="23" t="str">
        <f t="shared" si="0"/>
        <v>Mencapai kompetensi dengan baik dalam hal</v>
      </c>
      <c r="M67" s="23">
        <v>76</v>
      </c>
      <c r="N67" s="23" t="str">
        <f t="shared" si="1"/>
        <v>Mencapai kompetensi dengan baik dalam hal</v>
      </c>
      <c r="O67" s="23">
        <v>80</v>
      </c>
      <c r="P67" s="23" t="str">
        <f t="shared" si="2"/>
        <v>Mencapai kompetensi dengan baik dalam hal</v>
      </c>
      <c r="Q67" s="23">
        <v>80</v>
      </c>
      <c r="R67" s="23" t="str">
        <f t="shared" si="3"/>
        <v>Mencapai kompetensi dengan baik dalam hal</v>
      </c>
      <c r="S67" s="23">
        <v>83</v>
      </c>
      <c r="T67" s="23" t="str">
        <f t="shared" si="4"/>
        <v>Mencapai kompetensi dengan baik dalam hal</v>
      </c>
      <c r="U67" s="23">
        <v>81</v>
      </c>
      <c r="V67" s="23" t="str">
        <f t="shared" si="5"/>
        <v>Mencapai kompetensi dengan baik dalam hal</v>
      </c>
      <c r="W67" s="23">
        <v>75</v>
      </c>
      <c r="X67" s="23" t="str">
        <f t="shared" si="6"/>
        <v>Mencapai kompetensi dengan baik dalam hal</v>
      </c>
      <c r="Y67" s="23">
        <v>79</v>
      </c>
      <c r="Z67" s="23" t="str">
        <f t="shared" si="7"/>
        <v>Mencapai kompetensi dengan baik dalam hal</v>
      </c>
      <c r="AA67" s="23">
        <v>79</v>
      </c>
      <c r="AB67" s="23" t="str">
        <f t="shared" si="8"/>
        <v>Mencapai kompetensi dengan baik dalam hal</v>
      </c>
      <c r="AC67" s="23">
        <v>80</v>
      </c>
      <c r="AD67" s="23" t="str">
        <f t="shared" si="9"/>
        <v>Mencapai kompetensi dengan baik dalam hal</v>
      </c>
      <c r="AE67" s="23">
        <v>79</v>
      </c>
      <c r="AF67" s="23" t="str">
        <f t="shared" si="10"/>
        <v>Mencapai kompetensi dengan baik dalam hal</v>
      </c>
      <c r="AG67" s="23">
        <v>80</v>
      </c>
      <c r="AH67" s="23" t="str">
        <f t="shared" si="11"/>
        <v>Mencapai kompetensi dengan baik dalam hal</v>
      </c>
      <c r="AI67" s="62">
        <f t="shared" ref="AI67:AI130" si="26">AVERAGE(AG67,AE67)</f>
        <v>79.5</v>
      </c>
      <c r="AJ67" s="23">
        <v>79</v>
      </c>
      <c r="AK67" s="23" t="str">
        <f t="shared" si="12"/>
        <v>Mencapai kompetensi dengan baik dalam hal</v>
      </c>
      <c r="AL67" s="23">
        <v>79</v>
      </c>
      <c r="AM67" s="18" t="str">
        <f t="shared" si="13"/>
        <v>Mencapai kompetensi dengan baik dalam hal</v>
      </c>
      <c r="AN67" s="23" t="s">
        <v>81</v>
      </c>
      <c r="AO67" s="23" t="s">
        <v>81</v>
      </c>
      <c r="AP67" s="23" t="s">
        <v>81</v>
      </c>
      <c r="AQ67" s="23">
        <v>1</v>
      </c>
      <c r="AR67" s="23" t="s">
        <v>82</v>
      </c>
      <c r="AS67" s="18" t="s">
        <v>83</v>
      </c>
      <c r="AT67" s="23" t="s">
        <v>86</v>
      </c>
      <c r="AU67" s="18" t="str">
        <f t="shared" si="23"/>
        <v>Sangat baik</v>
      </c>
      <c r="AV67" s="23">
        <v>2</v>
      </c>
      <c r="AW67" s="18" t="s">
        <v>170</v>
      </c>
      <c r="AX67" s="18" t="s">
        <v>83</v>
      </c>
      <c r="AY67" s="23" t="s">
        <v>84</v>
      </c>
      <c r="AZ67" s="18" t="str">
        <f t="shared" si="24"/>
        <v>Baik</v>
      </c>
      <c r="BA67" s="23"/>
      <c r="BB67" s="23"/>
      <c r="BC67" s="23"/>
      <c r="BD67" s="23"/>
      <c r="BE67" s="18"/>
      <c r="BG67" s="20"/>
      <c r="BH67" s="20"/>
      <c r="BN67" s="22">
        <f t="shared" si="25"/>
        <v>0</v>
      </c>
      <c r="BP67" s="115">
        <f t="shared" ref="BP67:BP130" si="27">AVERAGE(K67,M67,O67,Q67,S67,U67,W67,Y67,AA67,AC67,AI67,AJ67,AL67)</f>
        <v>79.192307692307693</v>
      </c>
      <c r="BQ67" s="22">
        <f t="shared" si="22"/>
        <v>24</v>
      </c>
    </row>
    <row r="68" spans="1:69" ht="24.95" customHeight="1" thickTop="1" thickBot="1" x14ac:dyDescent="0.3">
      <c r="A68" s="23">
        <v>67</v>
      </c>
      <c r="B68" s="23">
        <v>2525648</v>
      </c>
      <c r="C68" s="23" t="s">
        <v>981</v>
      </c>
      <c r="D68" s="18" t="s">
        <v>982</v>
      </c>
      <c r="E68" s="23" t="s">
        <v>920</v>
      </c>
      <c r="F68" s="23" t="s">
        <v>845</v>
      </c>
      <c r="G68" s="24" t="s">
        <v>921</v>
      </c>
      <c r="H68" s="24" t="s">
        <v>922</v>
      </c>
      <c r="I68" s="60" t="s">
        <v>76</v>
      </c>
      <c r="J68" s="61" t="s">
        <v>77</v>
      </c>
      <c r="K68" s="23">
        <v>79</v>
      </c>
      <c r="L68" s="23" t="str">
        <f t="shared" si="0"/>
        <v>Mencapai kompetensi dengan baik dalam hal</v>
      </c>
      <c r="M68" s="23">
        <v>76</v>
      </c>
      <c r="N68" s="23" t="str">
        <f t="shared" si="1"/>
        <v>Mencapai kompetensi dengan baik dalam hal</v>
      </c>
      <c r="O68" s="23">
        <v>80</v>
      </c>
      <c r="P68" s="23" t="str">
        <f t="shared" si="2"/>
        <v>Mencapai kompetensi dengan baik dalam hal</v>
      </c>
      <c r="Q68" s="23">
        <v>79</v>
      </c>
      <c r="R68" s="23" t="str">
        <f t="shared" si="3"/>
        <v>Mencapai kompetensi dengan baik dalam hal</v>
      </c>
      <c r="S68" s="23">
        <v>75</v>
      </c>
      <c r="T68" s="23" t="str">
        <f t="shared" si="4"/>
        <v>Mencapai kompetensi dengan baik dalam hal</v>
      </c>
      <c r="U68" s="23">
        <v>81</v>
      </c>
      <c r="V68" s="23" t="str">
        <f t="shared" si="5"/>
        <v>Mencapai kompetensi dengan baik dalam hal</v>
      </c>
      <c r="W68" s="23">
        <v>75</v>
      </c>
      <c r="X68" s="23" t="str">
        <f t="shared" si="6"/>
        <v>Mencapai kompetensi dengan baik dalam hal</v>
      </c>
      <c r="Y68" s="23">
        <v>77</v>
      </c>
      <c r="Z68" s="23" t="str">
        <f t="shared" si="7"/>
        <v>Mencapai kompetensi dengan baik dalam hal</v>
      </c>
      <c r="AA68" s="23">
        <v>76</v>
      </c>
      <c r="AB68" s="23" t="str">
        <f t="shared" si="8"/>
        <v>Mencapai kompetensi dengan baik dalam hal</v>
      </c>
      <c r="AC68" s="23">
        <v>80</v>
      </c>
      <c r="AD68" s="23" t="str">
        <f t="shared" si="9"/>
        <v>Mencapai kompetensi dengan baik dalam hal</v>
      </c>
      <c r="AE68" s="23">
        <v>75</v>
      </c>
      <c r="AF68" s="23" t="str">
        <f t="shared" si="10"/>
        <v>Mencapai kompetensi dengan baik dalam hal</v>
      </c>
      <c r="AG68" s="23">
        <v>76</v>
      </c>
      <c r="AH68" s="23" t="str">
        <f t="shared" si="11"/>
        <v>Mencapai kompetensi dengan baik dalam hal</v>
      </c>
      <c r="AI68" s="62">
        <f t="shared" si="26"/>
        <v>75.5</v>
      </c>
      <c r="AJ68" s="23">
        <v>76</v>
      </c>
      <c r="AK68" s="23" t="str">
        <f t="shared" si="12"/>
        <v>Mencapai kompetensi dengan baik dalam hal</v>
      </c>
      <c r="AL68" s="23">
        <v>80</v>
      </c>
      <c r="AM68" s="18" t="str">
        <f t="shared" si="13"/>
        <v>Mencapai kompetensi dengan baik dalam hal</v>
      </c>
      <c r="AN68" s="23" t="s">
        <v>81</v>
      </c>
      <c r="AO68" s="23" t="s">
        <v>81</v>
      </c>
      <c r="AP68" s="23" t="s">
        <v>81</v>
      </c>
      <c r="AQ68" s="23">
        <v>1</v>
      </c>
      <c r="AR68" s="23" t="s">
        <v>82</v>
      </c>
      <c r="AS68" s="18" t="s">
        <v>83</v>
      </c>
      <c r="AT68" s="23" t="s">
        <v>84</v>
      </c>
      <c r="AU68" s="18" t="str">
        <f t="shared" si="23"/>
        <v>Baik</v>
      </c>
      <c r="AV68" s="23">
        <v>2</v>
      </c>
      <c r="AW68" s="18" t="s">
        <v>108</v>
      </c>
      <c r="AX68" s="18" t="s">
        <v>83</v>
      </c>
      <c r="AY68" s="23" t="s">
        <v>86</v>
      </c>
      <c r="AZ68" s="18" t="str">
        <f t="shared" si="24"/>
        <v>Sangat baik</v>
      </c>
      <c r="BA68" s="23"/>
      <c r="BB68" s="23"/>
      <c r="BC68" s="23"/>
      <c r="BD68" s="23"/>
      <c r="BE68" s="18"/>
      <c r="BG68" s="20"/>
      <c r="BH68" s="20"/>
      <c r="BN68" s="22">
        <f t="shared" si="25"/>
        <v>0</v>
      </c>
      <c r="BP68" s="115">
        <f t="shared" si="27"/>
        <v>77.65384615384616</v>
      </c>
      <c r="BQ68" s="22">
        <f t="shared" si="22"/>
        <v>36</v>
      </c>
    </row>
    <row r="69" spans="1:69" ht="24.95" customHeight="1" thickTop="1" thickBot="1" x14ac:dyDescent="0.3">
      <c r="A69" s="23">
        <v>68</v>
      </c>
      <c r="B69" s="23">
        <v>2525649</v>
      </c>
      <c r="C69" s="23" t="s">
        <v>983</v>
      </c>
      <c r="D69" s="18" t="s">
        <v>984</v>
      </c>
      <c r="E69" s="23" t="s">
        <v>920</v>
      </c>
      <c r="F69" s="23" t="s">
        <v>845</v>
      </c>
      <c r="G69" s="24" t="s">
        <v>921</v>
      </c>
      <c r="H69" s="24" t="s">
        <v>922</v>
      </c>
      <c r="I69" s="60" t="s">
        <v>76</v>
      </c>
      <c r="J69" s="61" t="s">
        <v>77</v>
      </c>
      <c r="K69" s="23">
        <v>80</v>
      </c>
      <c r="L69" s="23" t="str">
        <f t="shared" si="0"/>
        <v>Mencapai kompetensi dengan baik dalam hal</v>
      </c>
      <c r="M69" s="23">
        <v>79</v>
      </c>
      <c r="N69" s="23" t="str">
        <f t="shared" si="1"/>
        <v>Mencapai kompetensi dengan baik dalam hal</v>
      </c>
      <c r="O69" s="23">
        <v>81</v>
      </c>
      <c r="P69" s="23" t="str">
        <f t="shared" si="2"/>
        <v>Mencapai kompetensi dengan baik dalam hal</v>
      </c>
      <c r="Q69" s="23">
        <v>80</v>
      </c>
      <c r="R69" s="23" t="str">
        <f t="shared" si="3"/>
        <v>Mencapai kompetensi dengan baik dalam hal</v>
      </c>
      <c r="S69" s="23">
        <v>82</v>
      </c>
      <c r="T69" s="23" t="str">
        <f t="shared" si="4"/>
        <v>Mencapai kompetensi dengan baik dalam hal</v>
      </c>
      <c r="U69" s="23">
        <v>87</v>
      </c>
      <c r="V69" s="23" t="str">
        <f t="shared" si="5"/>
        <v>Mencapai kompetensi dengan baik dalam hal</v>
      </c>
      <c r="W69" s="23">
        <v>78</v>
      </c>
      <c r="X69" s="23" t="str">
        <f t="shared" si="6"/>
        <v>Mencapai kompetensi dengan baik dalam hal</v>
      </c>
      <c r="Y69" s="23">
        <v>78</v>
      </c>
      <c r="Z69" s="23" t="str">
        <f t="shared" si="7"/>
        <v>Mencapai kompetensi dengan baik dalam hal</v>
      </c>
      <c r="AA69" s="23">
        <v>82</v>
      </c>
      <c r="AB69" s="23" t="str">
        <f t="shared" si="8"/>
        <v>Mencapai kompetensi dengan baik dalam hal</v>
      </c>
      <c r="AC69" s="23">
        <v>88</v>
      </c>
      <c r="AD69" s="23" t="str">
        <f t="shared" si="9"/>
        <v>Mencapai kompetensi dengan baik dalam hal</v>
      </c>
      <c r="AE69" s="23">
        <v>79</v>
      </c>
      <c r="AF69" s="23" t="str">
        <f t="shared" si="10"/>
        <v>Mencapai kompetensi dengan baik dalam hal</v>
      </c>
      <c r="AG69" s="23">
        <v>80</v>
      </c>
      <c r="AH69" s="23" t="str">
        <f t="shared" si="11"/>
        <v>Mencapai kompetensi dengan baik dalam hal</v>
      </c>
      <c r="AI69" s="62">
        <f t="shared" si="26"/>
        <v>79.5</v>
      </c>
      <c r="AJ69" s="23">
        <v>82</v>
      </c>
      <c r="AK69" s="23" t="str">
        <f t="shared" si="12"/>
        <v>Mencapai kompetensi dengan baik dalam hal</v>
      </c>
      <c r="AL69" s="23">
        <v>80</v>
      </c>
      <c r="AM69" s="18" t="str">
        <f t="shared" si="13"/>
        <v>Mencapai kompetensi dengan baik dalam hal</v>
      </c>
      <c r="AN69" s="23" t="s">
        <v>81</v>
      </c>
      <c r="AO69" s="23" t="s">
        <v>81</v>
      </c>
      <c r="AP69" s="23" t="s">
        <v>81</v>
      </c>
      <c r="AQ69" s="23">
        <v>1</v>
      </c>
      <c r="AR69" s="23" t="s">
        <v>82</v>
      </c>
      <c r="AS69" s="18" t="s">
        <v>83</v>
      </c>
      <c r="AT69" s="23" t="s">
        <v>86</v>
      </c>
      <c r="AU69" s="18" t="str">
        <f t="shared" si="23"/>
        <v>Sangat baik</v>
      </c>
      <c r="AV69" s="23">
        <v>2</v>
      </c>
      <c r="AW69" s="18" t="s">
        <v>162</v>
      </c>
      <c r="AX69" s="18" t="s">
        <v>83</v>
      </c>
      <c r="AY69" s="23" t="s">
        <v>86</v>
      </c>
      <c r="AZ69" s="18" t="str">
        <f t="shared" si="24"/>
        <v>Sangat baik</v>
      </c>
      <c r="BA69" s="23"/>
      <c r="BB69" s="23"/>
      <c r="BC69" s="23"/>
      <c r="BD69" s="23"/>
      <c r="BE69" s="18"/>
      <c r="BG69" s="20"/>
      <c r="BH69" s="20"/>
      <c r="BN69" s="22">
        <f t="shared" si="25"/>
        <v>0</v>
      </c>
      <c r="BP69" s="115">
        <f t="shared" si="27"/>
        <v>81.269230769230774</v>
      </c>
      <c r="BQ69" s="22">
        <f t="shared" si="22"/>
        <v>1</v>
      </c>
    </row>
    <row r="70" spans="1:69" ht="24.95" customHeight="1" thickTop="1" thickBot="1" x14ac:dyDescent="0.3">
      <c r="A70" s="23">
        <v>69</v>
      </c>
      <c r="B70" s="23">
        <v>2525650</v>
      </c>
      <c r="C70" s="23" t="s">
        <v>985</v>
      </c>
      <c r="D70" s="18" t="s">
        <v>986</v>
      </c>
      <c r="E70" s="23" t="s">
        <v>920</v>
      </c>
      <c r="F70" s="23" t="s">
        <v>845</v>
      </c>
      <c r="G70" s="24" t="s">
        <v>921</v>
      </c>
      <c r="H70" s="24" t="s">
        <v>922</v>
      </c>
      <c r="I70" s="60" t="s">
        <v>76</v>
      </c>
      <c r="J70" s="61" t="s">
        <v>77</v>
      </c>
      <c r="K70" s="23">
        <v>79</v>
      </c>
      <c r="L70" s="23" t="str">
        <f t="shared" si="0"/>
        <v>Mencapai kompetensi dengan baik dalam hal</v>
      </c>
      <c r="M70" s="23">
        <v>76</v>
      </c>
      <c r="N70" s="23" t="str">
        <f t="shared" si="1"/>
        <v>Mencapai kompetensi dengan baik dalam hal</v>
      </c>
      <c r="O70" s="23">
        <v>80</v>
      </c>
      <c r="P70" s="23" t="str">
        <f t="shared" si="2"/>
        <v>Mencapai kompetensi dengan baik dalam hal</v>
      </c>
      <c r="Q70" s="23">
        <v>80</v>
      </c>
      <c r="R70" s="23" t="str">
        <f t="shared" si="3"/>
        <v>Mencapai kompetensi dengan baik dalam hal</v>
      </c>
      <c r="S70" s="23">
        <v>75</v>
      </c>
      <c r="T70" s="23" t="str">
        <f t="shared" si="4"/>
        <v>Mencapai kompetensi dengan baik dalam hal</v>
      </c>
      <c r="U70" s="23">
        <v>80</v>
      </c>
      <c r="V70" s="23" t="str">
        <f t="shared" si="5"/>
        <v>Mencapai kompetensi dengan baik dalam hal</v>
      </c>
      <c r="W70" s="23">
        <v>77</v>
      </c>
      <c r="X70" s="23" t="str">
        <f t="shared" si="6"/>
        <v>Mencapai kompetensi dengan baik dalam hal</v>
      </c>
      <c r="Y70" s="23">
        <v>78</v>
      </c>
      <c r="Z70" s="23" t="str">
        <f t="shared" si="7"/>
        <v>Mencapai kompetensi dengan baik dalam hal</v>
      </c>
      <c r="AA70" s="23">
        <v>76</v>
      </c>
      <c r="AB70" s="23" t="str">
        <f t="shared" si="8"/>
        <v>Mencapai kompetensi dengan baik dalam hal</v>
      </c>
      <c r="AC70" s="23">
        <v>81</v>
      </c>
      <c r="AD70" s="23" t="str">
        <f t="shared" si="9"/>
        <v>Mencapai kompetensi dengan baik dalam hal</v>
      </c>
      <c r="AE70" s="23">
        <v>80</v>
      </c>
      <c r="AF70" s="23" t="str">
        <f t="shared" si="10"/>
        <v>Mencapai kompetensi dengan baik dalam hal</v>
      </c>
      <c r="AG70" s="23">
        <v>81</v>
      </c>
      <c r="AH70" s="23" t="str">
        <f t="shared" si="11"/>
        <v>Mencapai kompetensi dengan baik dalam hal</v>
      </c>
      <c r="AI70" s="62">
        <f t="shared" si="26"/>
        <v>80.5</v>
      </c>
      <c r="AJ70" s="23">
        <v>76</v>
      </c>
      <c r="AK70" s="23" t="str">
        <f t="shared" si="12"/>
        <v>Mencapai kompetensi dengan baik dalam hal</v>
      </c>
      <c r="AL70" s="23">
        <v>80</v>
      </c>
      <c r="AM70" s="18" t="str">
        <f t="shared" si="13"/>
        <v>Mencapai kompetensi dengan baik dalam hal</v>
      </c>
      <c r="AN70" s="23">
        <v>2</v>
      </c>
      <c r="AO70" s="23" t="s">
        <v>81</v>
      </c>
      <c r="AP70" s="23" t="s">
        <v>81</v>
      </c>
      <c r="AQ70" s="23">
        <v>1</v>
      </c>
      <c r="AR70" s="23" t="s">
        <v>82</v>
      </c>
      <c r="AS70" s="18" t="s">
        <v>83</v>
      </c>
      <c r="AT70" s="23" t="s">
        <v>84</v>
      </c>
      <c r="AU70" s="18" t="str">
        <f t="shared" si="23"/>
        <v>Baik</v>
      </c>
      <c r="AV70" s="23">
        <v>2</v>
      </c>
      <c r="AW70" s="18" t="s">
        <v>170</v>
      </c>
      <c r="AX70" s="18" t="s">
        <v>83</v>
      </c>
      <c r="AY70" s="23" t="s">
        <v>104</v>
      </c>
      <c r="AZ70" s="18" t="str">
        <f t="shared" si="24"/>
        <v>Cukup</v>
      </c>
      <c r="BA70" s="23"/>
      <c r="BB70" s="23"/>
      <c r="BC70" s="23"/>
      <c r="BD70" s="23"/>
      <c r="BE70" s="18"/>
      <c r="BG70" s="20"/>
      <c r="BH70" s="20"/>
      <c r="BN70" s="22">
        <f t="shared" si="25"/>
        <v>0</v>
      </c>
      <c r="BP70" s="115">
        <f t="shared" si="27"/>
        <v>78.34615384615384</v>
      </c>
      <c r="BQ70" s="22">
        <f t="shared" si="22"/>
        <v>35</v>
      </c>
    </row>
    <row r="71" spans="1:69" ht="24.95" customHeight="1" thickTop="1" thickBot="1" x14ac:dyDescent="0.3">
      <c r="A71" s="23">
        <v>70</v>
      </c>
      <c r="B71" s="23">
        <v>2525651</v>
      </c>
      <c r="C71" s="23" t="s">
        <v>987</v>
      </c>
      <c r="D71" s="18" t="s">
        <v>988</v>
      </c>
      <c r="E71" s="23" t="s">
        <v>920</v>
      </c>
      <c r="F71" s="23" t="s">
        <v>845</v>
      </c>
      <c r="G71" s="24" t="s">
        <v>921</v>
      </c>
      <c r="H71" s="24" t="s">
        <v>922</v>
      </c>
      <c r="I71" s="60" t="s">
        <v>76</v>
      </c>
      <c r="J71" s="61" t="s">
        <v>77</v>
      </c>
      <c r="K71" s="23">
        <v>82</v>
      </c>
      <c r="L71" s="23" t="str">
        <f t="shared" si="0"/>
        <v>Mencapai kompetensi dengan baik dalam hal</v>
      </c>
      <c r="M71" s="23">
        <v>79</v>
      </c>
      <c r="N71" s="23" t="str">
        <f t="shared" si="1"/>
        <v>Mencapai kompetensi dengan baik dalam hal</v>
      </c>
      <c r="O71" s="23">
        <v>79</v>
      </c>
      <c r="P71" s="23" t="str">
        <f t="shared" si="2"/>
        <v>Mencapai kompetensi dengan baik dalam hal</v>
      </c>
      <c r="Q71" s="23">
        <v>80</v>
      </c>
      <c r="R71" s="23" t="str">
        <f t="shared" si="3"/>
        <v>Mencapai kompetensi dengan baik dalam hal</v>
      </c>
      <c r="S71" s="23">
        <v>84</v>
      </c>
      <c r="T71" s="23" t="str">
        <f t="shared" si="4"/>
        <v>Mencapai kompetensi dengan baik dalam hal</v>
      </c>
      <c r="U71" s="23">
        <v>83</v>
      </c>
      <c r="V71" s="23" t="str">
        <f t="shared" si="5"/>
        <v>Mencapai kompetensi dengan baik dalam hal</v>
      </c>
      <c r="W71" s="23">
        <v>75</v>
      </c>
      <c r="X71" s="23" t="str">
        <f t="shared" si="6"/>
        <v>Mencapai kompetensi dengan baik dalam hal</v>
      </c>
      <c r="Y71" s="23">
        <v>77</v>
      </c>
      <c r="Z71" s="23" t="str">
        <f t="shared" si="7"/>
        <v>Mencapai kompetensi dengan baik dalam hal</v>
      </c>
      <c r="AA71" s="23">
        <v>84</v>
      </c>
      <c r="AB71" s="23" t="str">
        <f t="shared" si="8"/>
        <v>Mencapai kompetensi dengan baik dalam hal</v>
      </c>
      <c r="AC71" s="23">
        <v>80</v>
      </c>
      <c r="AD71" s="23" t="str">
        <f t="shared" si="9"/>
        <v>Mencapai kompetensi dengan baik dalam hal</v>
      </c>
      <c r="AE71" s="23">
        <v>79</v>
      </c>
      <c r="AF71" s="23" t="str">
        <f t="shared" si="10"/>
        <v>Mencapai kompetensi dengan baik dalam hal</v>
      </c>
      <c r="AG71" s="23">
        <v>80</v>
      </c>
      <c r="AH71" s="23" t="str">
        <f t="shared" si="11"/>
        <v>Mencapai kompetensi dengan baik dalam hal</v>
      </c>
      <c r="AI71" s="62">
        <f t="shared" si="26"/>
        <v>79.5</v>
      </c>
      <c r="AJ71" s="23">
        <v>84</v>
      </c>
      <c r="AK71" s="23" t="str">
        <f t="shared" si="12"/>
        <v>Mencapai kompetensi dengan baik dalam hal</v>
      </c>
      <c r="AL71" s="23">
        <v>80</v>
      </c>
      <c r="AM71" s="18" t="str">
        <f t="shared" si="13"/>
        <v>Mencapai kompetensi dengan baik dalam hal</v>
      </c>
      <c r="AN71" s="23" t="s">
        <v>81</v>
      </c>
      <c r="AO71" s="23" t="s">
        <v>81</v>
      </c>
      <c r="AP71" s="23" t="s">
        <v>81</v>
      </c>
      <c r="AQ71" s="23">
        <v>1</v>
      </c>
      <c r="AR71" s="23" t="s">
        <v>82</v>
      </c>
      <c r="AS71" s="18" t="s">
        <v>83</v>
      </c>
      <c r="AT71" s="23" t="s">
        <v>86</v>
      </c>
      <c r="AU71" s="18" t="str">
        <f t="shared" si="23"/>
        <v>Sangat baik</v>
      </c>
      <c r="AV71" s="23">
        <v>2</v>
      </c>
      <c r="AW71" s="18" t="s">
        <v>170</v>
      </c>
      <c r="AX71" s="18" t="s">
        <v>83</v>
      </c>
      <c r="AY71" s="23" t="s">
        <v>84</v>
      </c>
      <c r="AZ71" s="18" t="str">
        <f t="shared" si="24"/>
        <v>Baik</v>
      </c>
      <c r="BA71" s="23"/>
      <c r="BB71" s="23"/>
      <c r="BC71" s="23"/>
      <c r="BD71" s="23"/>
      <c r="BE71" s="18"/>
      <c r="BG71" s="20"/>
      <c r="BH71" s="20"/>
      <c r="BN71" s="22">
        <f t="shared" si="25"/>
        <v>0</v>
      </c>
      <c r="BP71" s="115">
        <f t="shared" si="27"/>
        <v>80.5</v>
      </c>
      <c r="BQ71" s="22">
        <f t="shared" si="22"/>
        <v>8</v>
      </c>
    </row>
    <row r="72" spans="1:69" ht="24.95" customHeight="1" thickTop="1" thickBot="1" x14ac:dyDescent="0.3">
      <c r="A72" s="23">
        <v>71</v>
      </c>
      <c r="B72" s="23">
        <v>2525652</v>
      </c>
      <c r="C72" s="23" t="s">
        <v>989</v>
      </c>
      <c r="D72" s="18" t="s">
        <v>990</v>
      </c>
      <c r="E72" s="23" t="s">
        <v>920</v>
      </c>
      <c r="F72" s="23" t="s">
        <v>845</v>
      </c>
      <c r="G72" s="24" t="s">
        <v>921</v>
      </c>
      <c r="H72" s="24" t="s">
        <v>922</v>
      </c>
      <c r="I72" s="60" t="s">
        <v>76</v>
      </c>
      <c r="J72" s="61" t="s">
        <v>77</v>
      </c>
      <c r="K72" s="23">
        <v>79</v>
      </c>
      <c r="L72" s="23" t="str">
        <f t="shared" si="0"/>
        <v>Mencapai kompetensi dengan baik dalam hal</v>
      </c>
      <c r="M72" s="23">
        <v>77</v>
      </c>
      <c r="N72" s="23" t="str">
        <f t="shared" si="1"/>
        <v>Mencapai kompetensi dengan baik dalam hal</v>
      </c>
      <c r="O72" s="23">
        <v>80</v>
      </c>
      <c r="P72" s="23" t="str">
        <f t="shared" si="2"/>
        <v>Mencapai kompetensi dengan baik dalam hal</v>
      </c>
      <c r="Q72" s="23">
        <v>80</v>
      </c>
      <c r="R72" s="23" t="str">
        <f t="shared" si="3"/>
        <v>Mencapai kompetensi dengan baik dalam hal</v>
      </c>
      <c r="S72" s="23">
        <v>81</v>
      </c>
      <c r="T72" s="23" t="str">
        <f t="shared" si="4"/>
        <v>Mencapai kompetensi dengan baik dalam hal</v>
      </c>
      <c r="U72" s="23">
        <v>82</v>
      </c>
      <c r="V72" s="23" t="str">
        <f t="shared" si="5"/>
        <v>Mencapai kompetensi dengan baik dalam hal</v>
      </c>
      <c r="W72" s="23">
        <v>76</v>
      </c>
      <c r="X72" s="23" t="str">
        <f t="shared" si="6"/>
        <v>Mencapai kompetensi dengan baik dalam hal</v>
      </c>
      <c r="Y72" s="23">
        <v>78</v>
      </c>
      <c r="Z72" s="23" t="str">
        <f t="shared" si="7"/>
        <v>Mencapai kompetensi dengan baik dalam hal</v>
      </c>
      <c r="AA72" s="23">
        <v>82</v>
      </c>
      <c r="AB72" s="23" t="str">
        <f t="shared" si="8"/>
        <v>Mencapai kompetensi dengan baik dalam hal</v>
      </c>
      <c r="AC72" s="23">
        <v>82</v>
      </c>
      <c r="AD72" s="23" t="str">
        <f t="shared" si="9"/>
        <v>Mencapai kompetensi dengan baik dalam hal</v>
      </c>
      <c r="AE72" s="23">
        <v>77</v>
      </c>
      <c r="AF72" s="23" t="str">
        <f t="shared" si="10"/>
        <v>Mencapai kompetensi dengan baik dalam hal</v>
      </c>
      <c r="AG72" s="23">
        <v>78</v>
      </c>
      <c r="AH72" s="23" t="str">
        <f t="shared" si="11"/>
        <v>Mencapai kompetensi dengan baik dalam hal</v>
      </c>
      <c r="AI72" s="62">
        <f t="shared" si="26"/>
        <v>77.5</v>
      </c>
      <c r="AJ72" s="23">
        <v>82</v>
      </c>
      <c r="AK72" s="23" t="str">
        <f t="shared" si="12"/>
        <v>Mencapai kompetensi dengan baik dalam hal</v>
      </c>
      <c r="AL72" s="23">
        <v>79</v>
      </c>
      <c r="AM72" s="18" t="str">
        <f t="shared" si="13"/>
        <v>Mencapai kompetensi dengan baik dalam hal</v>
      </c>
      <c r="AN72" s="23" t="s">
        <v>81</v>
      </c>
      <c r="AO72" s="23" t="s">
        <v>81</v>
      </c>
      <c r="AP72" s="23" t="s">
        <v>81</v>
      </c>
      <c r="AQ72" s="23">
        <v>1</v>
      </c>
      <c r="AR72" s="23" t="s">
        <v>82</v>
      </c>
      <c r="AS72" s="18" t="s">
        <v>83</v>
      </c>
      <c r="AT72" s="23" t="s">
        <v>86</v>
      </c>
      <c r="AU72" s="18" t="str">
        <f t="shared" si="23"/>
        <v>Sangat baik</v>
      </c>
      <c r="AV72" s="23">
        <v>2</v>
      </c>
      <c r="AW72" s="18" t="s">
        <v>85</v>
      </c>
      <c r="AX72" s="18" t="s">
        <v>83</v>
      </c>
      <c r="AY72" s="23" t="s">
        <v>84</v>
      </c>
      <c r="AZ72" s="18" t="str">
        <f t="shared" si="24"/>
        <v>Baik</v>
      </c>
      <c r="BA72" s="23"/>
      <c r="BB72" s="23"/>
      <c r="BC72" s="23"/>
      <c r="BD72" s="23"/>
      <c r="BE72" s="18"/>
      <c r="BG72" s="20"/>
      <c r="BH72" s="20"/>
      <c r="BN72" s="22">
        <f t="shared" si="25"/>
        <v>0</v>
      </c>
      <c r="BP72" s="115">
        <f t="shared" si="27"/>
        <v>79.65384615384616</v>
      </c>
      <c r="BQ72" s="22">
        <f t="shared" si="22"/>
        <v>20</v>
      </c>
    </row>
    <row r="73" spans="1:69" ht="24.95" customHeight="1" thickTop="1" thickBot="1" x14ac:dyDescent="0.3">
      <c r="A73" s="23">
        <v>72</v>
      </c>
      <c r="B73" s="23">
        <v>2525653</v>
      </c>
      <c r="C73" s="23" t="s">
        <v>991</v>
      </c>
      <c r="D73" s="18" t="s">
        <v>992</v>
      </c>
      <c r="E73" s="23" t="s">
        <v>920</v>
      </c>
      <c r="F73" s="23" t="s">
        <v>845</v>
      </c>
      <c r="G73" s="24" t="s">
        <v>921</v>
      </c>
      <c r="H73" s="24" t="s">
        <v>922</v>
      </c>
      <c r="I73" s="60" t="s">
        <v>76</v>
      </c>
      <c r="J73" s="61" t="s">
        <v>77</v>
      </c>
      <c r="K73" s="23">
        <v>78</v>
      </c>
      <c r="L73" s="23" t="str">
        <f t="shared" si="0"/>
        <v>Mencapai kompetensi dengan baik dalam hal</v>
      </c>
      <c r="M73" s="23">
        <v>76</v>
      </c>
      <c r="N73" s="23" t="str">
        <f t="shared" si="1"/>
        <v>Mencapai kompetensi dengan baik dalam hal</v>
      </c>
      <c r="O73" s="23">
        <v>79</v>
      </c>
      <c r="P73" s="23" t="str">
        <f t="shared" si="2"/>
        <v>Mencapai kompetensi dengan baik dalam hal</v>
      </c>
      <c r="Q73" s="23">
        <v>82</v>
      </c>
      <c r="R73" s="23" t="str">
        <f t="shared" si="3"/>
        <v>Mencapai kompetensi dengan baik dalam hal</v>
      </c>
      <c r="S73" s="23">
        <v>80</v>
      </c>
      <c r="T73" s="23" t="str">
        <f t="shared" si="4"/>
        <v>Mencapai kompetensi dengan baik dalam hal</v>
      </c>
      <c r="U73" s="23">
        <v>80</v>
      </c>
      <c r="V73" s="23" t="str">
        <f t="shared" si="5"/>
        <v>Mencapai kompetensi dengan baik dalam hal</v>
      </c>
      <c r="W73" s="23">
        <v>75</v>
      </c>
      <c r="X73" s="23" t="str">
        <f t="shared" si="6"/>
        <v>Mencapai kompetensi dengan baik dalam hal</v>
      </c>
      <c r="Y73" s="23">
        <v>80</v>
      </c>
      <c r="Z73" s="23" t="str">
        <f t="shared" si="7"/>
        <v>Mencapai kompetensi dengan baik dalam hal</v>
      </c>
      <c r="AA73" s="23">
        <v>86</v>
      </c>
      <c r="AB73" s="23" t="str">
        <f t="shared" si="8"/>
        <v>Mencapai kompetensi dengan baik dalam hal</v>
      </c>
      <c r="AC73" s="23">
        <v>80</v>
      </c>
      <c r="AD73" s="23" t="str">
        <f t="shared" si="9"/>
        <v>Mencapai kompetensi dengan baik dalam hal</v>
      </c>
      <c r="AE73" s="23">
        <v>79</v>
      </c>
      <c r="AF73" s="23" t="str">
        <f t="shared" si="10"/>
        <v>Mencapai kompetensi dengan baik dalam hal</v>
      </c>
      <c r="AG73" s="23">
        <v>80</v>
      </c>
      <c r="AH73" s="23" t="str">
        <f t="shared" si="11"/>
        <v>Mencapai kompetensi dengan baik dalam hal</v>
      </c>
      <c r="AI73" s="62">
        <f t="shared" si="26"/>
        <v>79.5</v>
      </c>
      <c r="AJ73" s="23">
        <v>86</v>
      </c>
      <c r="AK73" s="23" t="str">
        <f t="shared" si="12"/>
        <v>Mencapai kompetensi dengan baik dalam hal</v>
      </c>
      <c r="AL73" s="23">
        <v>79</v>
      </c>
      <c r="AM73" s="18" t="str">
        <f t="shared" si="13"/>
        <v>Mencapai kompetensi dengan baik dalam hal</v>
      </c>
      <c r="AN73" s="23" t="s">
        <v>81</v>
      </c>
      <c r="AO73" s="23" t="s">
        <v>81</v>
      </c>
      <c r="AP73" s="23" t="s">
        <v>81</v>
      </c>
      <c r="AQ73" s="23">
        <v>1</v>
      </c>
      <c r="AR73" s="23" t="s">
        <v>82</v>
      </c>
      <c r="AS73" s="18" t="s">
        <v>83</v>
      </c>
      <c r="AT73" s="23" t="s">
        <v>84</v>
      </c>
      <c r="AU73" s="18" t="str">
        <f t="shared" si="23"/>
        <v>Baik</v>
      </c>
      <c r="AV73" s="23">
        <v>2</v>
      </c>
      <c r="AW73" s="18" t="s">
        <v>103</v>
      </c>
      <c r="AX73" s="18" t="s">
        <v>83</v>
      </c>
      <c r="AY73" s="23" t="s">
        <v>84</v>
      </c>
      <c r="AZ73" s="18" t="str">
        <f t="shared" si="24"/>
        <v>Baik</v>
      </c>
      <c r="BA73" s="23"/>
      <c r="BB73" s="23"/>
      <c r="BC73" s="23"/>
      <c r="BD73" s="23"/>
      <c r="BE73" s="18"/>
      <c r="BG73" s="20"/>
      <c r="BH73" s="20"/>
      <c r="BN73" s="22">
        <f t="shared" si="25"/>
        <v>0</v>
      </c>
      <c r="BP73" s="115">
        <f t="shared" si="27"/>
        <v>80.038461538461533</v>
      </c>
      <c r="BQ73" s="22">
        <f t="shared" si="22"/>
        <v>15</v>
      </c>
    </row>
    <row r="74" spans="1:69" ht="24.95" customHeight="1" thickTop="1" thickBot="1" x14ac:dyDescent="0.3">
      <c r="A74" s="23">
        <v>73</v>
      </c>
      <c r="B74" s="23">
        <v>2525654</v>
      </c>
      <c r="C74" s="23" t="s">
        <v>993</v>
      </c>
      <c r="D74" s="18" t="s">
        <v>994</v>
      </c>
      <c r="E74" s="23" t="s">
        <v>995</v>
      </c>
      <c r="F74" s="23" t="s">
        <v>845</v>
      </c>
      <c r="G74" s="24" t="s">
        <v>996</v>
      </c>
      <c r="H74" s="24" t="s">
        <v>997</v>
      </c>
      <c r="I74" s="60" t="s">
        <v>76</v>
      </c>
      <c r="J74" s="61" t="s">
        <v>77</v>
      </c>
      <c r="K74" s="23">
        <v>81</v>
      </c>
      <c r="L74" s="23" t="str">
        <f t="shared" si="0"/>
        <v>Mencapai kompetensi dengan baik dalam hal</v>
      </c>
      <c r="M74" s="23">
        <v>78</v>
      </c>
      <c r="N74" s="23" t="str">
        <f t="shared" si="1"/>
        <v>Mencapai kompetensi dengan baik dalam hal</v>
      </c>
      <c r="O74" s="23">
        <v>81</v>
      </c>
      <c r="P74" s="23" t="str">
        <f t="shared" si="2"/>
        <v>Mencapai kompetensi dengan baik dalam hal</v>
      </c>
      <c r="Q74" s="23">
        <v>78</v>
      </c>
      <c r="R74" s="23" t="str">
        <f t="shared" si="3"/>
        <v>Mencapai kompetensi dengan baik dalam hal</v>
      </c>
      <c r="S74" s="23">
        <v>87</v>
      </c>
      <c r="T74" s="23" t="str">
        <f t="shared" si="4"/>
        <v>Mencapai kompetensi dengan baik dalam hal</v>
      </c>
      <c r="U74" s="23">
        <v>82</v>
      </c>
      <c r="V74" s="23" t="str">
        <f t="shared" si="5"/>
        <v>Mencapai kompetensi dengan baik dalam hal</v>
      </c>
      <c r="W74" s="23">
        <v>76</v>
      </c>
      <c r="X74" s="23" t="str">
        <f t="shared" si="6"/>
        <v>Mencapai kompetensi dengan baik dalam hal</v>
      </c>
      <c r="Y74" s="23">
        <v>76</v>
      </c>
      <c r="Z74" s="23" t="str">
        <f t="shared" si="7"/>
        <v>Mencapai kompetensi dengan baik dalam hal</v>
      </c>
      <c r="AA74" s="23">
        <v>88</v>
      </c>
      <c r="AB74" s="23" t="str">
        <f t="shared" si="8"/>
        <v>Mencapai kompetensi dengan baik dalam hal</v>
      </c>
      <c r="AC74" s="23">
        <v>83</v>
      </c>
      <c r="AD74" s="23" t="str">
        <f t="shared" si="9"/>
        <v>Mencapai kompetensi dengan baik dalam hal</v>
      </c>
      <c r="AE74" s="23">
        <v>78</v>
      </c>
      <c r="AF74" s="23" t="str">
        <f t="shared" si="10"/>
        <v>Mencapai kompetensi dengan baik dalam hal</v>
      </c>
      <c r="AG74" s="23">
        <v>79</v>
      </c>
      <c r="AH74" s="23" t="str">
        <f t="shared" si="11"/>
        <v>Mencapai kompetensi dengan baik dalam hal</v>
      </c>
      <c r="AI74" s="62">
        <f t="shared" si="26"/>
        <v>78.5</v>
      </c>
      <c r="AJ74" s="23">
        <v>88</v>
      </c>
      <c r="AK74" s="23" t="str">
        <f t="shared" si="12"/>
        <v>Mencapai kompetensi dengan baik dalam hal</v>
      </c>
      <c r="AL74" s="23">
        <v>82</v>
      </c>
      <c r="AM74" s="18" t="str">
        <f t="shared" si="13"/>
        <v>Mencapai kompetensi dengan baik dalam hal</v>
      </c>
      <c r="AN74" s="23" t="s">
        <v>81</v>
      </c>
      <c r="AO74" s="23" t="s">
        <v>81</v>
      </c>
      <c r="AP74" s="23" t="s">
        <v>81</v>
      </c>
      <c r="AQ74" s="23">
        <v>1</v>
      </c>
      <c r="AR74" s="23" t="s">
        <v>82</v>
      </c>
      <c r="AS74" s="18" t="s">
        <v>83</v>
      </c>
      <c r="AT74" s="23" t="s">
        <v>86</v>
      </c>
      <c r="AU74" s="18" t="str">
        <f t="shared" si="23"/>
        <v>Sangat baik</v>
      </c>
      <c r="AV74" s="23">
        <v>2</v>
      </c>
      <c r="AW74" s="18" t="s">
        <v>99</v>
      </c>
      <c r="AX74" s="18" t="s">
        <v>83</v>
      </c>
      <c r="AY74" s="23" t="s">
        <v>84</v>
      </c>
      <c r="AZ74" s="18" t="str">
        <f t="shared" si="24"/>
        <v>Baik</v>
      </c>
      <c r="BA74" s="23"/>
      <c r="BB74" s="23"/>
      <c r="BC74" s="23"/>
      <c r="BD74" s="23"/>
      <c r="BE74" s="18"/>
      <c r="BG74" s="20"/>
      <c r="BH74" s="20"/>
      <c r="BN74" s="22">
        <f t="shared" si="25"/>
        <v>0</v>
      </c>
      <c r="BP74" s="115">
        <f t="shared" si="27"/>
        <v>81.42307692307692</v>
      </c>
      <c r="BQ74" s="22">
        <f>_xlfn.RANK.EQ(BP74,$BP$74:$BP$107,0)</f>
        <v>6</v>
      </c>
    </row>
    <row r="75" spans="1:69" ht="24.95" customHeight="1" thickTop="1" thickBot="1" x14ac:dyDescent="0.3">
      <c r="A75" s="23">
        <v>74</v>
      </c>
      <c r="B75" s="23">
        <v>2525655</v>
      </c>
      <c r="C75" s="23" t="s">
        <v>998</v>
      </c>
      <c r="D75" s="18" t="s">
        <v>999</v>
      </c>
      <c r="E75" s="23" t="s">
        <v>995</v>
      </c>
      <c r="F75" s="23" t="s">
        <v>845</v>
      </c>
      <c r="G75" s="24" t="s">
        <v>996</v>
      </c>
      <c r="H75" s="24" t="s">
        <v>997</v>
      </c>
      <c r="I75" s="60" t="s">
        <v>76</v>
      </c>
      <c r="J75" s="61" t="s">
        <v>77</v>
      </c>
      <c r="K75" s="23">
        <v>80</v>
      </c>
      <c r="L75" s="23" t="str">
        <f t="shared" si="0"/>
        <v>Mencapai kompetensi dengan baik dalam hal</v>
      </c>
      <c r="M75" s="23">
        <v>76</v>
      </c>
      <c r="N75" s="23" t="str">
        <f t="shared" si="1"/>
        <v>Mencapai kompetensi dengan baik dalam hal</v>
      </c>
      <c r="O75" s="23">
        <v>81</v>
      </c>
      <c r="P75" s="23" t="str">
        <f t="shared" si="2"/>
        <v>Mencapai kompetensi dengan baik dalam hal</v>
      </c>
      <c r="Q75" s="23">
        <v>80</v>
      </c>
      <c r="R75" s="23" t="str">
        <f t="shared" si="3"/>
        <v>Mencapai kompetensi dengan baik dalam hal</v>
      </c>
      <c r="S75" s="23">
        <v>87</v>
      </c>
      <c r="T75" s="23" t="str">
        <f t="shared" si="4"/>
        <v>Mencapai kompetensi dengan baik dalam hal</v>
      </c>
      <c r="U75" s="23">
        <v>79</v>
      </c>
      <c r="V75" s="23" t="str">
        <f t="shared" si="5"/>
        <v>Mencapai kompetensi dengan baik dalam hal</v>
      </c>
      <c r="W75" s="23">
        <v>75</v>
      </c>
      <c r="X75" s="23" t="str">
        <f t="shared" si="6"/>
        <v>Mencapai kompetensi dengan baik dalam hal</v>
      </c>
      <c r="Y75" s="23">
        <v>81</v>
      </c>
      <c r="Z75" s="23" t="str">
        <f t="shared" si="7"/>
        <v>Mencapai kompetensi dengan baik dalam hal</v>
      </c>
      <c r="AA75" s="23">
        <v>81</v>
      </c>
      <c r="AB75" s="23" t="str">
        <f t="shared" si="8"/>
        <v>Mencapai kompetensi dengan baik dalam hal</v>
      </c>
      <c r="AC75" s="23">
        <v>79</v>
      </c>
      <c r="AD75" s="23" t="str">
        <f t="shared" si="9"/>
        <v>Mencapai kompetensi dengan baik dalam hal</v>
      </c>
      <c r="AE75" s="23">
        <v>78</v>
      </c>
      <c r="AF75" s="23" t="str">
        <f t="shared" si="10"/>
        <v>Mencapai kompetensi dengan baik dalam hal</v>
      </c>
      <c r="AG75" s="23">
        <v>79</v>
      </c>
      <c r="AH75" s="23" t="str">
        <f t="shared" si="11"/>
        <v>Mencapai kompetensi dengan baik dalam hal</v>
      </c>
      <c r="AI75" s="62">
        <f t="shared" si="26"/>
        <v>78.5</v>
      </c>
      <c r="AJ75" s="23">
        <v>81</v>
      </c>
      <c r="AK75" s="23" t="str">
        <f t="shared" si="12"/>
        <v>Mencapai kompetensi dengan baik dalam hal</v>
      </c>
      <c r="AL75" s="23">
        <v>76</v>
      </c>
      <c r="AM75" s="18" t="str">
        <f t="shared" si="13"/>
        <v>Mencapai kompetensi dengan baik dalam hal</v>
      </c>
      <c r="AN75" s="23" t="s">
        <v>81</v>
      </c>
      <c r="AO75" s="23" t="s">
        <v>81</v>
      </c>
      <c r="AP75" s="23" t="s">
        <v>81</v>
      </c>
      <c r="AQ75" s="23">
        <v>1</v>
      </c>
      <c r="AR75" s="23" t="s">
        <v>82</v>
      </c>
      <c r="AS75" s="18" t="s">
        <v>83</v>
      </c>
      <c r="AT75" s="23" t="s">
        <v>84</v>
      </c>
      <c r="AU75" s="18" t="str">
        <f t="shared" si="23"/>
        <v>Baik</v>
      </c>
      <c r="AV75" s="23">
        <v>2</v>
      </c>
      <c r="AW75" s="18" t="s">
        <v>579</v>
      </c>
      <c r="AX75" s="18" t="s">
        <v>83</v>
      </c>
      <c r="AY75" s="23" t="s">
        <v>84</v>
      </c>
      <c r="AZ75" s="18" t="str">
        <f t="shared" si="24"/>
        <v>Baik</v>
      </c>
      <c r="BA75" s="23"/>
      <c r="BB75" s="23"/>
      <c r="BC75" s="23"/>
      <c r="BD75" s="23"/>
      <c r="BE75" s="18"/>
      <c r="BG75" s="20"/>
      <c r="BH75" s="20"/>
      <c r="BN75" s="22">
        <f t="shared" si="25"/>
        <v>0</v>
      </c>
      <c r="BP75" s="115">
        <f t="shared" si="27"/>
        <v>79.57692307692308</v>
      </c>
      <c r="BQ75" s="22">
        <f t="shared" ref="BQ75:BQ107" si="28">_xlfn.RANK.EQ(BP75,$BP$74:$BP$107,0)</f>
        <v>17</v>
      </c>
    </row>
    <row r="76" spans="1:69" ht="24.95" customHeight="1" thickTop="1" thickBot="1" x14ac:dyDescent="0.3">
      <c r="A76" s="23">
        <v>75</v>
      </c>
      <c r="B76" s="23">
        <v>2525656</v>
      </c>
      <c r="C76" s="23" t="s">
        <v>1000</v>
      </c>
      <c r="D76" s="18" t="s">
        <v>1001</v>
      </c>
      <c r="E76" s="23" t="s">
        <v>995</v>
      </c>
      <c r="F76" s="23" t="s">
        <v>845</v>
      </c>
      <c r="G76" s="24" t="s">
        <v>996</v>
      </c>
      <c r="H76" s="24" t="s">
        <v>997</v>
      </c>
      <c r="I76" s="60" t="s">
        <v>76</v>
      </c>
      <c r="J76" s="61" t="s">
        <v>77</v>
      </c>
      <c r="K76" s="23">
        <v>83</v>
      </c>
      <c r="L76" s="23" t="str">
        <f t="shared" si="0"/>
        <v>Mencapai kompetensi dengan baik dalam hal</v>
      </c>
      <c r="M76" s="23">
        <v>75</v>
      </c>
      <c r="N76" s="23" t="str">
        <f t="shared" si="1"/>
        <v>Mencapai kompetensi dengan baik dalam hal</v>
      </c>
      <c r="O76" s="23">
        <v>80</v>
      </c>
      <c r="P76" s="23" t="str">
        <f t="shared" si="2"/>
        <v>Mencapai kompetensi dengan baik dalam hal</v>
      </c>
      <c r="Q76" s="23">
        <v>78</v>
      </c>
      <c r="R76" s="23" t="str">
        <f t="shared" si="3"/>
        <v>Mencapai kompetensi dengan baik dalam hal</v>
      </c>
      <c r="S76" s="23">
        <v>85</v>
      </c>
      <c r="T76" s="23" t="str">
        <f t="shared" si="4"/>
        <v>Mencapai kompetensi dengan baik dalam hal</v>
      </c>
      <c r="U76" s="23">
        <v>77</v>
      </c>
      <c r="V76" s="23" t="str">
        <f t="shared" si="5"/>
        <v>Mencapai kompetensi dengan baik dalam hal</v>
      </c>
      <c r="W76" s="23">
        <v>75</v>
      </c>
      <c r="X76" s="23" t="str">
        <f t="shared" si="6"/>
        <v>Mencapai kompetensi dengan baik dalam hal</v>
      </c>
      <c r="Y76" s="23">
        <v>76</v>
      </c>
      <c r="Z76" s="23" t="str">
        <f t="shared" si="7"/>
        <v>Mencapai kompetensi dengan baik dalam hal</v>
      </c>
      <c r="AA76" s="23">
        <v>81</v>
      </c>
      <c r="AB76" s="23" t="str">
        <f t="shared" si="8"/>
        <v>Mencapai kompetensi dengan baik dalam hal</v>
      </c>
      <c r="AC76" s="23">
        <v>83</v>
      </c>
      <c r="AD76" s="23" t="str">
        <f t="shared" si="9"/>
        <v>Mencapai kompetensi dengan baik dalam hal</v>
      </c>
      <c r="AE76" s="23">
        <v>77</v>
      </c>
      <c r="AF76" s="23" t="str">
        <f t="shared" si="10"/>
        <v>Mencapai kompetensi dengan baik dalam hal</v>
      </c>
      <c r="AG76" s="23">
        <v>78</v>
      </c>
      <c r="AH76" s="23" t="str">
        <f t="shared" si="11"/>
        <v>Mencapai kompetensi dengan baik dalam hal</v>
      </c>
      <c r="AI76" s="62">
        <f t="shared" si="26"/>
        <v>77.5</v>
      </c>
      <c r="AJ76" s="23">
        <v>81</v>
      </c>
      <c r="AK76" s="23" t="str">
        <f t="shared" si="12"/>
        <v>Mencapai kompetensi dengan baik dalam hal</v>
      </c>
      <c r="AL76" s="23">
        <v>77</v>
      </c>
      <c r="AM76" s="18" t="str">
        <f t="shared" si="13"/>
        <v>Mencapai kompetensi dengan baik dalam hal</v>
      </c>
      <c r="AN76" s="23">
        <v>2</v>
      </c>
      <c r="AO76" s="23" t="s">
        <v>81</v>
      </c>
      <c r="AP76" s="23" t="s">
        <v>81</v>
      </c>
      <c r="AQ76" s="23">
        <v>1</v>
      </c>
      <c r="AR76" s="23" t="s">
        <v>82</v>
      </c>
      <c r="AS76" s="18" t="s">
        <v>83</v>
      </c>
      <c r="AT76" s="23" t="s">
        <v>86</v>
      </c>
      <c r="AU76" s="18" t="str">
        <f t="shared" si="23"/>
        <v>Sangat baik</v>
      </c>
      <c r="AV76" s="23">
        <v>2</v>
      </c>
      <c r="AW76" s="18" t="s">
        <v>179</v>
      </c>
      <c r="AX76" s="18" t="s">
        <v>83</v>
      </c>
      <c r="AY76" s="23" t="s">
        <v>86</v>
      </c>
      <c r="AZ76" s="18" t="str">
        <f t="shared" si="24"/>
        <v>Sangat baik</v>
      </c>
      <c r="BA76" s="23"/>
      <c r="BB76" s="23"/>
      <c r="BC76" s="23"/>
      <c r="BD76" s="23"/>
      <c r="BE76" s="18"/>
      <c r="BG76" s="20"/>
      <c r="BH76" s="20"/>
      <c r="BN76" s="22">
        <f t="shared" si="25"/>
        <v>0</v>
      </c>
      <c r="BP76" s="115">
        <f t="shared" si="27"/>
        <v>79.115384615384613</v>
      </c>
      <c r="BQ76" s="22">
        <f t="shared" si="28"/>
        <v>23</v>
      </c>
    </row>
    <row r="77" spans="1:69" ht="24.95" customHeight="1" thickTop="1" thickBot="1" x14ac:dyDescent="0.3">
      <c r="A77" s="23">
        <v>76</v>
      </c>
      <c r="B77" s="23">
        <v>2525657</v>
      </c>
      <c r="C77" s="23" t="s">
        <v>1002</v>
      </c>
      <c r="D77" s="18" t="s">
        <v>1003</v>
      </c>
      <c r="E77" s="23" t="s">
        <v>995</v>
      </c>
      <c r="F77" s="23" t="s">
        <v>845</v>
      </c>
      <c r="G77" s="24" t="s">
        <v>996</v>
      </c>
      <c r="H77" s="24" t="s">
        <v>997</v>
      </c>
      <c r="I77" s="60" t="s">
        <v>76</v>
      </c>
      <c r="J77" s="61" t="s">
        <v>77</v>
      </c>
      <c r="K77" s="23">
        <v>81</v>
      </c>
      <c r="L77" s="23" t="str">
        <f t="shared" si="0"/>
        <v>Mencapai kompetensi dengan baik dalam hal</v>
      </c>
      <c r="M77" s="23">
        <v>82</v>
      </c>
      <c r="N77" s="23" t="str">
        <f t="shared" si="1"/>
        <v>Mencapai kompetensi dengan baik dalam hal</v>
      </c>
      <c r="O77" s="23">
        <v>81</v>
      </c>
      <c r="P77" s="23" t="str">
        <f t="shared" si="2"/>
        <v>Mencapai kompetensi dengan baik dalam hal</v>
      </c>
      <c r="Q77" s="23">
        <v>80</v>
      </c>
      <c r="R77" s="23" t="str">
        <f t="shared" si="3"/>
        <v>Mencapai kompetensi dengan baik dalam hal</v>
      </c>
      <c r="S77" s="23">
        <v>87</v>
      </c>
      <c r="T77" s="23" t="str">
        <f t="shared" si="4"/>
        <v>Mencapai kompetensi dengan baik dalam hal</v>
      </c>
      <c r="U77" s="23">
        <v>85</v>
      </c>
      <c r="V77" s="23" t="str">
        <f t="shared" si="5"/>
        <v>Mencapai kompetensi dengan baik dalam hal</v>
      </c>
      <c r="W77" s="23">
        <v>75</v>
      </c>
      <c r="X77" s="23" t="str">
        <f t="shared" si="6"/>
        <v>Mencapai kompetensi dengan baik dalam hal</v>
      </c>
      <c r="Y77" s="23">
        <v>79</v>
      </c>
      <c r="Z77" s="23" t="str">
        <f t="shared" si="7"/>
        <v>Mencapai kompetensi dengan baik dalam hal</v>
      </c>
      <c r="AA77" s="23">
        <v>81</v>
      </c>
      <c r="AB77" s="23" t="str">
        <f t="shared" si="8"/>
        <v>Mencapai kompetensi dengan baik dalam hal</v>
      </c>
      <c r="AC77" s="23">
        <v>83</v>
      </c>
      <c r="AD77" s="23" t="str">
        <f t="shared" si="9"/>
        <v>Mencapai kompetensi dengan baik dalam hal</v>
      </c>
      <c r="AE77" s="23">
        <v>83</v>
      </c>
      <c r="AF77" s="23" t="str">
        <f t="shared" si="10"/>
        <v>Mencapai kompetensi dengan baik dalam hal</v>
      </c>
      <c r="AG77" s="23">
        <v>84</v>
      </c>
      <c r="AH77" s="23" t="str">
        <f t="shared" si="11"/>
        <v>Mencapai kompetensi dengan baik dalam hal</v>
      </c>
      <c r="AI77" s="62">
        <f t="shared" si="26"/>
        <v>83.5</v>
      </c>
      <c r="AJ77" s="23">
        <v>81</v>
      </c>
      <c r="AK77" s="23" t="str">
        <f t="shared" si="12"/>
        <v>Mencapai kompetensi dengan baik dalam hal</v>
      </c>
      <c r="AL77" s="23">
        <v>75</v>
      </c>
      <c r="AM77" s="18" t="str">
        <f t="shared" si="13"/>
        <v>Mencapai kompetensi dengan baik dalam hal</v>
      </c>
      <c r="AN77" s="23" t="s">
        <v>81</v>
      </c>
      <c r="AO77" s="23" t="s">
        <v>81</v>
      </c>
      <c r="AP77" s="23" t="s">
        <v>81</v>
      </c>
      <c r="AQ77" s="23">
        <v>1</v>
      </c>
      <c r="AR77" s="23" t="s">
        <v>82</v>
      </c>
      <c r="AS77" s="18" t="s">
        <v>83</v>
      </c>
      <c r="AT77" s="23" t="s">
        <v>84</v>
      </c>
      <c r="AU77" s="18" t="str">
        <f t="shared" si="23"/>
        <v>Baik</v>
      </c>
      <c r="AV77" s="23">
        <v>2</v>
      </c>
      <c r="AW77" s="18" t="s">
        <v>170</v>
      </c>
      <c r="AX77" s="18" t="s">
        <v>83</v>
      </c>
      <c r="AY77" s="23" t="s">
        <v>84</v>
      </c>
      <c r="AZ77" s="18" t="str">
        <f t="shared" si="24"/>
        <v>Baik</v>
      </c>
      <c r="BA77" s="23"/>
      <c r="BB77" s="23"/>
      <c r="BC77" s="23"/>
      <c r="BD77" s="23"/>
      <c r="BE77" s="18"/>
      <c r="BG77" s="20"/>
      <c r="BH77" s="20"/>
      <c r="BN77" s="22">
        <f t="shared" si="25"/>
        <v>0</v>
      </c>
      <c r="BP77" s="115">
        <f t="shared" si="27"/>
        <v>81.038461538461533</v>
      </c>
      <c r="BQ77" s="22">
        <f t="shared" si="28"/>
        <v>8</v>
      </c>
    </row>
    <row r="78" spans="1:69" ht="24.95" customHeight="1" thickTop="1" thickBot="1" x14ac:dyDescent="0.3">
      <c r="A78" s="23">
        <v>77</v>
      </c>
      <c r="B78" s="23">
        <v>2525658</v>
      </c>
      <c r="C78" s="23" t="s">
        <v>1004</v>
      </c>
      <c r="D78" s="18" t="s">
        <v>1005</v>
      </c>
      <c r="E78" s="23" t="s">
        <v>995</v>
      </c>
      <c r="F78" s="23" t="s">
        <v>845</v>
      </c>
      <c r="G78" s="24" t="s">
        <v>996</v>
      </c>
      <c r="H78" s="24" t="s">
        <v>997</v>
      </c>
      <c r="I78" s="60" t="s">
        <v>76</v>
      </c>
      <c r="J78" s="61" t="s">
        <v>77</v>
      </c>
      <c r="K78" s="23">
        <v>81</v>
      </c>
      <c r="L78" s="23" t="str">
        <f t="shared" si="0"/>
        <v>Mencapai kompetensi dengan baik dalam hal</v>
      </c>
      <c r="M78" s="23">
        <v>84</v>
      </c>
      <c r="N78" s="23" t="str">
        <f t="shared" si="1"/>
        <v>Mencapai kompetensi dengan baik dalam hal</v>
      </c>
      <c r="O78" s="23">
        <v>80</v>
      </c>
      <c r="P78" s="23" t="str">
        <f t="shared" si="2"/>
        <v>Mencapai kompetensi dengan baik dalam hal</v>
      </c>
      <c r="Q78" s="23">
        <v>78</v>
      </c>
      <c r="R78" s="23" t="str">
        <f t="shared" si="3"/>
        <v>Mencapai kompetensi dengan baik dalam hal</v>
      </c>
      <c r="S78" s="23">
        <v>89</v>
      </c>
      <c r="T78" s="23" t="str">
        <f t="shared" si="4"/>
        <v>Mencapai kompetensi dengan baik dalam hal</v>
      </c>
      <c r="U78" s="23">
        <v>81</v>
      </c>
      <c r="V78" s="23" t="str">
        <f t="shared" si="5"/>
        <v>Mencapai kompetensi dengan baik dalam hal</v>
      </c>
      <c r="W78" s="23">
        <v>75</v>
      </c>
      <c r="X78" s="23" t="str">
        <f t="shared" si="6"/>
        <v>Mencapai kompetensi dengan baik dalam hal</v>
      </c>
      <c r="Y78" s="23">
        <v>80</v>
      </c>
      <c r="Z78" s="23" t="str">
        <f t="shared" si="7"/>
        <v>Mencapai kompetensi dengan baik dalam hal</v>
      </c>
      <c r="AA78" s="23">
        <v>88</v>
      </c>
      <c r="AB78" s="23" t="str">
        <f t="shared" si="8"/>
        <v>Mencapai kompetensi dengan baik dalam hal</v>
      </c>
      <c r="AC78" s="23">
        <v>83</v>
      </c>
      <c r="AD78" s="23" t="str">
        <f t="shared" si="9"/>
        <v>Mencapai kompetensi dengan baik dalam hal</v>
      </c>
      <c r="AE78" s="23">
        <v>78</v>
      </c>
      <c r="AF78" s="23" t="str">
        <f t="shared" si="10"/>
        <v>Mencapai kompetensi dengan baik dalam hal</v>
      </c>
      <c r="AG78" s="23">
        <v>79</v>
      </c>
      <c r="AH78" s="23" t="str">
        <f t="shared" si="11"/>
        <v>Mencapai kompetensi dengan baik dalam hal</v>
      </c>
      <c r="AI78" s="62">
        <f t="shared" si="26"/>
        <v>78.5</v>
      </c>
      <c r="AJ78" s="23">
        <v>88</v>
      </c>
      <c r="AK78" s="23" t="str">
        <f t="shared" si="12"/>
        <v>Mencapai kompetensi dengan baik dalam hal</v>
      </c>
      <c r="AL78" s="23">
        <v>80</v>
      </c>
      <c r="AM78" s="18" t="str">
        <f t="shared" si="13"/>
        <v>Mencapai kompetensi dengan baik dalam hal</v>
      </c>
      <c r="AN78" s="23">
        <v>1</v>
      </c>
      <c r="AO78" s="23" t="s">
        <v>81</v>
      </c>
      <c r="AP78" s="23" t="s">
        <v>81</v>
      </c>
      <c r="AQ78" s="23">
        <v>1</v>
      </c>
      <c r="AR78" s="23" t="s">
        <v>82</v>
      </c>
      <c r="AS78" s="18" t="s">
        <v>83</v>
      </c>
      <c r="AT78" s="23" t="s">
        <v>86</v>
      </c>
      <c r="AU78" s="18" t="str">
        <f t="shared" si="23"/>
        <v>Sangat baik</v>
      </c>
      <c r="AV78" s="23">
        <v>2</v>
      </c>
      <c r="AW78" s="18" t="s">
        <v>212</v>
      </c>
      <c r="AX78" s="18" t="s">
        <v>83</v>
      </c>
      <c r="AY78" s="23" t="s">
        <v>86</v>
      </c>
      <c r="AZ78" s="18" t="str">
        <f t="shared" si="24"/>
        <v>Sangat baik</v>
      </c>
      <c r="BA78" s="23"/>
      <c r="BB78" s="23"/>
      <c r="BC78" s="23"/>
      <c r="BD78" s="23"/>
      <c r="BE78" s="18"/>
      <c r="BG78" s="20"/>
      <c r="BH78" s="20"/>
      <c r="BN78" s="22">
        <f t="shared" si="25"/>
        <v>0</v>
      </c>
      <c r="BP78" s="115">
        <f t="shared" si="27"/>
        <v>81.961538461538467</v>
      </c>
      <c r="BQ78" s="22">
        <f t="shared" si="28"/>
        <v>2</v>
      </c>
    </row>
    <row r="79" spans="1:69" ht="24.95" customHeight="1" thickTop="1" thickBot="1" x14ac:dyDescent="0.3">
      <c r="A79" s="23">
        <v>78</v>
      </c>
      <c r="B79" s="23">
        <v>2525659</v>
      </c>
      <c r="C79" s="23" t="s">
        <v>1006</v>
      </c>
      <c r="D79" s="18" t="s">
        <v>1007</v>
      </c>
      <c r="E79" s="23" t="s">
        <v>995</v>
      </c>
      <c r="F79" s="23" t="s">
        <v>845</v>
      </c>
      <c r="G79" s="24" t="s">
        <v>996</v>
      </c>
      <c r="H79" s="24" t="s">
        <v>997</v>
      </c>
      <c r="I79" s="60" t="s">
        <v>76</v>
      </c>
      <c r="J79" s="61" t="s">
        <v>77</v>
      </c>
      <c r="K79" s="23">
        <v>80</v>
      </c>
      <c r="L79" s="23" t="str">
        <f t="shared" si="0"/>
        <v>Mencapai kompetensi dengan baik dalam hal</v>
      </c>
      <c r="M79" s="23">
        <v>77</v>
      </c>
      <c r="N79" s="23" t="str">
        <f t="shared" si="1"/>
        <v>Mencapai kompetensi dengan baik dalam hal</v>
      </c>
      <c r="O79" s="23">
        <v>80</v>
      </c>
      <c r="P79" s="23" t="str">
        <f t="shared" si="2"/>
        <v>Mencapai kompetensi dengan baik dalam hal</v>
      </c>
      <c r="Q79" s="23">
        <v>80</v>
      </c>
      <c r="R79" s="23" t="str">
        <f t="shared" si="3"/>
        <v>Mencapai kompetensi dengan baik dalam hal</v>
      </c>
      <c r="S79" s="23">
        <v>86</v>
      </c>
      <c r="T79" s="23" t="str">
        <f t="shared" si="4"/>
        <v>Mencapai kompetensi dengan baik dalam hal</v>
      </c>
      <c r="U79" s="23">
        <v>83</v>
      </c>
      <c r="V79" s="23" t="str">
        <f t="shared" si="5"/>
        <v>Mencapai kompetensi dengan baik dalam hal</v>
      </c>
      <c r="W79" s="23">
        <v>76</v>
      </c>
      <c r="X79" s="23" t="str">
        <f t="shared" si="6"/>
        <v>Mencapai kompetensi dengan baik dalam hal</v>
      </c>
      <c r="Y79" s="23">
        <v>80</v>
      </c>
      <c r="Z79" s="23" t="str">
        <f t="shared" si="7"/>
        <v>Mencapai kompetensi dengan baik dalam hal</v>
      </c>
      <c r="AA79" s="23">
        <v>88</v>
      </c>
      <c r="AB79" s="23" t="str">
        <f t="shared" si="8"/>
        <v>Mencapai kompetensi dengan baik dalam hal</v>
      </c>
      <c r="AC79" s="23">
        <v>85</v>
      </c>
      <c r="AD79" s="23" t="str">
        <f t="shared" si="9"/>
        <v>Mencapai kompetensi dengan baik dalam hal</v>
      </c>
      <c r="AE79" s="23">
        <v>78</v>
      </c>
      <c r="AF79" s="23" t="str">
        <f t="shared" si="10"/>
        <v>Mencapai kompetensi dengan baik dalam hal</v>
      </c>
      <c r="AG79" s="23">
        <v>79</v>
      </c>
      <c r="AH79" s="23" t="str">
        <f t="shared" si="11"/>
        <v>Mencapai kompetensi dengan baik dalam hal</v>
      </c>
      <c r="AI79" s="62">
        <f t="shared" si="26"/>
        <v>78.5</v>
      </c>
      <c r="AJ79" s="23">
        <v>88</v>
      </c>
      <c r="AK79" s="23" t="str">
        <f t="shared" si="12"/>
        <v>Mencapai kompetensi dengan baik dalam hal</v>
      </c>
      <c r="AL79" s="23">
        <v>80</v>
      </c>
      <c r="AM79" s="18" t="str">
        <f t="shared" si="13"/>
        <v>Mencapai kompetensi dengan baik dalam hal</v>
      </c>
      <c r="AN79" s="23" t="s">
        <v>81</v>
      </c>
      <c r="AO79" s="23" t="s">
        <v>81</v>
      </c>
      <c r="AP79" s="23" t="s">
        <v>81</v>
      </c>
      <c r="AQ79" s="23">
        <v>1</v>
      </c>
      <c r="AR79" s="23" t="s">
        <v>82</v>
      </c>
      <c r="AS79" s="18" t="s">
        <v>83</v>
      </c>
      <c r="AT79" s="23" t="s">
        <v>86</v>
      </c>
      <c r="AU79" s="18" t="str">
        <f t="shared" si="23"/>
        <v>Sangat baik</v>
      </c>
      <c r="AV79" s="23">
        <v>2</v>
      </c>
      <c r="AW79" s="18" t="s">
        <v>170</v>
      </c>
      <c r="AX79" s="18" t="s">
        <v>83</v>
      </c>
      <c r="AY79" s="23" t="s">
        <v>86</v>
      </c>
      <c r="AZ79" s="18" t="str">
        <f t="shared" si="24"/>
        <v>Sangat baik</v>
      </c>
      <c r="BA79" s="23"/>
      <c r="BB79" s="23"/>
      <c r="BC79" s="23"/>
      <c r="BD79" s="23"/>
      <c r="BE79" s="18"/>
      <c r="BG79" s="20"/>
      <c r="BH79" s="20"/>
      <c r="BN79" s="22">
        <f t="shared" si="25"/>
        <v>0</v>
      </c>
      <c r="BP79" s="115">
        <f t="shared" si="27"/>
        <v>81.65384615384616</v>
      </c>
      <c r="BQ79" s="22">
        <f t="shared" si="28"/>
        <v>4</v>
      </c>
    </row>
    <row r="80" spans="1:69" ht="24.95" customHeight="1" thickTop="1" thickBot="1" x14ac:dyDescent="0.3">
      <c r="A80" s="23">
        <v>79</v>
      </c>
      <c r="B80" s="23">
        <v>2525660</v>
      </c>
      <c r="C80" s="23" t="s">
        <v>1008</v>
      </c>
      <c r="D80" s="18" t="s">
        <v>1009</v>
      </c>
      <c r="E80" s="23" t="s">
        <v>995</v>
      </c>
      <c r="F80" s="23" t="s">
        <v>845</v>
      </c>
      <c r="G80" s="24" t="s">
        <v>996</v>
      </c>
      <c r="H80" s="24" t="s">
        <v>997</v>
      </c>
      <c r="I80" s="60" t="s">
        <v>76</v>
      </c>
      <c r="J80" s="61" t="s">
        <v>77</v>
      </c>
      <c r="K80" s="23">
        <v>79</v>
      </c>
      <c r="L80" s="23" t="str">
        <f t="shared" si="0"/>
        <v>Mencapai kompetensi dengan baik dalam hal</v>
      </c>
      <c r="M80" s="23">
        <v>78</v>
      </c>
      <c r="N80" s="23" t="str">
        <f t="shared" si="1"/>
        <v>Mencapai kompetensi dengan baik dalam hal</v>
      </c>
      <c r="O80" s="23">
        <v>76</v>
      </c>
      <c r="P80" s="23" t="str">
        <f t="shared" si="2"/>
        <v>Mencapai kompetensi dengan baik dalam hal</v>
      </c>
      <c r="Q80" s="23">
        <v>80</v>
      </c>
      <c r="R80" s="23" t="str">
        <f t="shared" si="3"/>
        <v>Mencapai kompetensi dengan baik dalam hal</v>
      </c>
      <c r="S80" s="23">
        <v>83</v>
      </c>
      <c r="T80" s="23" t="str">
        <f t="shared" si="4"/>
        <v>Mencapai kompetensi dengan baik dalam hal</v>
      </c>
      <c r="U80" s="23">
        <v>75</v>
      </c>
      <c r="V80" s="23" t="str">
        <f t="shared" si="5"/>
        <v>Mencapai kompetensi dengan baik dalam hal</v>
      </c>
      <c r="W80" s="23">
        <v>77</v>
      </c>
      <c r="X80" s="23" t="str">
        <f t="shared" si="6"/>
        <v>Mencapai kompetensi dengan baik dalam hal</v>
      </c>
      <c r="Y80" s="23">
        <v>77</v>
      </c>
      <c r="Z80" s="23" t="str">
        <f t="shared" si="7"/>
        <v>Mencapai kompetensi dengan baik dalam hal</v>
      </c>
      <c r="AA80" s="23">
        <v>76</v>
      </c>
      <c r="AB80" s="23" t="str">
        <f t="shared" si="8"/>
        <v>Mencapai kompetensi dengan baik dalam hal</v>
      </c>
      <c r="AC80" s="23">
        <v>83</v>
      </c>
      <c r="AD80" s="23" t="str">
        <f t="shared" si="9"/>
        <v>Mencapai kompetensi dengan baik dalam hal</v>
      </c>
      <c r="AE80" s="23">
        <v>79</v>
      </c>
      <c r="AF80" s="23" t="str">
        <f t="shared" si="10"/>
        <v>Mencapai kompetensi dengan baik dalam hal</v>
      </c>
      <c r="AG80" s="23">
        <v>80</v>
      </c>
      <c r="AH80" s="23" t="str">
        <f t="shared" si="11"/>
        <v>Mencapai kompetensi dengan baik dalam hal</v>
      </c>
      <c r="AI80" s="62">
        <f t="shared" si="26"/>
        <v>79.5</v>
      </c>
      <c r="AJ80" s="23">
        <v>76</v>
      </c>
      <c r="AK80" s="23" t="str">
        <f t="shared" si="12"/>
        <v>Mencapai kompetensi dengan baik dalam hal</v>
      </c>
      <c r="AL80" s="23">
        <v>76</v>
      </c>
      <c r="AM80" s="18" t="str">
        <f t="shared" si="13"/>
        <v>Mencapai kompetensi dengan baik dalam hal</v>
      </c>
      <c r="AN80" s="23">
        <v>3</v>
      </c>
      <c r="AO80" s="23" t="s">
        <v>81</v>
      </c>
      <c r="AP80" s="23" t="s">
        <v>81</v>
      </c>
      <c r="AQ80" s="23">
        <v>1</v>
      </c>
      <c r="AR80" s="23" t="s">
        <v>82</v>
      </c>
      <c r="AS80" s="18" t="s">
        <v>83</v>
      </c>
      <c r="AT80" s="23" t="s">
        <v>86</v>
      </c>
      <c r="AU80" s="18" t="str">
        <f t="shared" si="23"/>
        <v>Sangat baik</v>
      </c>
      <c r="AV80" s="23">
        <v>2</v>
      </c>
      <c r="AW80" s="18" t="s">
        <v>429</v>
      </c>
      <c r="AX80" s="18" t="s">
        <v>83</v>
      </c>
      <c r="AY80" s="23" t="s">
        <v>86</v>
      </c>
      <c r="AZ80" s="18" t="str">
        <f t="shared" si="24"/>
        <v>Sangat baik</v>
      </c>
      <c r="BA80" s="23"/>
      <c r="BB80" s="23"/>
      <c r="BC80" s="23"/>
      <c r="BD80" s="23"/>
      <c r="BE80" s="18"/>
      <c r="BG80" s="20"/>
      <c r="BH80" s="20"/>
      <c r="BN80" s="22">
        <f t="shared" si="25"/>
        <v>0</v>
      </c>
      <c r="BP80" s="115">
        <f t="shared" si="27"/>
        <v>78.115384615384613</v>
      </c>
      <c r="BQ80" s="22">
        <f t="shared" si="28"/>
        <v>29</v>
      </c>
    </row>
    <row r="81" spans="1:69" ht="24.95" customHeight="1" thickTop="1" thickBot="1" x14ac:dyDescent="0.3">
      <c r="A81" s="23">
        <v>80</v>
      </c>
      <c r="B81" s="23">
        <v>2525661</v>
      </c>
      <c r="C81" s="23" t="s">
        <v>1010</v>
      </c>
      <c r="D81" s="18" t="s">
        <v>1011</v>
      </c>
      <c r="E81" s="23" t="s">
        <v>995</v>
      </c>
      <c r="F81" s="23" t="s">
        <v>845</v>
      </c>
      <c r="G81" s="24" t="s">
        <v>996</v>
      </c>
      <c r="H81" s="24" t="s">
        <v>997</v>
      </c>
      <c r="I81" s="60" t="s">
        <v>76</v>
      </c>
      <c r="J81" s="61" t="s">
        <v>77</v>
      </c>
      <c r="K81" s="23">
        <v>79</v>
      </c>
      <c r="L81" s="23" t="str">
        <f t="shared" si="0"/>
        <v>Mencapai kompetensi dengan baik dalam hal</v>
      </c>
      <c r="M81" s="23">
        <v>76</v>
      </c>
      <c r="N81" s="23" t="str">
        <f t="shared" si="1"/>
        <v>Mencapai kompetensi dengan baik dalam hal</v>
      </c>
      <c r="O81" s="23">
        <v>78</v>
      </c>
      <c r="P81" s="23" t="str">
        <f t="shared" si="2"/>
        <v>Mencapai kompetensi dengan baik dalam hal</v>
      </c>
      <c r="Q81" s="23">
        <v>80</v>
      </c>
      <c r="R81" s="23" t="str">
        <f t="shared" si="3"/>
        <v>Mencapai kompetensi dengan baik dalam hal</v>
      </c>
      <c r="S81" s="23">
        <v>84</v>
      </c>
      <c r="T81" s="23" t="str">
        <f t="shared" si="4"/>
        <v>Mencapai kompetensi dengan baik dalam hal</v>
      </c>
      <c r="U81" s="23">
        <v>76</v>
      </c>
      <c r="V81" s="23" t="str">
        <f t="shared" si="5"/>
        <v>Mencapai kompetensi dengan baik dalam hal</v>
      </c>
      <c r="W81" s="23">
        <v>75</v>
      </c>
      <c r="X81" s="23" t="str">
        <f t="shared" si="6"/>
        <v>Mencapai kompetensi dengan baik dalam hal</v>
      </c>
      <c r="Y81" s="23">
        <v>76</v>
      </c>
      <c r="Z81" s="23" t="str">
        <f t="shared" si="7"/>
        <v>Mencapai kompetensi dengan baik dalam hal</v>
      </c>
      <c r="AA81" s="23">
        <v>83</v>
      </c>
      <c r="AB81" s="23" t="str">
        <f t="shared" si="8"/>
        <v>Mencapai kompetensi dengan baik dalam hal</v>
      </c>
      <c r="AC81" s="23">
        <v>76</v>
      </c>
      <c r="AD81" s="23" t="str">
        <f t="shared" si="9"/>
        <v>Mencapai kompetensi dengan baik dalam hal</v>
      </c>
      <c r="AE81" s="23">
        <v>78</v>
      </c>
      <c r="AF81" s="23" t="str">
        <f t="shared" si="10"/>
        <v>Mencapai kompetensi dengan baik dalam hal</v>
      </c>
      <c r="AG81" s="23">
        <v>79</v>
      </c>
      <c r="AH81" s="23" t="str">
        <f t="shared" si="11"/>
        <v>Mencapai kompetensi dengan baik dalam hal</v>
      </c>
      <c r="AI81" s="62">
        <f t="shared" si="26"/>
        <v>78.5</v>
      </c>
      <c r="AJ81" s="23">
        <v>83</v>
      </c>
      <c r="AK81" s="23" t="str">
        <f t="shared" si="12"/>
        <v>Mencapai kompetensi dengan baik dalam hal</v>
      </c>
      <c r="AL81" s="23">
        <v>76</v>
      </c>
      <c r="AM81" s="18" t="str">
        <f t="shared" si="13"/>
        <v>Mencapai kompetensi dengan baik dalam hal</v>
      </c>
      <c r="AN81" s="23">
        <v>1</v>
      </c>
      <c r="AO81" s="23" t="s">
        <v>81</v>
      </c>
      <c r="AP81" s="23" t="s">
        <v>81</v>
      </c>
      <c r="AQ81" s="23">
        <v>1</v>
      </c>
      <c r="AR81" s="23" t="s">
        <v>82</v>
      </c>
      <c r="AS81" s="18" t="s">
        <v>83</v>
      </c>
      <c r="AT81" s="23" t="s">
        <v>104</v>
      </c>
      <c r="AU81" s="18" t="str">
        <f t="shared" si="23"/>
        <v>Cukup</v>
      </c>
      <c r="AV81" s="23">
        <v>2</v>
      </c>
      <c r="AW81" s="18" t="s">
        <v>103</v>
      </c>
      <c r="AX81" s="18" t="s">
        <v>83</v>
      </c>
      <c r="AY81" s="23" t="s">
        <v>84</v>
      </c>
      <c r="AZ81" s="18" t="str">
        <f t="shared" si="24"/>
        <v>Baik</v>
      </c>
      <c r="BA81" s="23"/>
      <c r="BB81" s="23"/>
      <c r="BC81" s="23"/>
      <c r="BD81" s="23"/>
      <c r="BE81" s="18"/>
      <c r="BG81" s="20"/>
      <c r="BH81" s="20"/>
      <c r="BN81" s="22">
        <f t="shared" si="25"/>
        <v>0</v>
      </c>
      <c r="BP81" s="115">
        <f t="shared" si="27"/>
        <v>78.5</v>
      </c>
      <c r="BQ81" s="22">
        <f t="shared" si="28"/>
        <v>27</v>
      </c>
    </row>
    <row r="82" spans="1:69" ht="24.95" customHeight="1" thickTop="1" thickBot="1" x14ac:dyDescent="0.3">
      <c r="A82" s="23">
        <v>81</v>
      </c>
      <c r="B82" s="23">
        <v>2525662</v>
      </c>
      <c r="C82" s="23" t="s">
        <v>1012</v>
      </c>
      <c r="D82" s="18" t="s">
        <v>1013</v>
      </c>
      <c r="E82" s="23" t="s">
        <v>995</v>
      </c>
      <c r="F82" s="23" t="s">
        <v>845</v>
      </c>
      <c r="G82" s="24" t="s">
        <v>996</v>
      </c>
      <c r="H82" s="24" t="s">
        <v>997</v>
      </c>
      <c r="I82" s="60" t="s">
        <v>76</v>
      </c>
      <c r="J82" s="61" t="s">
        <v>77</v>
      </c>
      <c r="K82" s="23">
        <v>81</v>
      </c>
      <c r="L82" s="23" t="str">
        <f t="shared" si="0"/>
        <v>Mencapai kompetensi dengan baik dalam hal</v>
      </c>
      <c r="M82" s="23">
        <v>83</v>
      </c>
      <c r="N82" s="23" t="str">
        <f t="shared" si="1"/>
        <v>Mencapai kompetensi dengan baik dalam hal</v>
      </c>
      <c r="O82" s="23">
        <v>79</v>
      </c>
      <c r="P82" s="23" t="str">
        <f t="shared" si="2"/>
        <v>Mencapai kompetensi dengan baik dalam hal</v>
      </c>
      <c r="Q82" s="23">
        <v>78</v>
      </c>
      <c r="R82" s="23" t="str">
        <f t="shared" si="3"/>
        <v>Mencapai kompetensi dengan baik dalam hal</v>
      </c>
      <c r="S82" s="23">
        <v>87</v>
      </c>
      <c r="T82" s="23" t="str">
        <f t="shared" si="4"/>
        <v>Mencapai kompetensi dengan baik dalam hal</v>
      </c>
      <c r="U82" s="23">
        <v>82</v>
      </c>
      <c r="V82" s="23" t="str">
        <f t="shared" si="5"/>
        <v>Mencapai kompetensi dengan baik dalam hal</v>
      </c>
      <c r="W82" s="23">
        <v>75</v>
      </c>
      <c r="X82" s="23" t="str">
        <f t="shared" si="6"/>
        <v>Mencapai kompetensi dengan baik dalam hal</v>
      </c>
      <c r="Y82" s="23">
        <v>76</v>
      </c>
      <c r="Z82" s="23" t="str">
        <f t="shared" si="7"/>
        <v>Mencapai kompetensi dengan baik dalam hal</v>
      </c>
      <c r="AA82" s="23">
        <v>80</v>
      </c>
      <c r="AB82" s="23" t="str">
        <f t="shared" si="8"/>
        <v>Mencapai kompetensi dengan baik dalam hal</v>
      </c>
      <c r="AC82" s="23">
        <v>83</v>
      </c>
      <c r="AD82" s="23" t="str">
        <f t="shared" si="9"/>
        <v>Mencapai kompetensi dengan baik dalam hal</v>
      </c>
      <c r="AE82" s="23">
        <v>78</v>
      </c>
      <c r="AF82" s="23" t="str">
        <f t="shared" si="10"/>
        <v>Mencapai kompetensi dengan baik dalam hal</v>
      </c>
      <c r="AG82" s="23">
        <v>79</v>
      </c>
      <c r="AH82" s="23" t="str">
        <f t="shared" si="11"/>
        <v>Mencapai kompetensi dengan baik dalam hal</v>
      </c>
      <c r="AI82" s="62">
        <f t="shared" si="26"/>
        <v>78.5</v>
      </c>
      <c r="AJ82" s="23">
        <v>80</v>
      </c>
      <c r="AK82" s="23" t="str">
        <f t="shared" si="12"/>
        <v>Mencapai kompetensi dengan baik dalam hal</v>
      </c>
      <c r="AL82" s="23">
        <v>77</v>
      </c>
      <c r="AM82" s="18" t="str">
        <f t="shared" si="13"/>
        <v>Mencapai kompetensi dengan baik dalam hal</v>
      </c>
      <c r="AN82" s="23">
        <v>1</v>
      </c>
      <c r="AO82" s="23" t="s">
        <v>81</v>
      </c>
      <c r="AP82" s="23" t="s">
        <v>81</v>
      </c>
      <c r="AQ82" s="23">
        <v>1</v>
      </c>
      <c r="AR82" s="23" t="s">
        <v>82</v>
      </c>
      <c r="AS82" s="18" t="s">
        <v>83</v>
      </c>
      <c r="AT82" s="23" t="s">
        <v>86</v>
      </c>
      <c r="AU82" s="18" t="str">
        <f t="shared" si="23"/>
        <v>Sangat baik</v>
      </c>
      <c r="AV82" s="23">
        <v>2</v>
      </c>
      <c r="AW82" s="18" t="s">
        <v>170</v>
      </c>
      <c r="AX82" s="18" t="s">
        <v>83</v>
      </c>
      <c r="AY82" s="23" t="s">
        <v>86</v>
      </c>
      <c r="AZ82" s="18" t="str">
        <f t="shared" si="24"/>
        <v>Sangat baik</v>
      </c>
      <c r="BA82" s="23"/>
      <c r="BB82" s="23"/>
      <c r="BC82" s="23"/>
      <c r="BD82" s="23"/>
      <c r="BE82" s="18"/>
      <c r="BG82" s="20"/>
      <c r="BH82" s="20"/>
      <c r="BN82" s="22">
        <f t="shared" si="25"/>
        <v>0</v>
      </c>
      <c r="BP82" s="115">
        <f t="shared" si="27"/>
        <v>79.961538461538467</v>
      </c>
      <c r="BQ82" s="22">
        <f t="shared" si="28"/>
        <v>15</v>
      </c>
    </row>
    <row r="83" spans="1:69" ht="24.95" customHeight="1" thickTop="1" thickBot="1" x14ac:dyDescent="0.3">
      <c r="A83" s="23">
        <v>82</v>
      </c>
      <c r="B83" s="23">
        <v>2525663</v>
      </c>
      <c r="C83" s="23" t="s">
        <v>1014</v>
      </c>
      <c r="D83" s="18" t="s">
        <v>1015</v>
      </c>
      <c r="E83" s="23" t="s">
        <v>995</v>
      </c>
      <c r="F83" s="23" t="s">
        <v>845</v>
      </c>
      <c r="G83" s="24" t="s">
        <v>996</v>
      </c>
      <c r="H83" s="24" t="s">
        <v>997</v>
      </c>
      <c r="I83" s="60" t="s">
        <v>76</v>
      </c>
      <c r="J83" s="61" t="s">
        <v>77</v>
      </c>
      <c r="K83" s="23">
        <v>80</v>
      </c>
      <c r="L83" s="23" t="str">
        <f t="shared" si="0"/>
        <v>Mencapai kompetensi dengan baik dalam hal</v>
      </c>
      <c r="M83" s="23">
        <v>81</v>
      </c>
      <c r="N83" s="23" t="str">
        <f t="shared" si="1"/>
        <v>Mencapai kompetensi dengan baik dalam hal</v>
      </c>
      <c r="O83" s="23">
        <v>79</v>
      </c>
      <c r="P83" s="23" t="str">
        <f t="shared" si="2"/>
        <v>Mencapai kompetensi dengan baik dalam hal</v>
      </c>
      <c r="Q83" s="23">
        <v>80</v>
      </c>
      <c r="R83" s="23" t="str">
        <f t="shared" si="3"/>
        <v>Mencapai kompetensi dengan baik dalam hal</v>
      </c>
      <c r="S83" s="23">
        <v>86</v>
      </c>
      <c r="T83" s="23" t="str">
        <f t="shared" si="4"/>
        <v>Mencapai kompetensi dengan baik dalam hal</v>
      </c>
      <c r="U83" s="23">
        <v>81</v>
      </c>
      <c r="V83" s="23" t="str">
        <f t="shared" si="5"/>
        <v>Mencapai kompetensi dengan baik dalam hal</v>
      </c>
      <c r="W83" s="23">
        <v>82</v>
      </c>
      <c r="X83" s="23" t="str">
        <f t="shared" si="6"/>
        <v>Mencapai kompetensi dengan baik dalam hal</v>
      </c>
      <c r="Y83" s="23">
        <v>76</v>
      </c>
      <c r="Z83" s="23" t="str">
        <f t="shared" si="7"/>
        <v>Mencapai kompetensi dengan baik dalam hal</v>
      </c>
      <c r="AA83" s="23">
        <v>86</v>
      </c>
      <c r="AB83" s="23" t="str">
        <f t="shared" si="8"/>
        <v>Mencapai kompetensi dengan baik dalam hal</v>
      </c>
      <c r="AC83" s="23">
        <v>83</v>
      </c>
      <c r="AD83" s="23" t="str">
        <f t="shared" si="9"/>
        <v>Mencapai kompetensi dengan baik dalam hal</v>
      </c>
      <c r="AE83" s="23">
        <v>83</v>
      </c>
      <c r="AF83" s="23" t="str">
        <f t="shared" si="10"/>
        <v>Mencapai kompetensi dengan baik dalam hal</v>
      </c>
      <c r="AG83" s="23">
        <v>84</v>
      </c>
      <c r="AH83" s="23" t="str">
        <f t="shared" si="11"/>
        <v>Mencapai kompetensi dengan baik dalam hal</v>
      </c>
      <c r="AI83" s="62">
        <f t="shared" si="26"/>
        <v>83.5</v>
      </c>
      <c r="AJ83" s="23">
        <v>86</v>
      </c>
      <c r="AK83" s="23" t="str">
        <f t="shared" si="12"/>
        <v>Mencapai kompetensi dengan baik dalam hal</v>
      </c>
      <c r="AL83" s="23">
        <v>80</v>
      </c>
      <c r="AM83" s="18" t="str">
        <f t="shared" si="13"/>
        <v>Mencapai kompetensi dengan baik dalam hal</v>
      </c>
      <c r="AN83" s="23" t="s">
        <v>81</v>
      </c>
      <c r="AO83" s="23" t="s">
        <v>81</v>
      </c>
      <c r="AP83" s="23" t="s">
        <v>81</v>
      </c>
      <c r="AQ83" s="23">
        <v>1</v>
      </c>
      <c r="AR83" s="23" t="s">
        <v>82</v>
      </c>
      <c r="AS83" s="18" t="s">
        <v>83</v>
      </c>
      <c r="AT83" s="23" t="s">
        <v>86</v>
      </c>
      <c r="AU83" s="18" t="str">
        <f t="shared" si="23"/>
        <v>Sangat baik</v>
      </c>
      <c r="AV83" s="23">
        <v>2</v>
      </c>
      <c r="AW83" s="18" t="s">
        <v>125</v>
      </c>
      <c r="AX83" s="18" t="s">
        <v>83</v>
      </c>
      <c r="AY83" s="23" t="s">
        <v>84</v>
      </c>
      <c r="AZ83" s="18" t="str">
        <f t="shared" si="24"/>
        <v>Baik</v>
      </c>
      <c r="BA83" s="23"/>
      <c r="BB83" s="23"/>
      <c r="BC83" s="23"/>
      <c r="BD83" s="23"/>
      <c r="BE83" s="18"/>
      <c r="BG83" s="20"/>
      <c r="BH83" s="20"/>
      <c r="BN83" s="22">
        <f t="shared" si="25"/>
        <v>0</v>
      </c>
      <c r="BP83" s="115">
        <f t="shared" si="27"/>
        <v>81.807692307692307</v>
      </c>
      <c r="BQ83" s="22">
        <f t="shared" si="28"/>
        <v>3</v>
      </c>
    </row>
    <row r="84" spans="1:69" ht="24.95" customHeight="1" thickTop="1" thickBot="1" x14ac:dyDescent="0.3">
      <c r="A84" s="23">
        <v>83</v>
      </c>
      <c r="B84" s="23">
        <v>2525664</v>
      </c>
      <c r="C84" s="23" t="s">
        <v>1016</v>
      </c>
      <c r="D84" s="18" t="s">
        <v>1017</v>
      </c>
      <c r="E84" s="23" t="s">
        <v>995</v>
      </c>
      <c r="F84" s="23" t="s">
        <v>845</v>
      </c>
      <c r="G84" s="24" t="s">
        <v>996</v>
      </c>
      <c r="H84" s="24" t="s">
        <v>997</v>
      </c>
      <c r="I84" s="60" t="s">
        <v>76</v>
      </c>
      <c r="J84" s="61" t="s">
        <v>77</v>
      </c>
      <c r="K84" s="23">
        <v>81</v>
      </c>
      <c r="L84" s="23" t="str">
        <f t="shared" si="0"/>
        <v>Mencapai kompetensi dengan baik dalam hal</v>
      </c>
      <c r="M84" s="23">
        <v>82</v>
      </c>
      <c r="N84" s="23" t="str">
        <f t="shared" si="1"/>
        <v>Mencapai kompetensi dengan baik dalam hal</v>
      </c>
      <c r="O84" s="23">
        <v>81</v>
      </c>
      <c r="P84" s="23" t="str">
        <f t="shared" si="2"/>
        <v>Mencapai kompetensi dengan baik dalam hal</v>
      </c>
      <c r="Q84" s="23">
        <v>80</v>
      </c>
      <c r="R84" s="23" t="str">
        <f t="shared" si="3"/>
        <v>Mencapai kompetensi dengan baik dalam hal</v>
      </c>
      <c r="S84" s="23">
        <v>85</v>
      </c>
      <c r="T84" s="23" t="str">
        <f t="shared" si="4"/>
        <v>Mencapai kompetensi dengan baik dalam hal</v>
      </c>
      <c r="U84" s="23">
        <v>77</v>
      </c>
      <c r="V84" s="23" t="str">
        <f t="shared" si="5"/>
        <v>Mencapai kompetensi dengan baik dalam hal</v>
      </c>
      <c r="W84" s="23">
        <v>76</v>
      </c>
      <c r="X84" s="23" t="str">
        <f t="shared" si="6"/>
        <v>Mencapai kompetensi dengan baik dalam hal</v>
      </c>
      <c r="Y84" s="23">
        <v>78</v>
      </c>
      <c r="Z84" s="23" t="str">
        <f t="shared" si="7"/>
        <v>Mencapai kompetensi dengan baik dalam hal</v>
      </c>
      <c r="AA84" s="23">
        <v>83</v>
      </c>
      <c r="AB84" s="23" t="str">
        <f t="shared" si="8"/>
        <v>Mencapai kompetensi dengan baik dalam hal</v>
      </c>
      <c r="AC84" s="23">
        <v>85</v>
      </c>
      <c r="AD84" s="23" t="str">
        <f t="shared" si="9"/>
        <v>Mencapai kompetensi dengan baik dalam hal</v>
      </c>
      <c r="AE84" s="23">
        <v>81</v>
      </c>
      <c r="AF84" s="23" t="str">
        <f t="shared" si="10"/>
        <v>Mencapai kompetensi dengan baik dalam hal</v>
      </c>
      <c r="AG84" s="23">
        <v>82</v>
      </c>
      <c r="AH84" s="23" t="str">
        <f t="shared" si="11"/>
        <v>Mencapai kompetensi dengan baik dalam hal</v>
      </c>
      <c r="AI84" s="62">
        <f t="shared" si="26"/>
        <v>81.5</v>
      </c>
      <c r="AJ84" s="23">
        <v>83</v>
      </c>
      <c r="AK84" s="23" t="str">
        <f t="shared" si="12"/>
        <v>Mencapai kompetensi dengan baik dalam hal</v>
      </c>
      <c r="AL84" s="23">
        <v>82</v>
      </c>
      <c r="AM84" s="18" t="str">
        <f t="shared" si="13"/>
        <v>Mencapai kompetensi dengan baik dalam hal</v>
      </c>
      <c r="AN84" s="23">
        <v>7</v>
      </c>
      <c r="AO84" s="23" t="s">
        <v>81</v>
      </c>
      <c r="AP84" s="23" t="s">
        <v>81</v>
      </c>
      <c r="AQ84" s="23">
        <v>1</v>
      </c>
      <c r="AR84" s="23" t="s">
        <v>82</v>
      </c>
      <c r="AS84" s="18" t="s">
        <v>83</v>
      </c>
      <c r="AT84" s="23" t="s">
        <v>86</v>
      </c>
      <c r="AU84" s="18" t="str">
        <f t="shared" si="23"/>
        <v>Sangat baik</v>
      </c>
      <c r="AV84" s="23">
        <v>2</v>
      </c>
      <c r="AW84" s="18" t="s">
        <v>429</v>
      </c>
      <c r="AX84" s="18" t="s">
        <v>83</v>
      </c>
      <c r="AY84" s="23" t="s">
        <v>86</v>
      </c>
      <c r="AZ84" s="18" t="str">
        <f t="shared" si="24"/>
        <v>Sangat baik</v>
      </c>
      <c r="BA84" s="23"/>
      <c r="BB84" s="23"/>
      <c r="BC84" s="23"/>
      <c r="BD84" s="23"/>
      <c r="BE84" s="18"/>
      <c r="BG84" s="20"/>
      <c r="BH84" s="20"/>
      <c r="BN84" s="22">
        <f t="shared" si="25"/>
        <v>0</v>
      </c>
      <c r="BP84" s="115">
        <f t="shared" si="27"/>
        <v>81.115384615384613</v>
      </c>
      <c r="BQ84" s="22">
        <f t="shared" si="28"/>
        <v>7</v>
      </c>
    </row>
    <row r="85" spans="1:69" ht="24.95" customHeight="1" thickTop="1" thickBot="1" x14ac:dyDescent="0.3">
      <c r="A85" s="23">
        <v>84</v>
      </c>
      <c r="B85" s="23">
        <v>2525665</v>
      </c>
      <c r="C85" s="23" t="s">
        <v>1018</v>
      </c>
      <c r="D85" s="18" t="s">
        <v>1019</v>
      </c>
      <c r="E85" s="23" t="s">
        <v>995</v>
      </c>
      <c r="F85" s="23" t="s">
        <v>845</v>
      </c>
      <c r="G85" s="24" t="s">
        <v>996</v>
      </c>
      <c r="H85" s="24" t="s">
        <v>997</v>
      </c>
      <c r="I85" s="60" t="s">
        <v>76</v>
      </c>
      <c r="J85" s="61" t="s">
        <v>77</v>
      </c>
      <c r="K85" s="23">
        <v>79</v>
      </c>
      <c r="L85" s="23" t="str">
        <f t="shared" si="0"/>
        <v>Mencapai kompetensi dengan baik dalam hal</v>
      </c>
      <c r="M85" s="23">
        <v>78</v>
      </c>
      <c r="N85" s="23" t="str">
        <f t="shared" si="1"/>
        <v>Mencapai kompetensi dengan baik dalam hal</v>
      </c>
      <c r="O85" s="23">
        <v>78</v>
      </c>
      <c r="P85" s="23" t="str">
        <f t="shared" si="2"/>
        <v>Mencapai kompetensi dengan baik dalam hal</v>
      </c>
      <c r="Q85" s="23">
        <v>80</v>
      </c>
      <c r="R85" s="23" t="str">
        <f t="shared" si="3"/>
        <v>Mencapai kompetensi dengan baik dalam hal</v>
      </c>
      <c r="S85" s="23">
        <v>85</v>
      </c>
      <c r="T85" s="23" t="str">
        <f t="shared" si="4"/>
        <v>Mencapai kompetensi dengan baik dalam hal</v>
      </c>
      <c r="U85" s="23">
        <v>75</v>
      </c>
      <c r="V85" s="23" t="str">
        <f t="shared" si="5"/>
        <v>Mencapai kompetensi dengan baik dalam hal</v>
      </c>
      <c r="W85" s="23">
        <v>75</v>
      </c>
      <c r="X85" s="23" t="str">
        <f t="shared" si="6"/>
        <v>Mencapai kompetensi dengan baik dalam hal</v>
      </c>
      <c r="Y85" s="23">
        <v>76</v>
      </c>
      <c r="Z85" s="23" t="str">
        <f t="shared" si="7"/>
        <v>Mencapai kompetensi dengan baik dalam hal</v>
      </c>
      <c r="AA85" s="23">
        <v>85</v>
      </c>
      <c r="AB85" s="23" t="str">
        <f t="shared" si="8"/>
        <v>Mencapai kompetensi dengan baik dalam hal</v>
      </c>
      <c r="AC85" s="23">
        <v>80</v>
      </c>
      <c r="AD85" s="23" t="str">
        <f t="shared" si="9"/>
        <v>Mencapai kompetensi dengan baik dalam hal</v>
      </c>
      <c r="AE85" s="23">
        <v>77</v>
      </c>
      <c r="AF85" s="23" t="str">
        <f t="shared" si="10"/>
        <v>Mencapai kompetensi dengan baik dalam hal</v>
      </c>
      <c r="AG85" s="23">
        <v>78</v>
      </c>
      <c r="AH85" s="23" t="str">
        <f t="shared" si="11"/>
        <v>Mencapai kompetensi dengan baik dalam hal</v>
      </c>
      <c r="AI85" s="62">
        <f t="shared" si="26"/>
        <v>77.5</v>
      </c>
      <c r="AJ85" s="23">
        <v>85</v>
      </c>
      <c r="AK85" s="23" t="str">
        <f t="shared" si="12"/>
        <v>Mencapai kompetensi dengan baik dalam hal</v>
      </c>
      <c r="AL85" s="23">
        <v>76</v>
      </c>
      <c r="AM85" s="18" t="str">
        <f t="shared" si="13"/>
        <v>Mencapai kompetensi dengan baik dalam hal</v>
      </c>
      <c r="AN85" s="23">
        <v>3</v>
      </c>
      <c r="AO85" s="23" t="s">
        <v>81</v>
      </c>
      <c r="AP85" s="23" t="s">
        <v>81</v>
      </c>
      <c r="AQ85" s="23">
        <v>1</v>
      </c>
      <c r="AR85" s="23" t="s">
        <v>82</v>
      </c>
      <c r="AS85" s="18" t="s">
        <v>83</v>
      </c>
      <c r="AT85" s="23" t="s">
        <v>84</v>
      </c>
      <c r="AU85" s="18" t="str">
        <f t="shared" si="23"/>
        <v>Baik</v>
      </c>
      <c r="AV85" s="23">
        <v>2</v>
      </c>
      <c r="AW85" s="18" t="s">
        <v>162</v>
      </c>
      <c r="AX85" s="18" t="s">
        <v>83</v>
      </c>
      <c r="AY85" s="23" t="s">
        <v>86</v>
      </c>
      <c r="AZ85" s="18" t="str">
        <f t="shared" si="24"/>
        <v>Sangat baik</v>
      </c>
      <c r="BA85" s="23"/>
      <c r="BB85" s="23"/>
      <c r="BC85" s="23"/>
      <c r="BD85" s="23"/>
      <c r="BE85" s="18"/>
      <c r="BG85" s="20"/>
      <c r="BH85" s="20"/>
      <c r="BN85" s="22">
        <f t="shared" si="25"/>
        <v>0</v>
      </c>
      <c r="BP85" s="115">
        <f t="shared" si="27"/>
        <v>79.192307692307693</v>
      </c>
      <c r="BQ85" s="22">
        <f t="shared" si="28"/>
        <v>21</v>
      </c>
    </row>
    <row r="86" spans="1:69" ht="24.95" customHeight="1" thickTop="1" thickBot="1" x14ac:dyDescent="0.3">
      <c r="A86" s="23">
        <v>85</v>
      </c>
      <c r="B86" s="23">
        <v>2525666</v>
      </c>
      <c r="C86" s="23" t="s">
        <v>1020</v>
      </c>
      <c r="D86" s="18" t="s">
        <v>1021</v>
      </c>
      <c r="E86" s="23" t="s">
        <v>995</v>
      </c>
      <c r="F86" s="23" t="s">
        <v>845</v>
      </c>
      <c r="G86" s="24" t="s">
        <v>996</v>
      </c>
      <c r="H86" s="24" t="s">
        <v>997</v>
      </c>
      <c r="I86" s="60" t="s">
        <v>76</v>
      </c>
      <c r="J86" s="61" t="s">
        <v>77</v>
      </c>
      <c r="K86" s="23">
        <v>81</v>
      </c>
      <c r="L86" s="23" t="str">
        <f t="shared" si="0"/>
        <v>Mencapai kompetensi dengan baik dalam hal</v>
      </c>
      <c r="M86" s="23">
        <v>78</v>
      </c>
      <c r="N86" s="23" t="str">
        <f t="shared" si="1"/>
        <v>Mencapai kompetensi dengan baik dalam hal</v>
      </c>
      <c r="O86" s="23">
        <v>80</v>
      </c>
      <c r="P86" s="23" t="str">
        <f t="shared" si="2"/>
        <v>Mencapai kompetensi dengan baik dalam hal</v>
      </c>
      <c r="Q86" s="23">
        <v>80</v>
      </c>
      <c r="R86" s="23" t="str">
        <f t="shared" si="3"/>
        <v>Mencapai kompetensi dengan baik dalam hal</v>
      </c>
      <c r="S86" s="23">
        <v>85</v>
      </c>
      <c r="T86" s="23" t="str">
        <f t="shared" si="4"/>
        <v>Mencapai kompetensi dengan baik dalam hal</v>
      </c>
      <c r="U86" s="23">
        <v>77</v>
      </c>
      <c r="V86" s="23" t="str">
        <f t="shared" si="5"/>
        <v>Mencapai kompetensi dengan baik dalam hal</v>
      </c>
      <c r="W86" s="23">
        <v>79</v>
      </c>
      <c r="X86" s="23" t="str">
        <f t="shared" si="6"/>
        <v>Mencapai kompetensi dengan baik dalam hal</v>
      </c>
      <c r="Y86" s="23">
        <v>81</v>
      </c>
      <c r="Z86" s="23" t="str">
        <f t="shared" si="7"/>
        <v>Mencapai kompetensi dengan baik dalam hal</v>
      </c>
      <c r="AA86" s="23">
        <v>86</v>
      </c>
      <c r="AB86" s="23" t="str">
        <f t="shared" si="8"/>
        <v>Mencapai kompetensi dengan baik dalam hal</v>
      </c>
      <c r="AC86" s="23">
        <v>80</v>
      </c>
      <c r="AD86" s="23" t="str">
        <f t="shared" si="9"/>
        <v>Mencapai kompetensi dengan baik dalam hal</v>
      </c>
      <c r="AE86" s="23">
        <v>80</v>
      </c>
      <c r="AF86" s="23" t="str">
        <f t="shared" si="10"/>
        <v>Mencapai kompetensi dengan baik dalam hal</v>
      </c>
      <c r="AG86" s="23">
        <v>81</v>
      </c>
      <c r="AH86" s="23" t="str">
        <f t="shared" si="11"/>
        <v>Mencapai kompetensi dengan baik dalam hal</v>
      </c>
      <c r="AI86" s="62">
        <f t="shared" si="26"/>
        <v>80.5</v>
      </c>
      <c r="AJ86" s="23">
        <v>86</v>
      </c>
      <c r="AK86" s="23" t="str">
        <f t="shared" si="12"/>
        <v>Mencapai kompetensi dengan baik dalam hal</v>
      </c>
      <c r="AL86" s="23">
        <v>80</v>
      </c>
      <c r="AM86" s="18" t="str">
        <f t="shared" si="13"/>
        <v>Mencapai kompetensi dengan baik dalam hal</v>
      </c>
      <c r="AN86" s="23" t="s">
        <v>81</v>
      </c>
      <c r="AO86" s="23" t="s">
        <v>81</v>
      </c>
      <c r="AP86" s="23" t="s">
        <v>81</v>
      </c>
      <c r="AQ86" s="23">
        <v>1</v>
      </c>
      <c r="AR86" s="23" t="s">
        <v>82</v>
      </c>
      <c r="AS86" s="18" t="s">
        <v>83</v>
      </c>
      <c r="AT86" s="23" t="s">
        <v>86</v>
      </c>
      <c r="AU86" s="18" t="str">
        <f t="shared" si="23"/>
        <v>Sangat baik</v>
      </c>
      <c r="AV86" s="23">
        <v>2</v>
      </c>
      <c r="AW86" s="18" t="s">
        <v>212</v>
      </c>
      <c r="AX86" s="18" t="s">
        <v>83</v>
      </c>
      <c r="AY86" s="23" t="s">
        <v>86</v>
      </c>
      <c r="AZ86" s="18" t="str">
        <f t="shared" si="24"/>
        <v>Sangat baik</v>
      </c>
      <c r="BA86" s="23"/>
      <c r="BB86" s="23"/>
      <c r="BC86" s="23"/>
      <c r="BD86" s="23"/>
      <c r="BE86" s="18"/>
      <c r="BG86" s="20"/>
      <c r="BH86" s="20"/>
      <c r="BN86" s="22">
        <f t="shared" si="25"/>
        <v>0</v>
      </c>
      <c r="BP86" s="115">
        <f t="shared" si="27"/>
        <v>81.038461538461533</v>
      </c>
      <c r="BQ86" s="22">
        <f t="shared" si="28"/>
        <v>8</v>
      </c>
    </row>
    <row r="87" spans="1:69" ht="24.95" customHeight="1" thickTop="1" thickBot="1" x14ac:dyDescent="0.3">
      <c r="A87" s="23">
        <v>86</v>
      </c>
      <c r="B87" s="23">
        <v>2525667</v>
      </c>
      <c r="C87" s="23" t="s">
        <v>1022</v>
      </c>
      <c r="D87" s="18" t="s">
        <v>1023</v>
      </c>
      <c r="E87" s="23" t="s">
        <v>995</v>
      </c>
      <c r="F87" s="23" t="s">
        <v>845</v>
      </c>
      <c r="G87" s="24" t="s">
        <v>996</v>
      </c>
      <c r="H87" s="24" t="s">
        <v>997</v>
      </c>
      <c r="I87" s="60" t="s">
        <v>76</v>
      </c>
      <c r="J87" s="61" t="s">
        <v>77</v>
      </c>
      <c r="K87" s="23">
        <v>78</v>
      </c>
      <c r="L87" s="23" t="str">
        <f t="shared" si="0"/>
        <v>Mencapai kompetensi dengan baik dalam hal</v>
      </c>
      <c r="M87" s="23">
        <v>76</v>
      </c>
      <c r="N87" s="23" t="str">
        <f t="shared" si="1"/>
        <v>Mencapai kompetensi dengan baik dalam hal</v>
      </c>
      <c r="O87" s="23">
        <v>76</v>
      </c>
      <c r="P87" s="23" t="str">
        <f t="shared" si="2"/>
        <v>Mencapai kompetensi dengan baik dalam hal</v>
      </c>
      <c r="Q87" s="23">
        <v>80</v>
      </c>
      <c r="R87" s="23" t="str">
        <f t="shared" si="3"/>
        <v>Mencapai kompetensi dengan baik dalam hal</v>
      </c>
      <c r="S87" s="23">
        <v>83</v>
      </c>
      <c r="T87" s="23" t="str">
        <f t="shared" si="4"/>
        <v>Mencapai kompetensi dengan baik dalam hal</v>
      </c>
      <c r="U87" s="23">
        <v>75</v>
      </c>
      <c r="V87" s="23" t="str">
        <f t="shared" si="5"/>
        <v>Mencapai kompetensi dengan baik dalam hal</v>
      </c>
      <c r="W87" s="23">
        <v>75</v>
      </c>
      <c r="X87" s="23" t="str">
        <f t="shared" si="6"/>
        <v>Mencapai kompetensi dengan baik dalam hal</v>
      </c>
      <c r="Y87" s="23">
        <v>77</v>
      </c>
      <c r="Z87" s="23" t="str">
        <f t="shared" si="7"/>
        <v>Mencapai kompetensi dengan baik dalam hal</v>
      </c>
      <c r="AA87" s="23">
        <v>86</v>
      </c>
      <c r="AB87" s="23" t="str">
        <f t="shared" si="8"/>
        <v>Mencapai kompetensi dengan baik dalam hal</v>
      </c>
      <c r="AC87" s="23">
        <v>76</v>
      </c>
      <c r="AD87" s="23" t="str">
        <f t="shared" si="9"/>
        <v>Mencapai kompetensi dengan baik dalam hal</v>
      </c>
      <c r="AE87" s="23">
        <v>77</v>
      </c>
      <c r="AF87" s="23" t="str">
        <f t="shared" si="10"/>
        <v>Mencapai kompetensi dengan baik dalam hal</v>
      </c>
      <c r="AG87" s="23">
        <v>78</v>
      </c>
      <c r="AH87" s="23" t="str">
        <f t="shared" si="11"/>
        <v>Mencapai kompetensi dengan baik dalam hal</v>
      </c>
      <c r="AI87" s="62">
        <f t="shared" si="26"/>
        <v>77.5</v>
      </c>
      <c r="AJ87" s="23">
        <v>86</v>
      </c>
      <c r="AK87" s="23" t="str">
        <f t="shared" si="12"/>
        <v>Mencapai kompetensi dengan baik dalam hal</v>
      </c>
      <c r="AL87" s="23">
        <v>75</v>
      </c>
      <c r="AM87" s="18" t="str">
        <f t="shared" si="13"/>
        <v>Mencapai kompetensi dengan baik dalam hal</v>
      </c>
      <c r="AN87" s="23">
        <v>3</v>
      </c>
      <c r="AO87" s="23" t="s">
        <v>81</v>
      </c>
      <c r="AP87" s="23" t="s">
        <v>81</v>
      </c>
      <c r="AQ87" s="23">
        <v>1</v>
      </c>
      <c r="AR87" s="23" t="s">
        <v>82</v>
      </c>
      <c r="AS87" s="18" t="s">
        <v>83</v>
      </c>
      <c r="AT87" s="23" t="s">
        <v>84</v>
      </c>
      <c r="AU87" s="18" t="str">
        <f t="shared" si="23"/>
        <v>Baik</v>
      </c>
      <c r="AV87" s="23">
        <v>2</v>
      </c>
      <c r="AW87" s="18" t="s">
        <v>103</v>
      </c>
      <c r="AX87" s="18" t="s">
        <v>83</v>
      </c>
      <c r="AY87" s="23" t="s">
        <v>104</v>
      </c>
      <c r="AZ87" s="18" t="str">
        <f t="shared" si="24"/>
        <v>Cukup</v>
      </c>
      <c r="BA87" s="23"/>
      <c r="BB87" s="23"/>
      <c r="BC87" s="23"/>
      <c r="BD87" s="23"/>
      <c r="BE87" s="18"/>
      <c r="BG87" s="20"/>
      <c r="BH87" s="20"/>
      <c r="BN87" s="22">
        <f t="shared" si="25"/>
        <v>0</v>
      </c>
      <c r="BP87" s="115">
        <f t="shared" si="27"/>
        <v>78.5</v>
      </c>
      <c r="BQ87" s="22">
        <f t="shared" si="28"/>
        <v>27</v>
      </c>
    </row>
    <row r="88" spans="1:69" ht="24.95" customHeight="1" thickTop="1" thickBot="1" x14ac:dyDescent="0.3">
      <c r="A88" s="23">
        <v>87</v>
      </c>
      <c r="B88" s="23">
        <v>2525668</v>
      </c>
      <c r="C88" s="23" t="s">
        <v>1024</v>
      </c>
      <c r="D88" s="18" t="s">
        <v>1025</v>
      </c>
      <c r="E88" s="23" t="s">
        <v>995</v>
      </c>
      <c r="F88" s="23" t="s">
        <v>845</v>
      </c>
      <c r="G88" s="24" t="s">
        <v>996</v>
      </c>
      <c r="H88" s="24" t="s">
        <v>997</v>
      </c>
      <c r="I88" s="60" t="s">
        <v>76</v>
      </c>
      <c r="J88" s="61" t="s">
        <v>77</v>
      </c>
      <c r="K88" s="23">
        <v>80</v>
      </c>
      <c r="L88" s="23" t="str">
        <f t="shared" si="0"/>
        <v>Mencapai kompetensi dengan baik dalam hal</v>
      </c>
      <c r="M88" s="23">
        <v>81</v>
      </c>
      <c r="N88" s="23" t="str">
        <f t="shared" si="1"/>
        <v>Mencapai kompetensi dengan baik dalam hal</v>
      </c>
      <c r="O88" s="23">
        <v>79</v>
      </c>
      <c r="P88" s="23" t="str">
        <f t="shared" si="2"/>
        <v>Mencapai kompetensi dengan baik dalam hal</v>
      </c>
      <c r="Q88" s="23">
        <v>80</v>
      </c>
      <c r="R88" s="23" t="str">
        <f t="shared" si="3"/>
        <v>Mencapai kompetensi dengan baik dalam hal</v>
      </c>
      <c r="S88" s="23">
        <v>86</v>
      </c>
      <c r="T88" s="23" t="str">
        <f t="shared" si="4"/>
        <v>Mencapai kompetensi dengan baik dalam hal</v>
      </c>
      <c r="U88" s="23">
        <v>85</v>
      </c>
      <c r="V88" s="23" t="str">
        <f t="shared" si="5"/>
        <v>Mencapai kompetensi dengan baik dalam hal</v>
      </c>
      <c r="W88" s="23">
        <v>79</v>
      </c>
      <c r="X88" s="23" t="str">
        <f t="shared" si="6"/>
        <v>Mencapai kompetensi dengan baik dalam hal</v>
      </c>
      <c r="Y88" s="23">
        <v>79</v>
      </c>
      <c r="Z88" s="23" t="str">
        <f t="shared" si="7"/>
        <v>Mencapai kompetensi dengan baik dalam hal</v>
      </c>
      <c r="AA88" s="23">
        <v>88</v>
      </c>
      <c r="AB88" s="23" t="str">
        <f t="shared" si="8"/>
        <v>Mencapai kompetensi dengan baik dalam hal</v>
      </c>
      <c r="AC88" s="23">
        <v>87</v>
      </c>
      <c r="AD88" s="23" t="str">
        <f t="shared" si="9"/>
        <v>Mencapai kompetensi dengan baik dalam hal</v>
      </c>
      <c r="AE88" s="23">
        <v>84</v>
      </c>
      <c r="AF88" s="23" t="str">
        <f t="shared" si="10"/>
        <v>Mencapai kompetensi dengan baik dalam hal</v>
      </c>
      <c r="AG88" s="23">
        <v>85</v>
      </c>
      <c r="AH88" s="23" t="str">
        <f t="shared" si="11"/>
        <v>Mencapai kompetensi dengan baik dalam hal</v>
      </c>
      <c r="AI88" s="62">
        <f t="shared" si="26"/>
        <v>84.5</v>
      </c>
      <c r="AJ88" s="23">
        <v>88</v>
      </c>
      <c r="AK88" s="23" t="str">
        <f t="shared" si="12"/>
        <v>Mencapai kompetensi dengan baik dalam hal</v>
      </c>
      <c r="AL88" s="23">
        <v>80</v>
      </c>
      <c r="AM88" s="18" t="str">
        <f t="shared" si="13"/>
        <v>Mencapai kompetensi dengan baik dalam hal</v>
      </c>
      <c r="AN88" s="23" t="s">
        <v>81</v>
      </c>
      <c r="AO88" s="23" t="s">
        <v>81</v>
      </c>
      <c r="AP88" s="23" t="s">
        <v>81</v>
      </c>
      <c r="AQ88" s="23">
        <v>1</v>
      </c>
      <c r="AR88" s="23" t="s">
        <v>82</v>
      </c>
      <c r="AS88" s="18" t="s">
        <v>83</v>
      </c>
      <c r="AT88" s="23" t="s">
        <v>86</v>
      </c>
      <c r="AU88" s="18" t="str">
        <f t="shared" si="23"/>
        <v>Sangat baik</v>
      </c>
      <c r="AV88" s="23">
        <v>2</v>
      </c>
      <c r="AW88" s="18" t="s">
        <v>99</v>
      </c>
      <c r="AX88" s="18" t="s">
        <v>83</v>
      </c>
      <c r="AY88" s="23" t="s">
        <v>86</v>
      </c>
      <c r="AZ88" s="18" t="str">
        <f t="shared" si="24"/>
        <v>Sangat baik</v>
      </c>
      <c r="BA88" s="23"/>
      <c r="BB88" s="23"/>
      <c r="BC88" s="23"/>
      <c r="BD88" s="23"/>
      <c r="BE88" s="18"/>
      <c r="BG88" s="20"/>
      <c r="BH88" s="20"/>
      <c r="BN88" s="22">
        <f t="shared" si="25"/>
        <v>0</v>
      </c>
      <c r="BP88" s="115">
        <f t="shared" si="27"/>
        <v>82.807692307692307</v>
      </c>
      <c r="BQ88" s="22">
        <f t="shared" si="28"/>
        <v>1</v>
      </c>
    </row>
    <row r="89" spans="1:69" ht="24.95" customHeight="1" thickTop="1" thickBot="1" x14ac:dyDescent="0.3">
      <c r="A89" s="23">
        <v>88</v>
      </c>
      <c r="B89" s="23">
        <v>2525669</v>
      </c>
      <c r="C89" s="23" t="s">
        <v>1026</v>
      </c>
      <c r="D89" s="18" t="s">
        <v>1027</v>
      </c>
      <c r="E89" s="23" t="s">
        <v>995</v>
      </c>
      <c r="F89" s="23" t="s">
        <v>845</v>
      </c>
      <c r="G89" s="24" t="s">
        <v>996</v>
      </c>
      <c r="H89" s="24" t="s">
        <v>997</v>
      </c>
      <c r="I89" s="60" t="s">
        <v>76</v>
      </c>
      <c r="J89" s="61" t="s">
        <v>77</v>
      </c>
      <c r="K89" s="23">
        <v>80</v>
      </c>
      <c r="L89" s="23" t="str">
        <f t="shared" si="0"/>
        <v>Mencapai kompetensi dengan baik dalam hal</v>
      </c>
      <c r="M89" s="23">
        <v>82</v>
      </c>
      <c r="N89" s="23" t="str">
        <f t="shared" si="1"/>
        <v>Mencapai kompetensi dengan baik dalam hal</v>
      </c>
      <c r="O89" s="23">
        <v>77</v>
      </c>
      <c r="P89" s="23" t="str">
        <f t="shared" si="2"/>
        <v>Mencapai kompetensi dengan baik dalam hal</v>
      </c>
      <c r="Q89" s="23">
        <v>80</v>
      </c>
      <c r="R89" s="23" t="str">
        <f t="shared" si="3"/>
        <v>Mencapai kompetensi dengan baik dalam hal</v>
      </c>
      <c r="S89" s="23">
        <v>86</v>
      </c>
      <c r="T89" s="23" t="str">
        <f t="shared" si="4"/>
        <v>Mencapai kompetensi dengan baik dalam hal</v>
      </c>
      <c r="U89" s="23">
        <v>79</v>
      </c>
      <c r="V89" s="23" t="str">
        <f t="shared" si="5"/>
        <v>Mencapai kompetensi dengan baik dalam hal</v>
      </c>
      <c r="W89" s="23">
        <v>80</v>
      </c>
      <c r="X89" s="23" t="str">
        <f t="shared" si="6"/>
        <v>Mencapai kompetensi dengan baik dalam hal</v>
      </c>
      <c r="Y89" s="23">
        <v>79</v>
      </c>
      <c r="Z89" s="23" t="str">
        <f t="shared" si="7"/>
        <v>Mencapai kompetensi dengan baik dalam hal</v>
      </c>
      <c r="AA89" s="23">
        <v>84</v>
      </c>
      <c r="AB89" s="23" t="str">
        <f t="shared" si="8"/>
        <v>Mencapai kompetensi dengan baik dalam hal</v>
      </c>
      <c r="AC89" s="23">
        <v>83</v>
      </c>
      <c r="AD89" s="23" t="str">
        <f t="shared" si="9"/>
        <v>Mencapai kompetensi dengan baik dalam hal</v>
      </c>
      <c r="AE89" s="23">
        <v>77</v>
      </c>
      <c r="AF89" s="23" t="str">
        <f t="shared" si="10"/>
        <v>Mencapai kompetensi dengan baik dalam hal</v>
      </c>
      <c r="AG89" s="23">
        <v>78</v>
      </c>
      <c r="AH89" s="23" t="str">
        <f t="shared" si="11"/>
        <v>Mencapai kompetensi dengan baik dalam hal</v>
      </c>
      <c r="AI89" s="62">
        <f t="shared" si="26"/>
        <v>77.5</v>
      </c>
      <c r="AJ89" s="23">
        <v>84</v>
      </c>
      <c r="AK89" s="23" t="str">
        <f t="shared" si="12"/>
        <v>Mencapai kompetensi dengan baik dalam hal</v>
      </c>
      <c r="AL89" s="23">
        <v>80</v>
      </c>
      <c r="AM89" s="18" t="str">
        <f t="shared" si="13"/>
        <v>Mencapai kompetensi dengan baik dalam hal</v>
      </c>
      <c r="AN89" s="23" t="s">
        <v>81</v>
      </c>
      <c r="AO89" s="23" t="s">
        <v>81</v>
      </c>
      <c r="AP89" s="23" t="s">
        <v>81</v>
      </c>
      <c r="AQ89" s="23">
        <v>1</v>
      </c>
      <c r="AR89" s="23" t="s">
        <v>82</v>
      </c>
      <c r="AS89" s="18" t="s">
        <v>83</v>
      </c>
      <c r="AT89" s="23" t="s">
        <v>86</v>
      </c>
      <c r="AU89" s="18" t="str">
        <f t="shared" si="23"/>
        <v>Sangat baik</v>
      </c>
      <c r="AV89" s="23">
        <v>2</v>
      </c>
      <c r="AW89" s="18" t="s">
        <v>298</v>
      </c>
      <c r="AX89" s="18" t="s">
        <v>83</v>
      </c>
      <c r="AY89" s="23" t="s">
        <v>86</v>
      </c>
      <c r="AZ89" s="18" t="str">
        <f t="shared" si="24"/>
        <v>Sangat baik</v>
      </c>
      <c r="BA89" s="23"/>
      <c r="BB89" s="23"/>
      <c r="BC89" s="23"/>
      <c r="BD89" s="23"/>
      <c r="BE89" s="18"/>
      <c r="BG89" s="20"/>
      <c r="BH89" s="20"/>
      <c r="BN89" s="22">
        <f t="shared" si="25"/>
        <v>0</v>
      </c>
      <c r="BP89" s="115">
        <f t="shared" si="27"/>
        <v>80.884615384615387</v>
      </c>
      <c r="BQ89" s="22">
        <f t="shared" si="28"/>
        <v>10</v>
      </c>
    </row>
    <row r="90" spans="1:69" ht="24.95" customHeight="1" thickTop="1" thickBot="1" x14ac:dyDescent="0.3">
      <c r="A90" s="23">
        <v>89</v>
      </c>
      <c r="B90" s="23">
        <v>2525670</v>
      </c>
      <c r="C90" s="23" t="s">
        <v>1028</v>
      </c>
      <c r="D90" s="18" t="s">
        <v>1029</v>
      </c>
      <c r="E90" s="23" t="s">
        <v>995</v>
      </c>
      <c r="F90" s="23" t="s">
        <v>845</v>
      </c>
      <c r="G90" s="24" t="s">
        <v>996</v>
      </c>
      <c r="H90" s="24" t="s">
        <v>997</v>
      </c>
      <c r="I90" s="60" t="s">
        <v>76</v>
      </c>
      <c r="J90" s="61" t="s">
        <v>77</v>
      </c>
      <c r="K90" s="23">
        <v>79</v>
      </c>
      <c r="L90" s="23" t="str">
        <f t="shared" si="0"/>
        <v>Mencapai kompetensi dengan baik dalam hal</v>
      </c>
      <c r="M90" s="23">
        <v>77</v>
      </c>
      <c r="N90" s="23" t="str">
        <f t="shared" si="1"/>
        <v>Mencapai kompetensi dengan baik dalam hal</v>
      </c>
      <c r="O90" s="23">
        <v>78</v>
      </c>
      <c r="P90" s="23" t="str">
        <f t="shared" si="2"/>
        <v>Mencapai kompetensi dengan baik dalam hal</v>
      </c>
      <c r="Q90" s="23">
        <v>80</v>
      </c>
      <c r="R90" s="23" t="str">
        <f t="shared" si="3"/>
        <v>Mencapai kompetensi dengan baik dalam hal</v>
      </c>
      <c r="S90" s="23">
        <v>87</v>
      </c>
      <c r="T90" s="23" t="str">
        <f t="shared" si="4"/>
        <v>Mencapai kompetensi dengan baik dalam hal</v>
      </c>
      <c r="U90" s="23">
        <v>82</v>
      </c>
      <c r="V90" s="23" t="str">
        <f t="shared" si="5"/>
        <v>Mencapai kompetensi dengan baik dalam hal</v>
      </c>
      <c r="W90" s="23">
        <v>79</v>
      </c>
      <c r="X90" s="23" t="str">
        <f t="shared" si="6"/>
        <v>Mencapai kompetensi dengan baik dalam hal</v>
      </c>
      <c r="Y90" s="23">
        <v>76</v>
      </c>
      <c r="Z90" s="23" t="str">
        <f t="shared" si="7"/>
        <v>Mencapai kompetensi dengan baik dalam hal</v>
      </c>
      <c r="AA90" s="23">
        <v>82</v>
      </c>
      <c r="AB90" s="23" t="str">
        <f t="shared" si="8"/>
        <v>Mencapai kompetensi dengan baik dalam hal</v>
      </c>
      <c r="AC90" s="23">
        <v>80</v>
      </c>
      <c r="AD90" s="23" t="str">
        <f t="shared" si="9"/>
        <v>Mencapai kompetensi dengan baik dalam hal</v>
      </c>
      <c r="AE90" s="23">
        <v>82</v>
      </c>
      <c r="AF90" s="23" t="str">
        <f t="shared" si="10"/>
        <v>Mencapai kompetensi dengan baik dalam hal</v>
      </c>
      <c r="AG90" s="23">
        <v>83</v>
      </c>
      <c r="AH90" s="23" t="str">
        <f t="shared" si="11"/>
        <v>Mencapai kompetensi dengan baik dalam hal</v>
      </c>
      <c r="AI90" s="62">
        <f t="shared" si="26"/>
        <v>82.5</v>
      </c>
      <c r="AJ90" s="23">
        <v>82</v>
      </c>
      <c r="AK90" s="23" t="str">
        <f t="shared" si="12"/>
        <v>Mencapai kompetensi dengan baik dalam hal</v>
      </c>
      <c r="AL90" s="23">
        <v>80</v>
      </c>
      <c r="AM90" s="18" t="str">
        <f t="shared" si="13"/>
        <v>Mencapai kompetensi dengan baik dalam hal</v>
      </c>
      <c r="AN90" s="23" t="s">
        <v>81</v>
      </c>
      <c r="AO90" s="23" t="s">
        <v>81</v>
      </c>
      <c r="AP90" s="23" t="s">
        <v>81</v>
      </c>
      <c r="AQ90" s="23">
        <v>1</v>
      </c>
      <c r="AR90" s="23" t="s">
        <v>82</v>
      </c>
      <c r="AS90" s="18" t="s">
        <v>83</v>
      </c>
      <c r="AT90" s="23" t="s">
        <v>84</v>
      </c>
      <c r="AU90" s="18" t="str">
        <f t="shared" si="23"/>
        <v>Baik</v>
      </c>
      <c r="AV90" s="23">
        <v>2</v>
      </c>
      <c r="AW90" s="18" t="s">
        <v>125</v>
      </c>
      <c r="AX90" s="18" t="s">
        <v>83</v>
      </c>
      <c r="AY90" s="23" t="s">
        <v>84</v>
      </c>
      <c r="AZ90" s="18" t="str">
        <f t="shared" si="24"/>
        <v>Baik</v>
      </c>
      <c r="BA90" s="23"/>
      <c r="BB90" s="23"/>
      <c r="BC90" s="23"/>
      <c r="BD90" s="23"/>
      <c r="BE90" s="18"/>
      <c r="BG90" s="20"/>
      <c r="BH90" s="20"/>
      <c r="BN90" s="22">
        <f t="shared" si="25"/>
        <v>0</v>
      </c>
      <c r="BP90" s="115">
        <f t="shared" si="27"/>
        <v>80.34615384615384</v>
      </c>
      <c r="BQ90" s="22">
        <f t="shared" si="28"/>
        <v>12</v>
      </c>
    </row>
    <row r="91" spans="1:69" ht="24.95" customHeight="1" thickTop="1" thickBot="1" x14ac:dyDescent="0.3">
      <c r="A91" s="23">
        <v>90</v>
      </c>
      <c r="B91" s="23">
        <v>2525671</v>
      </c>
      <c r="C91" s="23" t="s">
        <v>1030</v>
      </c>
      <c r="D91" s="18" t="s">
        <v>1031</v>
      </c>
      <c r="E91" s="23" t="s">
        <v>995</v>
      </c>
      <c r="F91" s="23" t="s">
        <v>845</v>
      </c>
      <c r="G91" s="24" t="s">
        <v>996</v>
      </c>
      <c r="H91" s="24" t="s">
        <v>997</v>
      </c>
      <c r="I91" s="60" t="s">
        <v>76</v>
      </c>
      <c r="J91" s="61" t="s">
        <v>77</v>
      </c>
      <c r="K91" s="23">
        <v>78</v>
      </c>
      <c r="L91" s="23" t="str">
        <f t="shared" si="0"/>
        <v>Mencapai kompetensi dengan baik dalam hal</v>
      </c>
      <c r="M91" s="23">
        <v>75</v>
      </c>
      <c r="N91" s="23" t="str">
        <f t="shared" si="1"/>
        <v>Mencapai kompetensi dengan baik dalam hal</v>
      </c>
      <c r="O91" s="23">
        <v>76</v>
      </c>
      <c r="P91" s="23" t="str">
        <f t="shared" si="2"/>
        <v>Mencapai kompetensi dengan baik dalam hal</v>
      </c>
      <c r="Q91" s="23">
        <v>80</v>
      </c>
      <c r="R91" s="23" t="str">
        <f t="shared" si="3"/>
        <v>Mencapai kompetensi dengan baik dalam hal</v>
      </c>
      <c r="S91" s="23">
        <v>75</v>
      </c>
      <c r="T91" s="23" t="str">
        <f t="shared" si="4"/>
        <v>Mencapai kompetensi dengan baik dalam hal</v>
      </c>
      <c r="U91" s="23">
        <v>75</v>
      </c>
      <c r="V91" s="23" t="str">
        <f t="shared" si="5"/>
        <v>Mencapai kompetensi dengan baik dalam hal</v>
      </c>
      <c r="W91" s="23">
        <v>75</v>
      </c>
      <c r="X91" s="23" t="str">
        <f t="shared" si="6"/>
        <v>Mencapai kompetensi dengan baik dalam hal</v>
      </c>
      <c r="Y91" s="23">
        <v>78</v>
      </c>
      <c r="Z91" s="23" t="str">
        <f t="shared" si="7"/>
        <v>Mencapai kompetensi dengan baik dalam hal</v>
      </c>
      <c r="AA91" s="23">
        <v>82</v>
      </c>
      <c r="AB91" s="23" t="str">
        <f t="shared" si="8"/>
        <v>Mencapai kompetensi dengan baik dalam hal</v>
      </c>
      <c r="AC91" s="23">
        <v>76</v>
      </c>
      <c r="AD91" s="23" t="str">
        <f t="shared" si="9"/>
        <v>Mencapai kompetensi dengan baik dalam hal</v>
      </c>
      <c r="AE91" s="23">
        <v>76</v>
      </c>
      <c r="AF91" s="23" t="str">
        <f t="shared" si="10"/>
        <v>Mencapai kompetensi dengan baik dalam hal</v>
      </c>
      <c r="AG91" s="23">
        <v>77</v>
      </c>
      <c r="AH91" s="23" t="str">
        <f t="shared" si="11"/>
        <v>Mencapai kompetensi dengan baik dalam hal</v>
      </c>
      <c r="AI91" s="62">
        <f t="shared" si="26"/>
        <v>76.5</v>
      </c>
      <c r="AJ91" s="23">
        <v>82</v>
      </c>
      <c r="AK91" s="23" t="str">
        <f t="shared" si="12"/>
        <v>Mencapai kompetensi dengan baik dalam hal</v>
      </c>
      <c r="AL91" s="23">
        <v>77</v>
      </c>
      <c r="AM91" s="18" t="str">
        <f t="shared" si="13"/>
        <v>Mencapai kompetensi dengan baik dalam hal</v>
      </c>
      <c r="AN91" s="23" t="s">
        <v>81</v>
      </c>
      <c r="AO91" s="23" t="s">
        <v>81</v>
      </c>
      <c r="AP91" s="23" t="s">
        <v>81</v>
      </c>
      <c r="AQ91" s="23">
        <v>1</v>
      </c>
      <c r="AR91" s="23" t="s">
        <v>82</v>
      </c>
      <c r="AS91" s="18" t="s">
        <v>83</v>
      </c>
      <c r="AT91" s="23" t="s">
        <v>86</v>
      </c>
      <c r="AU91" s="18" t="str">
        <f t="shared" si="23"/>
        <v>Sangat baik</v>
      </c>
      <c r="AV91" s="23">
        <v>2</v>
      </c>
      <c r="AW91" s="18" t="s">
        <v>162</v>
      </c>
      <c r="AX91" s="18" t="s">
        <v>83</v>
      </c>
      <c r="AY91" s="23" t="s">
        <v>84</v>
      </c>
      <c r="AZ91" s="18" t="str">
        <f t="shared" si="24"/>
        <v>Baik</v>
      </c>
      <c r="BA91" s="23"/>
      <c r="BB91" s="23"/>
      <c r="BC91" s="23"/>
      <c r="BD91" s="23"/>
      <c r="BE91" s="18"/>
      <c r="BG91" s="20"/>
      <c r="BH91" s="20"/>
      <c r="BN91" s="22">
        <f t="shared" si="25"/>
        <v>0</v>
      </c>
      <c r="BP91" s="115">
        <f t="shared" si="27"/>
        <v>77.34615384615384</v>
      </c>
      <c r="BQ91" s="22">
        <f t="shared" si="28"/>
        <v>33</v>
      </c>
    </row>
    <row r="92" spans="1:69" ht="24.95" customHeight="1" thickTop="1" thickBot="1" x14ac:dyDescent="0.3">
      <c r="A92" s="23">
        <v>91</v>
      </c>
      <c r="B92" s="23">
        <v>2525672</v>
      </c>
      <c r="C92" s="23" t="s">
        <v>1032</v>
      </c>
      <c r="D92" s="18" t="s">
        <v>1033</v>
      </c>
      <c r="E92" s="23" t="s">
        <v>995</v>
      </c>
      <c r="F92" s="23" t="s">
        <v>845</v>
      </c>
      <c r="G92" s="24" t="s">
        <v>996</v>
      </c>
      <c r="H92" s="24" t="s">
        <v>997</v>
      </c>
      <c r="I92" s="60" t="s">
        <v>76</v>
      </c>
      <c r="J92" s="61" t="s">
        <v>77</v>
      </c>
      <c r="K92" s="23">
        <v>81</v>
      </c>
      <c r="L92" s="23" t="str">
        <f t="shared" si="0"/>
        <v>Mencapai kompetensi dengan baik dalam hal</v>
      </c>
      <c r="M92" s="23">
        <v>81</v>
      </c>
      <c r="N92" s="23" t="str">
        <f t="shared" si="1"/>
        <v>Mencapai kompetensi dengan baik dalam hal</v>
      </c>
      <c r="O92" s="23">
        <v>81</v>
      </c>
      <c r="P92" s="23" t="str">
        <f t="shared" si="2"/>
        <v>Mencapai kompetensi dengan baik dalam hal</v>
      </c>
      <c r="Q92" s="23">
        <v>80</v>
      </c>
      <c r="R92" s="23" t="str">
        <f t="shared" si="3"/>
        <v>Mencapai kompetensi dengan baik dalam hal</v>
      </c>
      <c r="S92" s="23">
        <v>86</v>
      </c>
      <c r="T92" s="23" t="str">
        <f t="shared" si="4"/>
        <v>Mencapai kompetensi dengan baik dalam hal</v>
      </c>
      <c r="U92" s="23">
        <v>76</v>
      </c>
      <c r="V92" s="23" t="str">
        <f t="shared" si="5"/>
        <v>Mencapai kompetensi dengan baik dalam hal</v>
      </c>
      <c r="W92" s="23">
        <v>77</v>
      </c>
      <c r="X92" s="23" t="str">
        <f t="shared" si="6"/>
        <v>Mencapai kompetensi dengan baik dalam hal</v>
      </c>
      <c r="Y92" s="23">
        <v>80</v>
      </c>
      <c r="Z92" s="23" t="str">
        <f t="shared" si="7"/>
        <v>Mencapai kompetensi dengan baik dalam hal</v>
      </c>
      <c r="AA92" s="23">
        <v>85</v>
      </c>
      <c r="AB92" s="23" t="str">
        <f t="shared" si="8"/>
        <v>Mencapai kompetensi dengan baik dalam hal</v>
      </c>
      <c r="AC92" s="23">
        <v>83</v>
      </c>
      <c r="AD92" s="23" t="str">
        <f t="shared" si="9"/>
        <v>Mencapai kompetensi dengan baik dalam hal</v>
      </c>
      <c r="AE92" s="23">
        <v>83</v>
      </c>
      <c r="AF92" s="23" t="str">
        <f t="shared" si="10"/>
        <v>Mencapai kompetensi dengan baik dalam hal</v>
      </c>
      <c r="AG92" s="23">
        <v>84</v>
      </c>
      <c r="AH92" s="23" t="str">
        <f t="shared" si="11"/>
        <v>Mencapai kompetensi dengan baik dalam hal</v>
      </c>
      <c r="AI92" s="62">
        <f t="shared" si="26"/>
        <v>83.5</v>
      </c>
      <c r="AJ92" s="23">
        <v>85</v>
      </c>
      <c r="AK92" s="23" t="str">
        <f t="shared" si="12"/>
        <v>Mencapai kompetensi dengan baik dalam hal</v>
      </c>
      <c r="AL92" s="23">
        <v>82</v>
      </c>
      <c r="AM92" s="18" t="str">
        <f t="shared" si="13"/>
        <v>Mencapai kompetensi dengan baik dalam hal</v>
      </c>
      <c r="AN92" s="23" t="s">
        <v>81</v>
      </c>
      <c r="AO92" s="23" t="s">
        <v>81</v>
      </c>
      <c r="AP92" s="23" t="s">
        <v>81</v>
      </c>
      <c r="AQ92" s="23">
        <v>1</v>
      </c>
      <c r="AR92" s="23" t="s">
        <v>82</v>
      </c>
      <c r="AS92" s="18" t="s">
        <v>83</v>
      </c>
      <c r="AT92" s="23" t="s">
        <v>84</v>
      </c>
      <c r="AU92" s="18" t="str">
        <f t="shared" si="23"/>
        <v>Baik</v>
      </c>
      <c r="AV92" s="23">
        <v>2</v>
      </c>
      <c r="AW92" s="18" t="s">
        <v>125</v>
      </c>
      <c r="AX92" s="18" t="s">
        <v>83</v>
      </c>
      <c r="AY92" s="23" t="s">
        <v>104</v>
      </c>
      <c r="AZ92" s="18" t="str">
        <f t="shared" si="24"/>
        <v>Cukup</v>
      </c>
      <c r="BA92" s="23"/>
      <c r="BB92" s="23"/>
      <c r="BC92" s="23"/>
      <c r="BD92" s="23"/>
      <c r="BE92" s="18"/>
      <c r="BG92" s="20"/>
      <c r="BH92" s="20"/>
      <c r="BN92" s="22">
        <f t="shared" si="25"/>
        <v>0</v>
      </c>
      <c r="BP92" s="115">
        <f t="shared" si="27"/>
        <v>81.57692307692308</v>
      </c>
      <c r="BQ92" s="22">
        <f t="shared" si="28"/>
        <v>5</v>
      </c>
    </row>
    <row r="93" spans="1:69" ht="24.95" customHeight="1" thickTop="1" thickBot="1" x14ac:dyDescent="0.3">
      <c r="A93" s="23">
        <v>92</v>
      </c>
      <c r="B93" s="23">
        <v>2525673</v>
      </c>
      <c r="C93" s="23" t="s">
        <v>1034</v>
      </c>
      <c r="D93" s="18" t="s">
        <v>1035</v>
      </c>
      <c r="E93" s="23" t="s">
        <v>995</v>
      </c>
      <c r="F93" s="23" t="s">
        <v>845</v>
      </c>
      <c r="G93" s="24" t="s">
        <v>996</v>
      </c>
      <c r="H93" s="24" t="s">
        <v>997</v>
      </c>
      <c r="I93" s="60" t="s">
        <v>76</v>
      </c>
      <c r="J93" s="61" t="s">
        <v>77</v>
      </c>
      <c r="K93" s="23">
        <v>79</v>
      </c>
      <c r="L93" s="23" t="str">
        <f t="shared" si="0"/>
        <v>Mencapai kompetensi dengan baik dalam hal</v>
      </c>
      <c r="M93" s="23">
        <v>76</v>
      </c>
      <c r="N93" s="23" t="str">
        <f t="shared" si="1"/>
        <v>Mencapai kompetensi dengan baik dalam hal</v>
      </c>
      <c r="O93" s="23">
        <v>76</v>
      </c>
      <c r="P93" s="23" t="str">
        <f t="shared" si="2"/>
        <v>Mencapai kompetensi dengan baik dalam hal</v>
      </c>
      <c r="Q93" s="23">
        <v>80</v>
      </c>
      <c r="R93" s="23" t="str">
        <f t="shared" si="3"/>
        <v>Mencapai kompetensi dengan baik dalam hal</v>
      </c>
      <c r="S93" s="23">
        <v>82</v>
      </c>
      <c r="T93" s="23" t="str">
        <f t="shared" si="4"/>
        <v>Mencapai kompetensi dengan baik dalam hal</v>
      </c>
      <c r="U93" s="23">
        <v>75</v>
      </c>
      <c r="V93" s="23" t="str">
        <f t="shared" si="5"/>
        <v>Mencapai kompetensi dengan baik dalam hal</v>
      </c>
      <c r="W93" s="23">
        <v>75</v>
      </c>
      <c r="X93" s="23" t="str">
        <f t="shared" si="6"/>
        <v>Mencapai kompetensi dengan baik dalam hal</v>
      </c>
      <c r="Y93" s="23">
        <v>77</v>
      </c>
      <c r="Z93" s="23" t="str">
        <f t="shared" si="7"/>
        <v>Mencapai kompetensi dengan baik dalam hal</v>
      </c>
      <c r="AA93" s="23">
        <v>82</v>
      </c>
      <c r="AB93" s="23" t="str">
        <f t="shared" si="8"/>
        <v>Mencapai kompetensi dengan baik dalam hal</v>
      </c>
      <c r="AC93" s="23">
        <v>79</v>
      </c>
      <c r="AD93" s="23" t="str">
        <f t="shared" si="9"/>
        <v>Mencapai kompetensi dengan baik dalam hal</v>
      </c>
      <c r="AE93" s="23">
        <v>76</v>
      </c>
      <c r="AF93" s="23" t="str">
        <f t="shared" si="10"/>
        <v>Mencapai kompetensi dengan baik dalam hal</v>
      </c>
      <c r="AG93" s="23">
        <v>77</v>
      </c>
      <c r="AH93" s="23" t="str">
        <f t="shared" si="11"/>
        <v>Mencapai kompetensi dengan baik dalam hal</v>
      </c>
      <c r="AI93" s="62">
        <f t="shared" si="26"/>
        <v>76.5</v>
      </c>
      <c r="AJ93" s="23">
        <v>82</v>
      </c>
      <c r="AK93" s="23" t="str">
        <f t="shared" si="12"/>
        <v>Mencapai kompetensi dengan baik dalam hal</v>
      </c>
      <c r="AL93" s="23">
        <v>76</v>
      </c>
      <c r="AM93" s="18" t="str">
        <f t="shared" si="13"/>
        <v>Mencapai kompetensi dengan baik dalam hal</v>
      </c>
      <c r="AN93" s="23" t="s">
        <v>81</v>
      </c>
      <c r="AO93" s="23" t="s">
        <v>81</v>
      </c>
      <c r="AP93" s="23" t="s">
        <v>81</v>
      </c>
      <c r="AQ93" s="23">
        <v>1</v>
      </c>
      <c r="AR93" s="23" t="s">
        <v>82</v>
      </c>
      <c r="AS93" s="18" t="s">
        <v>83</v>
      </c>
      <c r="AT93" s="23" t="s">
        <v>84</v>
      </c>
      <c r="AU93" s="18" t="str">
        <f t="shared" si="23"/>
        <v>Baik</v>
      </c>
      <c r="AV93" s="23">
        <v>2</v>
      </c>
      <c r="AW93" s="18" t="s">
        <v>108</v>
      </c>
      <c r="AX93" s="18" t="s">
        <v>83</v>
      </c>
      <c r="AY93" s="23" t="s">
        <v>86</v>
      </c>
      <c r="AZ93" s="18" t="str">
        <f t="shared" si="24"/>
        <v>Sangat baik</v>
      </c>
      <c r="BA93" s="23"/>
      <c r="BB93" s="23"/>
      <c r="BC93" s="23"/>
      <c r="BD93" s="23"/>
      <c r="BE93" s="18"/>
      <c r="BG93" s="20"/>
      <c r="BH93" s="20"/>
      <c r="BN93" s="22">
        <f t="shared" si="25"/>
        <v>0</v>
      </c>
      <c r="BP93" s="115">
        <f t="shared" si="27"/>
        <v>78.115384615384613</v>
      </c>
      <c r="BQ93" s="22">
        <f t="shared" si="28"/>
        <v>29</v>
      </c>
    </row>
    <row r="94" spans="1:69" ht="24.95" customHeight="1" thickTop="1" thickBot="1" x14ac:dyDescent="0.3">
      <c r="A94" s="23">
        <v>93</v>
      </c>
      <c r="B94" s="23">
        <v>2525674</v>
      </c>
      <c r="C94" s="23" t="s">
        <v>1036</v>
      </c>
      <c r="D94" s="18" t="s">
        <v>1037</v>
      </c>
      <c r="E94" s="23" t="s">
        <v>995</v>
      </c>
      <c r="F94" s="23" t="s">
        <v>845</v>
      </c>
      <c r="G94" s="24" t="s">
        <v>996</v>
      </c>
      <c r="H94" s="24" t="s">
        <v>997</v>
      </c>
      <c r="I94" s="60" t="s">
        <v>76</v>
      </c>
      <c r="J94" s="61" t="s">
        <v>77</v>
      </c>
      <c r="K94" s="23">
        <v>80</v>
      </c>
      <c r="L94" s="23" t="str">
        <f t="shared" si="0"/>
        <v>Mencapai kompetensi dengan baik dalam hal</v>
      </c>
      <c r="M94" s="23">
        <v>78</v>
      </c>
      <c r="N94" s="23" t="str">
        <f t="shared" si="1"/>
        <v>Mencapai kompetensi dengan baik dalam hal</v>
      </c>
      <c r="O94" s="23">
        <v>77</v>
      </c>
      <c r="P94" s="23" t="str">
        <f t="shared" si="2"/>
        <v>Mencapai kompetensi dengan baik dalam hal</v>
      </c>
      <c r="Q94" s="23">
        <v>79</v>
      </c>
      <c r="R94" s="23" t="str">
        <f t="shared" si="3"/>
        <v>Mencapai kompetensi dengan baik dalam hal</v>
      </c>
      <c r="S94" s="23">
        <v>84</v>
      </c>
      <c r="T94" s="23" t="str">
        <f t="shared" si="4"/>
        <v>Mencapai kompetensi dengan baik dalam hal</v>
      </c>
      <c r="U94" s="23">
        <v>78</v>
      </c>
      <c r="V94" s="23" t="str">
        <f t="shared" si="5"/>
        <v>Mencapai kompetensi dengan baik dalam hal</v>
      </c>
      <c r="W94" s="23">
        <v>78</v>
      </c>
      <c r="X94" s="23" t="str">
        <f t="shared" si="6"/>
        <v>Mencapai kompetensi dengan baik dalam hal</v>
      </c>
      <c r="Y94" s="23">
        <v>77</v>
      </c>
      <c r="Z94" s="23" t="str">
        <f t="shared" si="7"/>
        <v>Mencapai kompetensi dengan baik dalam hal</v>
      </c>
      <c r="AA94" s="23">
        <v>82</v>
      </c>
      <c r="AB94" s="23" t="str">
        <f t="shared" si="8"/>
        <v>Mencapai kompetensi dengan baik dalam hal</v>
      </c>
      <c r="AC94" s="23">
        <v>82</v>
      </c>
      <c r="AD94" s="23" t="str">
        <f t="shared" si="9"/>
        <v>Mencapai kompetensi dengan baik dalam hal</v>
      </c>
      <c r="AE94" s="23">
        <v>77</v>
      </c>
      <c r="AF94" s="23" t="str">
        <f t="shared" si="10"/>
        <v>Mencapai kompetensi dengan baik dalam hal</v>
      </c>
      <c r="AG94" s="23">
        <v>78</v>
      </c>
      <c r="AH94" s="23" t="str">
        <f t="shared" si="11"/>
        <v>Mencapai kompetensi dengan baik dalam hal</v>
      </c>
      <c r="AI94" s="62">
        <f t="shared" si="26"/>
        <v>77.5</v>
      </c>
      <c r="AJ94" s="23">
        <v>82</v>
      </c>
      <c r="AK94" s="23" t="str">
        <f t="shared" si="12"/>
        <v>Mencapai kompetensi dengan baik dalam hal</v>
      </c>
      <c r="AL94" s="23">
        <v>76</v>
      </c>
      <c r="AM94" s="18" t="str">
        <f t="shared" si="13"/>
        <v>Mencapai kompetensi dengan baik dalam hal</v>
      </c>
      <c r="AN94" s="23">
        <v>2</v>
      </c>
      <c r="AO94" s="23" t="s">
        <v>81</v>
      </c>
      <c r="AP94" s="23" t="s">
        <v>81</v>
      </c>
      <c r="AQ94" s="23">
        <v>1</v>
      </c>
      <c r="AR94" s="23" t="s">
        <v>82</v>
      </c>
      <c r="AS94" s="18" t="s">
        <v>83</v>
      </c>
      <c r="AT94" s="23" t="s">
        <v>86</v>
      </c>
      <c r="AU94" s="18" t="str">
        <f t="shared" si="23"/>
        <v>Sangat baik</v>
      </c>
      <c r="AV94" s="23">
        <v>2</v>
      </c>
      <c r="AW94" s="18" t="s">
        <v>99</v>
      </c>
      <c r="AX94" s="18" t="s">
        <v>83</v>
      </c>
      <c r="AY94" s="23" t="s">
        <v>86</v>
      </c>
      <c r="AZ94" s="18" t="str">
        <f t="shared" si="24"/>
        <v>Sangat baik</v>
      </c>
      <c r="BA94" s="23"/>
      <c r="BB94" s="23"/>
      <c r="BC94" s="23"/>
      <c r="BD94" s="23"/>
      <c r="BE94" s="18"/>
      <c r="BG94" s="20"/>
      <c r="BH94" s="20"/>
      <c r="BN94" s="22">
        <f t="shared" si="25"/>
        <v>0</v>
      </c>
      <c r="BP94" s="115">
        <f t="shared" si="27"/>
        <v>79.269230769230774</v>
      </c>
      <c r="BQ94" s="22">
        <f t="shared" si="28"/>
        <v>20</v>
      </c>
    </row>
    <row r="95" spans="1:69" ht="24.95" customHeight="1" thickTop="1" thickBot="1" x14ac:dyDescent="0.3">
      <c r="A95" s="23">
        <v>94</v>
      </c>
      <c r="B95" s="23">
        <v>2525675</v>
      </c>
      <c r="C95" s="23" t="s">
        <v>1038</v>
      </c>
      <c r="D95" s="18" t="s">
        <v>1039</v>
      </c>
      <c r="E95" s="23" t="s">
        <v>995</v>
      </c>
      <c r="F95" s="23" t="s">
        <v>845</v>
      </c>
      <c r="G95" s="24" t="s">
        <v>996</v>
      </c>
      <c r="H95" s="24" t="s">
        <v>997</v>
      </c>
      <c r="I95" s="60" t="s">
        <v>76</v>
      </c>
      <c r="J95" s="61" t="s">
        <v>77</v>
      </c>
      <c r="K95" s="23">
        <v>80</v>
      </c>
      <c r="L95" s="23" t="str">
        <f t="shared" si="0"/>
        <v>Mencapai kompetensi dengan baik dalam hal</v>
      </c>
      <c r="M95" s="23">
        <v>78</v>
      </c>
      <c r="N95" s="23" t="str">
        <f t="shared" si="1"/>
        <v>Mencapai kompetensi dengan baik dalam hal</v>
      </c>
      <c r="O95" s="23">
        <v>79</v>
      </c>
      <c r="P95" s="23" t="str">
        <f t="shared" si="2"/>
        <v>Mencapai kompetensi dengan baik dalam hal</v>
      </c>
      <c r="Q95" s="23">
        <v>80</v>
      </c>
      <c r="R95" s="23" t="str">
        <f t="shared" si="3"/>
        <v>Mencapai kompetensi dengan baik dalam hal</v>
      </c>
      <c r="S95" s="23">
        <v>86</v>
      </c>
      <c r="T95" s="23" t="str">
        <f t="shared" si="4"/>
        <v>Mencapai kompetensi dengan baik dalam hal</v>
      </c>
      <c r="U95" s="23">
        <v>82</v>
      </c>
      <c r="V95" s="23" t="str">
        <f t="shared" si="5"/>
        <v>Mencapai kompetensi dengan baik dalam hal</v>
      </c>
      <c r="W95" s="23">
        <v>81</v>
      </c>
      <c r="X95" s="23" t="str">
        <f t="shared" si="6"/>
        <v>Mencapai kompetensi dengan baik dalam hal</v>
      </c>
      <c r="Y95" s="23">
        <v>77</v>
      </c>
      <c r="Z95" s="23" t="str">
        <f t="shared" si="7"/>
        <v>Mencapai kompetensi dengan baik dalam hal</v>
      </c>
      <c r="AA95" s="23">
        <v>78</v>
      </c>
      <c r="AB95" s="23" t="str">
        <f t="shared" si="8"/>
        <v>Mencapai kompetensi dengan baik dalam hal</v>
      </c>
      <c r="AC95" s="23">
        <v>84</v>
      </c>
      <c r="AD95" s="23" t="str">
        <f t="shared" si="9"/>
        <v>Mencapai kompetensi dengan baik dalam hal</v>
      </c>
      <c r="AE95" s="23">
        <v>78</v>
      </c>
      <c r="AF95" s="23" t="str">
        <f t="shared" si="10"/>
        <v>Mencapai kompetensi dengan baik dalam hal</v>
      </c>
      <c r="AG95" s="23">
        <v>79</v>
      </c>
      <c r="AH95" s="23" t="str">
        <f t="shared" si="11"/>
        <v>Mencapai kompetensi dengan baik dalam hal</v>
      </c>
      <c r="AI95" s="62">
        <f t="shared" si="26"/>
        <v>78.5</v>
      </c>
      <c r="AJ95" s="23">
        <v>78</v>
      </c>
      <c r="AK95" s="23" t="str">
        <f t="shared" si="12"/>
        <v>Mencapai kompetensi dengan baik dalam hal</v>
      </c>
      <c r="AL95" s="23">
        <v>81</v>
      </c>
      <c r="AM95" s="18" t="str">
        <f t="shared" si="13"/>
        <v>Mencapai kompetensi dengan baik dalam hal</v>
      </c>
      <c r="AN95" s="23" t="s">
        <v>81</v>
      </c>
      <c r="AO95" s="23" t="s">
        <v>81</v>
      </c>
      <c r="AP95" s="23" t="s">
        <v>81</v>
      </c>
      <c r="AQ95" s="23">
        <v>1</v>
      </c>
      <c r="AR95" s="23" t="s">
        <v>82</v>
      </c>
      <c r="AS95" s="18" t="s">
        <v>83</v>
      </c>
      <c r="AT95" s="23" t="s">
        <v>86</v>
      </c>
      <c r="AU95" s="18" t="str">
        <f t="shared" si="23"/>
        <v>Sangat baik</v>
      </c>
      <c r="AV95" s="23">
        <v>2</v>
      </c>
      <c r="AW95" s="18" t="s">
        <v>170</v>
      </c>
      <c r="AX95" s="18" t="s">
        <v>83</v>
      </c>
      <c r="AY95" s="23" t="s">
        <v>84</v>
      </c>
      <c r="AZ95" s="18" t="str">
        <f t="shared" si="24"/>
        <v>Baik</v>
      </c>
      <c r="BA95" s="23"/>
      <c r="BB95" s="23"/>
      <c r="BC95" s="23"/>
      <c r="BD95" s="23"/>
      <c r="BE95" s="18"/>
      <c r="BG95" s="20"/>
      <c r="BH95" s="20"/>
      <c r="BN95" s="22">
        <f t="shared" si="25"/>
        <v>0</v>
      </c>
      <c r="BP95" s="115">
        <f t="shared" si="27"/>
        <v>80.192307692307693</v>
      </c>
      <c r="BQ95" s="22">
        <f t="shared" si="28"/>
        <v>14</v>
      </c>
    </row>
    <row r="96" spans="1:69" ht="24.95" customHeight="1" thickTop="1" thickBot="1" x14ac:dyDescent="0.3">
      <c r="A96" s="23">
        <v>95</v>
      </c>
      <c r="B96" s="23">
        <v>2525676</v>
      </c>
      <c r="C96" s="23" t="s">
        <v>1040</v>
      </c>
      <c r="D96" s="18" t="s">
        <v>1041</v>
      </c>
      <c r="E96" s="23" t="s">
        <v>995</v>
      </c>
      <c r="F96" s="23" t="s">
        <v>845</v>
      </c>
      <c r="G96" s="24" t="s">
        <v>996</v>
      </c>
      <c r="H96" s="24" t="s">
        <v>997</v>
      </c>
      <c r="I96" s="60" t="s">
        <v>76</v>
      </c>
      <c r="J96" s="61" t="s">
        <v>77</v>
      </c>
      <c r="K96" s="23">
        <v>79</v>
      </c>
      <c r="L96" s="23" t="str">
        <f t="shared" si="0"/>
        <v>Mencapai kompetensi dengan baik dalam hal</v>
      </c>
      <c r="M96" s="23">
        <v>80</v>
      </c>
      <c r="N96" s="23" t="str">
        <f t="shared" si="1"/>
        <v>Mencapai kompetensi dengan baik dalam hal</v>
      </c>
      <c r="O96" s="23">
        <v>76</v>
      </c>
      <c r="P96" s="23" t="str">
        <f t="shared" si="2"/>
        <v>Mencapai kompetensi dengan baik dalam hal</v>
      </c>
      <c r="Q96" s="23">
        <v>80</v>
      </c>
      <c r="R96" s="23" t="str">
        <f t="shared" si="3"/>
        <v>Mencapai kompetensi dengan baik dalam hal</v>
      </c>
      <c r="S96" s="23">
        <v>86</v>
      </c>
      <c r="T96" s="23" t="str">
        <f t="shared" si="4"/>
        <v>Mencapai kompetensi dengan baik dalam hal</v>
      </c>
      <c r="U96" s="23">
        <v>75</v>
      </c>
      <c r="V96" s="23" t="str">
        <f t="shared" si="5"/>
        <v>Mencapai kompetensi dengan baik dalam hal</v>
      </c>
      <c r="W96" s="23">
        <v>75</v>
      </c>
      <c r="X96" s="23" t="str">
        <f t="shared" si="6"/>
        <v>Mencapai kompetensi dengan baik dalam hal</v>
      </c>
      <c r="Y96" s="23">
        <v>77</v>
      </c>
      <c r="Z96" s="23" t="str">
        <f t="shared" si="7"/>
        <v>Mencapai kompetensi dengan baik dalam hal</v>
      </c>
      <c r="AA96" s="23">
        <v>85</v>
      </c>
      <c r="AB96" s="23" t="str">
        <f t="shared" si="8"/>
        <v>Mencapai kompetensi dengan baik dalam hal</v>
      </c>
      <c r="AC96" s="23">
        <v>78</v>
      </c>
      <c r="AD96" s="23" t="str">
        <f t="shared" si="9"/>
        <v>Mencapai kompetensi dengan baik dalam hal</v>
      </c>
      <c r="AE96" s="23">
        <v>76</v>
      </c>
      <c r="AF96" s="23" t="str">
        <f t="shared" si="10"/>
        <v>Mencapai kompetensi dengan baik dalam hal</v>
      </c>
      <c r="AG96" s="23">
        <v>77</v>
      </c>
      <c r="AH96" s="23" t="str">
        <f t="shared" si="11"/>
        <v>Mencapai kompetensi dengan baik dalam hal</v>
      </c>
      <c r="AI96" s="62">
        <f t="shared" si="26"/>
        <v>76.5</v>
      </c>
      <c r="AJ96" s="23">
        <v>85</v>
      </c>
      <c r="AK96" s="23" t="str">
        <f t="shared" si="12"/>
        <v>Mencapai kompetensi dengan baik dalam hal</v>
      </c>
      <c r="AL96" s="23">
        <v>75</v>
      </c>
      <c r="AM96" s="18" t="str">
        <f t="shared" si="13"/>
        <v>Mencapai kompetensi dengan baik dalam hal</v>
      </c>
      <c r="AN96" s="23" t="s">
        <v>81</v>
      </c>
      <c r="AO96" s="23" t="s">
        <v>81</v>
      </c>
      <c r="AP96" s="23" t="s">
        <v>81</v>
      </c>
      <c r="AQ96" s="23">
        <v>1</v>
      </c>
      <c r="AR96" s="23" t="s">
        <v>82</v>
      </c>
      <c r="AS96" s="18" t="s">
        <v>83</v>
      </c>
      <c r="AT96" s="23" t="s">
        <v>84</v>
      </c>
      <c r="AU96" s="18" t="str">
        <f t="shared" si="23"/>
        <v>Baik</v>
      </c>
      <c r="AV96" s="23">
        <v>2</v>
      </c>
      <c r="AW96" s="18" t="s">
        <v>125</v>
      </c>
      <c r="AX96" s="18" t="s">
        <v>83</v>
      </c>
      <c r="AY96" s="23" t="s">
        <v>104</v>
      </c>
      <c r="AZ96" s="18" t="str">
        <f t="shared" si="24"/>
        <v>Cukup</v>
      </c>
      <c r="BA96" s="23"/>
      <c r="BB96" s="23"/>
      <c r="BC96" s="23"/>
      <c r="BD96" s="23"/>
      <c r="BE96" s="18"/>
      <c r="BG96" s="20"/>
      <c r="BH96" s="20"/>
      <c r="BN96" s="22">
        <f t="shared" si="25"/>
        <v>0</v>
      </c>
      <c r="BP96" s="115">
        <f t="shared" si="27"/>
        <v>79.038461538461533</v>
      </c>
      <c r="BQ96" s="22">
        <f t="shared" si="28"/>
        <v>24</v>
      </c>
    </row>
    <row r="97" spans="1:69" ht="24.95" customHeight="1" thickTop="1" thickBot="1" x14ac:dyDescent="0.3">
      <c r="A97" s="23">
        <v>96</v>
      </c>
      <c r="B97" s="23">
        <v>2525677</v>
      </c>
      <c r="C97" s="23" t="s">
        <v>1042</v>
      </c>
      <c r="D97" s="18" t="s">
        <v>1043</v>
      </c>
      <c r="E97" s="23" t="s">
        <v>995</v>
      </c>
      <c r="F97" s="23" t="s">
        <v>845</v>
      </c>
      <c r="G97" s="24" t="s">
        <v>996</v>
      </c>
      <c r="H97" s="24" t="s">
        <v>997</v>
      </c>
      <c r="I97" s="60" t="s">
        <v>76</v>
      </c>
      <c r="J97" s="61" t="s">
        <v>77</v>
      </c>
      <c r="K97" s="23">
        <v>80</v>
      </c>
      <c r="L97" s="23" t="str">
        <f t="shared" si="0"/>
        <v>Mencapai kompetensi dengan baik dalam hal</v>
      </c>
      <c r="M97" s="23">
        <v>79</v>
      </c>
      <c r="N97" s="23" t="str">
        <f t="shared" si="1"/>
        <v>Mencapai kompetensi dengan baik dalam hal</v>
      </c>
      <c r="O97" s="23">
        <v>76</v>
      </c>
      <c r="P97" s="23" t="str">
        <f t="shared" si="2"/>
        <v>Mencapai kompetensi dengan baik dalam hal</v>
      </c>
      <c r="Q97" s="23">
        <v>79</v>
      </c>
      <c r="R97" s="23" t="str">
        <f t="shared" si="3"/>
        <v>Mencapai kompetensi dengan baik dalam hal</v>
      </c>
      <c r="S97" s="23">
        <v>84</v>
      </c>
      <c r="T97" s="23" t="str">
        <f t="shared" si="4"/>
        <v>Mencapai kompetensi dengan baik dalam hal</v>
      </c>
      <c r="U97" s="23">
        <v>75</v>
      </c>
      <c r="V97" s="23" t="str">
        <f t="shared" si="5"/>
        <v>Mencapai kompetensi dengan baik dalam hal</v>
      </c>
      <c r="W97" s="23">
        <v>75</v>
      </c>
      <c r="X97" s="23" t="str">
        <f t="shared" si="6"/>
        <v>Mencapai kompetensi dengan baik dalam hal</v>
      </c>
      <c r="Y97" s="23">
        <v>78</v>
      </c>
      <c r="Z97" s="23" t="str">
        <f t="shared" si="7"/>
        <v>Mencapai kompetensi dengan baik dalam hal</v>
      </c>
      <c r="AA97" s="23">
        <v>88</v>
      </c>
      <c r="AB97" s="23" t="str">
        <f t="shared" si="8"/>
        <v>Mencapai kompetensi dengan baik dalam hal</v>
      </c>
      <c r="AC97" s="23">
        <v>81</v>
      </c>
      <c r="AD97" s="23" t="str">
        <f t="shared" si="9"/>
        <v>Mencapai kompetensi dengan baik dalam hal</v>
      </c>
      <c r="AE97" s="23">
        <v>77</v>
      </c>
      <c r="AF97" s="23" t="str">
        <f t="shared" si="10"/>
        <v>Mencapai kompetensi dengan baik dalam hal</v>
      </c>
      <c r="AG97" s="23">
        <v>78</v>
      </c>
      <c r="AH97" s="23" t="str">
        <f t="shared" si="11"/>
        <v>Mencapai kompetensi dengan baik dalam hal</v>
      </c>
      <c r="AI97" s="62">
        <f t="shared" si="26"/>
        <v>77.5</v>
      </c>
      <c r="AJ97" s="23">
        <v>88</v>
      </c>
      <c r="AK97" s="23" t="str">
        <f t="shared" si="12"/>
        <v>Mencapai kompetensi dengan baik dalam hal</v>
      </c>
      <c r="AL97" s="23">
        <v>77</v>
      </c>
      <c r="AM97" s="18" t="str">
        <f t="shared" si="13"/>
        <v>Mencapai kompetensi dengan baik dalam hal</v>
      </c>
      <c r="AN97" s="23" t="s">
        <v>81</v>
      </c>
      <c r="AO97" s="23" t="s">
        <v>81</v>
      </c>
      <c r="AP97" s="23" t="s">
        <v>81</v>
      </c>
      <c r="AQ97" s="23">
        <v>1</v>
      </c>
      <c r="AR97" s="23" t="s">
        <v>82</v>
      </c>
      <c r="AS97" s="18" t="s">
        <v>83</v>
      </c>
      <c r="AT97" s="23" t="s">
        <v>86</v>
      </c>
      <c r="AU97" s="18" t="str">
        <f t="shared" si="23"/>
        <v>Sangat baik</v>
      </c>
      <c r="AV97" s="23">
        <v>2</v>
      </c>
      <c r="AW97" s="18" t="s">
        <v>99</v>
      </c>
      <c r="AX97" s="18" t="s">
        <v>83</v>
      </c>
      <c r="AY97" s="23" t="s">
        <v>86</v>
      </c>
      <c r="AZ97" s="18" t="str">
        <f t="shared" si="24"/>
        <v>Sangat baik</v>
      </c>
      <c r="BA97" s="23"/>
      <c r="BB97" s="23"/>
      <c r="BC97" s="23"/>
      <c r="BD97" s="23"/>
      <c r="BE97" s="18"/>
      <c r="BG97" s="20"/>
      <c r="BH97" s="20"/>
      <c r="BN97" s="22">
        <f t="shared" si="25"/>
        <v>0</v>
      </c>
      <c r="BP97" s="115">
        <f t="shared" si="27"/>
        <v>79.807692307692307</v>
      </c>
      <c r="BQ97" s="22">
        <f t="shared" si="28"/>
        <v>16</v>
      </c>
    </row>
    <row r="98" spans="1:69" ht="24.95" customHeight="1" thickTop="1" thickBot="1" x14ac:dyDescent="0.3">
      <c r="A98" s="23">
        <v>97</v>
      </c>
      <c r="B98" s="23">
        <v>2525678</v>
      </c>
      <c r="C98" s="23" t="s">
        <v>1044</v>
      </c>
      <c r="D98" s="18" t="s">
        <v>1045</v>
      </c>
      <c r="E98" s="23" t="s">
        <v>995</v>
      </c>
      <c r="F98" s="23" t="s">
        <v>845</v>
      </c>
      <c r="G98" s="24" t="s">
        <v>996</v>
      </c>
      <c r="H98" s="24" t="s">
        <v>997</v>
      </c>
      <c r="I98" s="60" t="s">
        <v>76</v>
      </c>
      <c r="J98" s="61" t="s">
        <v>77</v>
      </c>
      <c r="K98" s="23">
        <v>78</v>
      </c>
      <c r="L98" s="23" t="str">
        <f t="shared" si="0"/>
        <v>Mencapai kompetensi dengan baik dalam hal</v>
      </c>
      <c r="M98" s="23">
        <v>78</v>
      </c>
      <c r="N98" s="23" t="str">
        <f t="shared" si="1"/>
        <v>Mencapai kompetensi dengan baik dalam hal</v>
      </c>
      <c r="O98" s="23">
        <v>77</v>
      </c>
      <c r="P98" s="23" t="str">
        <f t="shared" si="2"/>
        <v>Mencapai kompetensi dengan baik dalam hal</v>
      </c>
      <c r="Q98" s="23">
        <v>80</v>
      </c>
      <c r="R98" s="23" t="str">
        <f t="shared" si="3"/>
        <v>Mencapai kompetensi dengan baik dalam hal</v>
      </c>
      <c r="S98" s="23">
        <v>86</v>
      </c>
      <c r="T98" s="23" t="str">
        <f t="shared" si="4"/>
        <v>Mencapai kompetensi dengan baik dalam hal</v>
      </c>
      <c r="U98" s="23">
        <v>75</v>
      </c>
      <c r="V98" s="23" t="str">
        <f t="shared" si="5"/>
        <v>Mencapai kompetensi dengan baik dalam hal</v>
      </c>
      <c r="W98" s="23">
        <v>75</v>
      </c>
      <c r="X98" s="23" t="str">
        <f t="shared" si="6"/>
        <v>Mencapai kompetensi dengan baik dalam hal</v>
      </c>
      <c r="Y98" s="23">
        <v>76</v>
      </c>
      <c r="Z98" s="23" t="str">
        <f t="shared" si="7"/>
        <v>Mencapai kompetensi dengan baik dalam hal</v>
      </c>
      <c r="AA98" s="23">
        <v>84</v>
      </c>
      <c r="AB98" s="23" t="str">
        <f t="shared" si="8"/>
        <v>Mencapai kompetensi dengan baik dalam hal</v>
      </c>
      <c r="AC98" s="23">
        <v>77</v>
      </c>
      <c r="AD98" s="23" t="str">
        <f t="shared" si="9"/>
        <v>Mencapai kompetensi dengan baik dalam hal</v>
      </c>
      <c r="AE98" s="23">
        <v>76</v>
      </c>
      <c r="AF98" s="23" t="str">
        <f t="shared" si="10"/>
        <v>Mencapai kompetensi dengan baik dalam hal</v>
      </c>
      <c r="AG98" s="23">
        <v>77</v>
      </c>
      <c r="AH98" s="23" t="str">
        <f t="shared" si="11"/>
        <v>Mencapai kompetensi dengan baik dalam hal</v>
      </c>
      <c r="AI98" s="62">
        <f t="shared" si="26"/>
        <v>76.5</v>
      </c>
      <c r="AJ98" s="23">
        <v>84</v>
      </c>
      <c r="AK98" s="23" t="str">
        <f t="shared" si="12"/>
        <v>Mencapai kompetensi dengan baik dalam hal</v>
      </c>
      <c r="AL98" s="23">
        <v>75</v>
      </c>
      <c r="AM98" s="18" t="str">
        <f t="shared" si="13"/>
        <v>Mencapai kompetensi dengan baik dalam hal</v>
      </c>
      <c r="AN98" s="23">
        <v>1</v>
      </c>
      <c r="AO98" s="23" t="s">
        <v>81</v>
      </c>
      <c r="AP98" s="23" t="s">
        <v>81</v>
      </c>
      <c r="AQ98" s="23">
        <v>1</v>
      </c>
      <c r="AR98" s="23" t="s">
        <v>82</v>
      </c>
      <c r="AS98" s="18" t="s">
        <v>83</v>
      </c>
      <c r="AT98" s="23" t="s">
        <v>84</v>
      </c>
      <c r="AU98" s="18" t="str">
        <f t="shared" ref="AU98:AU129" si="29">VLOOKUP(AT98,grades4,2,TRUE)</f>
        <v>Baik</v>
      </c>
      <c r="AV98" s="23">
        <v>2</v>
      </c>
      <c r="AW98" s="18" t="s">
        <v>125</v>
      </c>
      <c r="AX98" s="18" t="s">
        <v>83</v>
      </c>
      <c r="AY98" s="23" t="s">
        <v>104</v>
      </c>
      <c r="AZ98" s="18" t="str">
        <f t="shared" ref="AZ98:AZ129" si="30">VLOOKUP(AY98,grades4,2,TRUE)</f>
        <v>Cukup</v>
      </c>
      <c r="BA98" s="23"/>
      <c r="BB98" s="23"/>
      <c r="BC98" s="23"/>
      <c r="BD98" s="23"/>
      <c r="BE98" s="18"/>
      <c r="BG98" s="20"/>
      <c r="BH98" s="20"/>
      <c r="BN98" s="22">
        <f t="shared" si="25"/>
        <v>0</v>
      </c>
      <c r="BP98" s="115">
        <f t="shared" si="27"/>
        <v>78.57692307692308</v>
      </c>
      <c r="BQ98" s="22">
        <f t="shared" si="28"/>
        <v>26</v>
      </c>
    </row>
    <row r="99" spans="1:69" ht="24.95" customHeight="1" thickTop="1" thickBot="1" x14ac:dyDescent="0.3">
      <c r="A99" s="23">
        <v>98</v>
      </c>
      <c r="B99" s="23">
        <v>2525679</v>
      </c>
      <c r="C99" s="23" t="s">
        <v>1046</v>
      </c>
      <c r="D99" s="18" t="s">
        <v>1047</v>
      </c>
      <c r="E99" s="23" t="s">
        <v>995</v>
      </c>
      <c r="F99" s="23" t="s">
        <v>845</v>
      </c>
      <c r="G99" s="24" t="s">
        <v>996</v>
      </c>
      <c r="H99" s="24" t="s">
        <v>997</v>
      </c>
      <c r="I99" s="60" t="s">
        <v>76</v>
      </c>
      <c r="J99" s="61" t="s">
        <v>77</v>
      </c>
      <c r="K99" s="23">
        <v>79</v>
      </c>
      <c r="L99" s="23" t="str">
        <f t="shared" si="0"/>
        <v>Mencapai kompetensi dengan baik dalam hal</v>
      </c>
      <c r="M99" s="23">
        <v>76</v>
      </c>
      <c r="N99" s="23" t="str">
        <f t="shared" si="1"/>
        <v>Mencapai kompetensi dengan baik dalam hal</v>
      </c>
      <c r="O99" s="23">
        <v>77</v>
      </c>
      <c r="P99" s="23" t="str">
        <f t="shared" si="2"/>
        <v>Mencapai kompetensi dengan baik dalam hal</v>
      </c>
      <c r="Q99" s="23">
        <v>80</v>
      </c>
      <c r="R99" s="23" t="str">
        <f t="shared" si="3"/>
        <v>Mencapai kompetensi dengan baik dalam hal</v>
      </c>
      <c r="S99" s="23">
        <v>86</v>
      </c>
      <c r="T99" s="23" t="str">
        <f t="shared" si="4"/>
        <v>Mencapai kompetensi dengan baik dalam hal</v>
      </c>
      <c r="U99" s="23">
        <v>80</v>
      </c>
      <c r="V99" s="23" t="str">
        <f t="shared" si="5"/>
        <v>Mencapai kompetensi dengan baik dalam hal</v>
      </c>
      <c r="W99" s="23">
        <v>76</v>
      </c>
      <c r="X99" s="23" t="str">
        <f t="shared" si="6"/>
        <v>Mencapai kompetensi dengan baik dalam hal</v>
      </c>
      <c r="Y99" s="23">
        <v>76</v>
      </c>
      <c r="Z99" s="23" t="str">
        <f t="shared" si="7"/>
        <v>Mencapai kompetensi dengan baik dalam hal</v>
      </c>
      <c r="AA99" s="23">
        <v>83</v>
      </c>
      <c r="AB99" s="23" t="str">
        <f t="shared" si="8"/>
        <v>Mencapai kompetensi dengan baik dalam hal</v>
      </c>
      <c r="AC99" s="23">
        <v>80</v>
      </c>
      <c r="AD99" s="23" t="str">
        <f t="shared" si="9"/>
        <v>Mencapai kompetensi dengan baik dalam hal</v>
      </c>
      <c r="AE99" s="23">
        <v>78</v>
      </c>
      <c r="AF99" s="23" t="str">
        <f t="shared" si="10"/>
        <v>Mencapai kompetensi dengan baik dalam hal</v>
      </c>
      <c r="AG99" s="23">
        <v>79</v>
      </c>
      <c r="AH99" s="23" t="str">
        <f t="shared" si="11"/>
        <v>Mencapai kompetensi dengan baik dalam hal</v>
      </c>
      <c r="AI99" s="62">
        <f t="shared" si="26"/>
        <v>78.5</v>
      </c>
      <c r="AJ99" s="23">
        <v>83</v>
      </c>
      <c r="AK99" s="23" t="str">
        <f t="shared" si="12"/>
        <v>Mencapai kompetensi dengan baik dalam hal</v>
      </c>
      <c r="AL99" s="23">
        <v>80</v>
      </c>
      <c r="AM99" s="18" t="str">
        <f t="shared" si="13"/>
        <v>Mencapai kompetensi dengan baik dalam hal</v>
      </c>
      <c r="AN99" s="23" t="s">
        <v>81</v>
      </c>
      <c r="AO99" s="23" t="s">
        <v>81</v>
      </c>
      <c r="AP99" s="23" t="s">
        <v>81</v>
      </c>
      <c r="AQ99" s="23">
        <v>1</v>
      </c>
      <c r="AR99" s="23" t="s">
        <v>82</v>
      </c>
      <c r="AS99" s="18" t="s">
        <v>83</v>
      </c>
      <c r="AT99" s="23" t="s">
        <v>84</v>
      </c>
      <c r="AU99" s="18" t="str">
        <f t="shared" si="29"/>
        <v>Baik</v>
      </c>
      <c r="AV99" s="23">
        <v>2</v>
      </c>
      <c r="AW99" s="18" t="s">
        <v>325</v>
      </c>
      <c r="AX99" s="18" t="s">
        <v>83</v>
      </c>
      <c r="AY99" s="23" t="s">
        <v>84</v>
      </c>
      <c r="AZ99" s="18" t="str">
        <f t="shared" si="30"/>
        <v>Baik</v>
      </c>
      <c r="BA99" s="23"/>
      <c r="BB99" s="23"/>
      <c r="BC99" s="23"/>
      <c r="BD99" s="23"/>
      <c r="BE99" s="18"/>
      <c r="BG99" s="20"/>
      <c r="BH99" s="20"/>
      <c r="BN99" s="22">
        <f t="shared" si="25"/>
        <v>0</v>
      </c>
      <c r="BP99" s="115">
        <f t="shared" si="27"/>
        <v>79.57692307692308</v>
      </c>
      <c r="BQ99" s="22">
        <f t="shared" si="28"/>
        <v>17</v>
      </c>
    </row>
    <row r="100" spans="1:69" ht="24.95" customHeight="1" thickTop="1" thickBot="1" x14ac:dyDescent="0.3">
      <c r="A100" s="23">
        <v>99</v>
      </c>
      <c r="B100" s="23">
        <v>2525680</v>
      </c>
      <c r="C100" s="23" t="s">
        <v>1048</v>
      </c>
      <c r="D100" s="18" t="s">
        <v>1049</v>
      </c>
      <c r="E100" s="23" t="s">
        <v>995</v>
      </c>
      <c r="F100" s="23" t="s">
        <v>845</v>
      </c>
      <c r="G100" s="24" t="s">
        <v>996</v>
      </c>
      <c r="H100" s="24" t="s">
        <v>997</v>
      </c>
      <c r="I100" s="60" t="s">
        <v>76</v>
      </c>
      <c r="J100" s="61" t="s">
        <v>77</v>
      </c>
      <c r="K100" s="23">
        <v>81</v>
      </c>
      <c r="L100" s="23" t="str">
        <f t="shared" si="0"/>
        <v>Mencapai kompetensi dengan baik dalam hal</v>
      </c>
      <c r="M100" s="23">
        <v>78</v>
      </c>
      <c r="N100" s="23" t="str">
        <f t="shared" si="1"/>
        <v>Mencapai kompetensi dengan baik dalam hal</v>
      </c>
      <c r="O100" s="23">
        <v>77</v>
      </c>
      <c r="P100" s="23" t="str">
        <f t="shared" si="2"/>
        <v>Mencapai kompetensi dengan baik dalam hal</v>
      </c>
      <c r="Q100" s="23">
        <v>80</v>
      </c>
      <c r="R100" s="23" t="str">
        <f t="shared" si="3"/>
        <v>Mencapai kompetensi dengan baik dalam hal</v>
      </c>
      <c r="S100" s="23">
        <v>84</v>
      </c>
      <c r="T100" s="23" t="str">
        <f t="shared" si="4"/>
        <v>Mencapai kompetensi dengan baik dalam hal</v>
      </c>
      <c r="U100" s="23">
        <v>80</v>
      </c>
      <c r="V100" s="23" t="str">
        <f t="shared" si="5"/>
        <v>Mencapai kompetensi dengan baik dalam hal</v>
      </c>
      <c r="W100" s="23">
        <v>75</v>
      </c>
      <c r="X100" s="23" t="str">
        <f t="shared" si="6"/>
        <v>Mencapai kompetensi dengan baik dalam hal</v>
      </c>
      <c r="Y100" s="23">
        <v>76</v>
      </c>
      <c r="Z100" s="23" t="str">
        <f t="shared" si="7"/>
        <v>Mencapai kompetensi dengan baik dalam hal</v>
      </c>
      <c r="AA100" s="23">
        <v>80</v>
      </c>
      <c r="AB100" s="23" t="str">
        <f t="shared" si="8"/>
        <v>Mencapai kompetensi dengan baik dalam hal</v>
      </c>
      <c r="AC100" s="23">
        <v>86</v>
      </c>
      <c r="AD100" s="23" t="str">
        <f t="shared" si="9"/>
        <v>Mencapai kompetensi dengan baik dalam hal</v>
      </c>
      <c r="AE100" s="23">
        <v>77</v>
      </c>
      <c r="AF100" s="23" t="str">
        <f t="shared" si="10"/>
        <v>Mencapai kompetensi dengan baik dalam hal</v>
      </c>
      <c r="AG100" s="23">
        <v>78</v>
      </c>
      <c r="AH100" s="23" t="str">
        <f t="shared" si="11"/>
        <v>Mencapai kompetensi dengan baik dalam hal</v>
      </c>
      <c r="AI100" s="62">
        <f t="shared" si="26"/>
        <v>77.5</v>
      </c>
      <c r="AJ100" s="23">
        <v>80</v>
      </c>
      <c r="AK100" s="23" t="str">
        <f t="shared" si="12"/>
        <v>Mencapai kompetensi dengan baik dalam hal</v>
      </c>
      <c r="AL100" s="23">
        <v>80</v>
      </c>
      <c r="AM100" s="18" t="str">
        <f t="shared" si="13"/>
        <v>Mencapai kompetensi dengan baik dalam hal</v>
      </c>
      <c r="AN100" s="23" t="s">
        <v>81</v>
      </c>
      <c r="AO100" s="23" t="s">
        <v>81</v>
      </c>
      <c r="AP100" s="23" t="s">
        <v>81</v>
      </c>
      <c r="AQ100" s="23">
        <v>1</v>
      </c>
      <c r="AR100" s="23" t="s">
        <v>82</v>
      </c>
      <c r="AS100" s="18" t="s">
        <v>83</v>
      </c>
      <c r="AT100" s="23" t="s">
        <v>86</v>
      </c>
      <c r="AU100" s="18" t="str">
        <f t="shared" si="29"/>
        <v>Sangat baik</v>
      </c>
      <c r="AV100" s="23">
        <v>2</v>
      </c>
      <c r="AW100" s="18" t="s">
        <v>212</v>
      </c>
      <c r="AX100" s="18" t="s">
        <v>83</v>
      </c>
      <c r="AY100" s="23" t="s">
        <v>86</v>
      </c>
      <c r="AZ100" s="18" t="str">
        <f t="shared" si="30"/>
        <v>Sangat baik</v>
      </c>
      <c r="BA100" s="23"/>
      <c r="BB100" s="23"/>
      <c r="BC100" s="23"/>
      <c r="BD100" s="23"/>
      <c r="BE100" s="18"/>
      <c r="BG100" s="20"/>
      <c r="BH100" s="20"/>
      <c r="BN100" s="22">
        <f t="shared" si="25"/>
        <v>0</v>
      </c>
      <c r="BP100" s="115">
        <f t="shared" si="27"/>
        <v>79.57692307692308</v>
      </c>
      <c r="BQ100" s="22">
        <f t="shared" si="28"/>
        <v>17</v>
      </c>
    </row>
    <row r="101" spans="1:69" ht="24.95" customHeight="1" thickTop="1" thickBot="1" x14ac:dyDescent="0.3">
      <c r="A101" s="23">
        <v>100</v>
      </c>
      <c r="B101" s="23">
        <v>2525681</v>
      </c>
      <c r="C101" s="23" t="s">
        <v>1050</v>
      </c>
      <c r="D101" s="18" t="s">
        <v>1051</v>
      </c>
      <c r="E101" s="23" t="s">
        <v>995</v>
      </c>
      <c r="F101" s="23" t="s">
        <v>845</v>
      </c>
      <c r="G101" s="24" t="s">
        <v>996</v>
      </c>
      <c r="H101" s="24" t="s">
        <v>997</v>
      </c>
      <c r="I101" s="60" t="s">
        <v>76</v>
      </c>
      <c r="J101" s="61" t="s">
        <v>77</v>
      </c>
      <c r="K101" s="23">
        <v>81</v>
      </c>
      <c r="L101" s="23" t="str">
        <f t="shared" si="0"/>
        <v>Mencapai kompetensi dengan baik dalam hal</v>
      </c>
      <c r="M101" s="23">
        <v>80</v>
      </c>
      <c r="N101" s="23" t="str">
        <f t="shared" si="1"/>
        <v>Mencapai kompetensi dengan baik dalam hal</v>
      </c>
      <c r="O101" s="23">
        <v>77</v>
      </c>
      <c r="P101" s="23" t="str">
        <f t="shared" si="2"/>
        <v>Mencapai kompetensi dengan baik dalam hal</v>
      </c>
      <c r="Q101" s="23">
        <v>80</v>
      </c>
      <c r="R101" s="23" t="str">
        <f t="shared" si="3"/>
        <v>Mencapai kompetensi dengan baik dalam hal</v>
      </c>
      <c r="S101" s="23">
        <v>84</v>
      </c>
      <c r="T101" s="23" t="str">
        <f t="shared" si="4"/>
        <v>Mencapai kompetensi dengan baik dalam hal</v>
      </c>
      <c r="U101" s="23">
        <v>84</v>
      </c>
      <c r="V101" s="23" t="str">
        <f t="shared" si="5"/>
        <v>Mencapai kompetensi dengan baik dalam hal</v>
      </c>
      <c r="W101" s="23">
        <v>75</v>
      </c>
      <c r="X101" s="23" t="str">
        <f t="shared" si="6"/>
        <v>Mencapai kompetensi dengan baik dalam hal</v>
      </c>
      <c r="Y101" s="23">
        <v>78</v>
      </c>
      <c r="Z101" s="23" t="str">
        <f t="shared" si="7"/>
        <v>Mencapai kompetensi dengan baik dalam hal</v>
      </c>
      <c r="AA101" s="23">
        <v>85</v>
      </c>
      <c r="AB101" s="23" t="str">
        <f t="shared" si="8"/>
        <v>Mencapai kompetensi dengan baik dalam hal</v>
      </c>
      <c r="AC101" s="23">
        <v>80</v>
      </c>
      <c r="AD101" s="23" t="str">
        <f t="shared" si="9"/>
        <v>Mencapai kompetensi dengan baik dalam hal</v>
      </c>
      <c r="AE101" s="23">
        <v>77</v>
      </c>
      <c r="AF101" s="23" t="str">
        <f t="shared" si="10"/>
        <v>Mencapai kompetensi dengan baik dalam hal</v>
      </c>
      <c r="AG101" s="23">
        <v>78</v>
      </c>
      <c r="AH101" s="23" t="str">
        <f t="shared" si="11"/>
        <v>Mencapai kompetensi dengan baik dalam hal</v>
      </c>
      <c r="AI101" s="62">
        <f t="shared" si="26"/>
        <v>77.5</v>
      </c>
      <c r="AJ101" s="23">
        <v>85</v>
      </c>
      <c r="AK101" s="23" t="str">
        <f t="shared" si="12"/>
        <v>Mencapai kompetensi dengan baik dalam hal</v>
      </c>
      <c r="AL101" s="23">
        <v>77</v>
      </c>
      <c r="AM101" s="18" t="str">
        <f t="shared" si="13"/>
        <v>Mencapai kompetensi dengan baik dalam hal</v>
      </c>
      <c r="AN101" s="23" t="s">
        <v>81</v>
      </c>
      <c r="AO101" s="23" t="s">
        <v>81</v>
      </c>
      <c r="AP101" s="23" t="s">
        <v>81</v>
      </c>
      <c r="AQ101" s="23">
        <v>1</v>
      </c>
      <c r="AR101" s="23" t="s">
        <v>82</v>
      </c>
      <c r="AS101" s="18" t="s">
        <v>83</v>
      </c>
      <c r="AT101" s="23" t="s">
        <v>86</v>
      </c>
      <c r="AU101" s="18" t="str">
        <f t="shared" si="29"/>
        <v>Sangat baik</v>
      </c>
      <c r="AV101" s="23">
        <v>2</v>
      </c>
      <c r="AW101" s="18" t="s">
        <v>85</v>
      </c>
      <c r="AX101" s="18" t="s">
        <v>83</v>
      </c>
      <c r="AY101" s="23" t="s">
        <v>86</v>
      </c>
      <c r="AZ101" s="18" t="str">
        <f t="shared" si="30"/>
        <v>Sangat baik</v>
      </c>
      <c r="BA101" s="23"/>
      <c r="BB101" s="23"/>
      <c r="BC101" s="23"/>
      <c r="BD101" s="23"/>
      <c r="BE101" s="18"/>
      <c r="BG101" s="20"/>
      <c r="BH101" s="20"/>
      <c r="BN101" s="22">
        <f t="shared" si="25"/>
        <v>0</v>
      </c>
      <c r="BP101" s="115">
        <f t="shared" si="27"/>
        <v>80.269230769230774</v>
      </c>
      <c r="BQ101" s="22">
        <f t="shared" si="28"/>
        <v>13</v>
      </c>
    </row>
    <row r="102" spans="1:69" ht="24.95" customHeight="1" thickTop="1" thickBot="1" x14ac:dyDescent="0.3">
      <c r="A102" s="23">
        <v>101</v>
      </c>
      <c r="B102" s="23">
        <v>2525682</v>
      </c>
      <c r="C102" s="23" t="s">
        <v>1052</v>
      </c>
      <c r="D102" s="18" t="s">
        <v>1053</v>
      </c>
      <c r="E102" s="23" t="s">
        <v>995</v>
      </c>
      <c r="F102" s="23" t="s">
        <v>845</v>
      </c>
      <c r="G102" s="24" t="s">
        <v>996</v>
      </c>
      <c r="H102" s="24" t="s">
        <v>997</v>
      </c>
      <c r="I102" s="60" t="s">
        <v>76</v>
      </c>
      <c r="J102" s="61" t="s">
        <v>77</v>
      </c>
      <c r="K102" s="23">
        <v>80</v>
      </c>
      <c r="L102" s="23" t="str">
        <f t="shared" si="0"/>
        <v>Mencapai kompetensi dengan baik dalam hal</v>
      </c>
      <c r="M102" s="23">
        <v>75</v>
      </c>
      <c r="N102" s="23" t="str">
        <f t="shared" si="1"/>
        <v>Mencapai kompetensi dengan baik dalam hal</v>
      </c>
      <c r="O102" s="23">
        <v>76</v>
      </c>
      <c r="P102" s="23" t="str">
        <f t="shared" si="2"/>
        <v>Mencapai kompetensi dengan baik dalam hal</v>
      </c>
      <c r="Q102" s="23">
        <v>80</v>
      </c>
      <c r="R102" s="23" t="str">
        <f t="shared" si="3"/>
        <v>Mencapai kompetensi dengan baik dalam hal</v>
      </c>
      <c r="S102" s="23">
        <v>77</v>
      </c>
      <c r="T102" s="23" t="str">
        <f t="shared" si="4"/>
        <v>Mencapai kompetensi dengan baik dalam hal</v>
      </c>
      <c r="U102" s="23">
        <v>75</v>
      </c>
      <c r="V102" s="23" t="str">
        <f t="shared" si="5"/>
        <v>Mencapai kompetensi dengan baik dalam hal</v>
      </c>
      <c r="W102" s="23">
        <v>75</v>
      </c>
      <c r="X102" s="23" t="str">
        <f t="shared" si="6"/>
        <v>Mencapai kompetensi dengan baik dalam hal</v>
      </c>
      <c r="Y102" s="23">
        <v>76</v>
      </c>
      <c r="Z102" s="23" t="str">
        <f t="shared" si="7"/>
        <v>Mencapai kompetensi dengan baik dalam hal</v>
      </c>
      <c r="AA102" s="23">
        <v>84</v>
      </c>
      <c r="AB102" s="23" t="str">
        <f t="shared" si="8"/>
        <v>Mencapai kompetensi dengan baik dalam hal</v>
      </c>
      <c r="AC102" s="23">
        <v>77</v>
      </c>
      <c r="AD102" s="23" t="str">
        <f t="shared" si="9"/>
        <v>Mencapai kompetensi dengan baik dalam hal</v>
      </c>
      <c r="AE102" s="23">
        <v>76</v>
      </c>
      <c r="AF102" s="23" t="str">
        <f t="shared" si="10"/>
        <v>Mencapai kompetensi dengan baik dalam hal</v>
      </c>
      <c r="AG102" s="23">
        <v>77</v>
      </c>
      <c r="AH102" s="23" t="str">
        <f t="shared" si="11"/>
        <v>Mencapai kompetensi dengan baik dalam hal</v>
      </c>
      <c r="AI102" s="62">
        <f t="shared" si="26"/>
        <v>76.5</v>
      </c>
      <c r="AJ102" s="23">
        <v>84</v>
      </c>
      <c r="AK102" s="23" t="str">
        <f t="shared" si="12"/>
        <v>Mencapai kompetensi dengan baik dalam hal</v>
      </c>
      <c r="AL102" s="23">
        <v>76</v>
      </c>
      <c r="AM102" s="18" t="str">
        <f t="shared" si="13"/>
        <v>Mencapai kompetensi dengan baik dalam hal</v>
      </c>
      <c r="AN102" s="23">
        <v>3</v>
      </c>
      <c r="AO102" s="23">
        <v>1</v>
      </c>
      <c r="AP102" s="23" t="s">
        <v>81</v>
      </c>
      <c r="AQ102" s="23">
        <v>1</v>
      </c>
      <c r="AR102" s="23" t="s">
        <v>82</v>
      </c>
      <c r="AS102" s="18" t="s">
        <v>83</v>
      </c>
      <c r="AT102" s="23" t="s">
        <v>84</v>
      </c>
      <c r="AU102" s="18" t="str">
        <f t="shared" si="29"/>
        <v>Baik</v>
      </c>
      <c r="AV102" s="23">
        <v>2</v>
      </c>
      <c r="AW102" s="18" t="s">
        <v>103</v>
      </c>
      <c r="AX102" s="18" t="s">
        <v>83</v>
      </c>
      <c r="AY102" s="23" t="s">
        <v>84</v>
      </c>
      <c r="AZ102" s="18" t="str">
        <f t="shared" si="30"/>
        <v>Baik</v>
      </c>
      <c r="BA102" s="23"/>
      <c r="BB102" s="23"/>
      <c r="BC102" s="23"/>
      <c r="BD102" s="23"/>
      <c r="BE102" s="18"/>
      <c r="BG102" s="20"/>
      <c r="BH102" s="20"/>
      <c r="BN102" s="22">
        <f t="shared" si="25"/>
        <v>0</v>
      </c>
      <c r="BP102" s="115">
        <f t="shared" si="27"/>
        <v>77.807692307692307</v>
      </c>
      <c r="BQ102" s="22">
        <f t="shared" si="28"/>
        <v>31</v>
      </c>
    </row>
    <row r="103" spans="1:69" ht="24.95" customHeight="1" thickTop="1" thickBot="1" x14ac:dyDescent="0.3">
      <c r="A103" s="23">
        <v>102</v>
      </c>
      <c r="B103" s="23">
        <v>2525683</v>
      </c>
      <c r="C103" s="23" t="s">
        <v>1054</v>
      </c>
      <c r="D103" s="18" t="s">
        <v>1055</v>
      </c>
      <c r="E103" s="23" t="s">
        <v>995</v>
      </c>
      <c r="F103" s="23" t="s">
        <v>845</v>
      </c>
      <c r="G103" s="24" t="s">
        <v>996</v>
      </c>
      <c r="H103" s="24" t="s">
        <v>997</v>
      </c>
      <c r="I103" s="60" t="s">
        <v>76</v>
      </c>
      <c r="J103" s="61" t="s">
        <v>77</v>
      </c>
      <c r="K103" s="23">
        <v>79</v>
      </c>
      <c r="L103" s="23" t="str">
        <f t="shared" si="0"/>
        <v>Mencapai kompetensi dengan baik dalam hal</v>
      </c>
      <c r="M103" s="23">
        <v>78</v>
      </c>
      <c r="N103" s="23" t="str">
        <f t="shared" si="1"/>
        <v>Mencapai kompetensi dengan baik dalam hal</v>
      </c>
      <c r="O103" s="23">
        <v>81</v>
      </c>
      <c r="P103" s="23" t="str">
        <f t="shared" si="2"/>
        <v>Mencapai kompetensi dengan baik dalam hal</v>
      </c>
      <c r="Q103" s="23">
        <v>80</v>
      </c>
      <c r="R103" s="23" t="str">
        <f t="shared" si="3"/>
        <v>Mencapai kompetensi dengan baik dalam hal</v>
      </c>
      <c r="S103" s="23">
        <v>88</v>
      </c>
      <c r="T103" s="23" t="str">
        <f t="shared" si="4"/>
        <v>Mencapai kompetensi dengan baik dalam hal</v>
      </c>
      <c r="U103" s="23">
        <v>75</v>
      </c>
      <c r="V103" s="23" t="str">
        <f t="shared" si="5"/>
        <v>Mencapai kompetensi dengan baik dalam hal</v>
      </c>
      <c r="W103" s="23">
        <v>75</v>
      </c>
      <c r="X103" s="23" t="str">
        <f t="shared" si="6"/>
        <v>Mencapai kompetensi dengan baik dalam hal</v>
      </c>
      <c r="Y103" s="23">
        <v>76</v>
      </c>
      <c r="Z103" s="23" t="str">
        <f t="shared" si="7"/>
        <v>Mencapai kompetensi dengan baik dalam hal</v>
      </c>
      <c r="AA103" s="23">
        <v>88</v>
      </c>
      <c r="AB103" s="23" t="str">
        <f t="shared" si="8"/>
        <v>Mencapai kompetensi dengan baik dalam hal</v>
      </c>
      <c r="AC103" s="23">
        <v>83</v>
      </c>
      <c r="AD103" s="23" t="str">
        <f t="shared" si="9"/>
        <v>Mencapai kompetensi dengan baik dalam hal</v>
      </c>
      <c r="AE103" s="23">
        <v>76</v>
      </c>
      <c r="AF103" s="23" t="str">
        <f t="shared" si="10"/>
        <v>Mencapai kompetensi dengan baik dalam hal</v>
      </c>
      <c r="AG103" s="23">
        <v>77</v>
      </c>
      <c r="AH103" s="23" t="str">
        <f t="shared" si="11"/>
        <v>Mencapai kompetensi dengan baik dalam hal</v>
      </c>
      <c r="AI103" s="62">
        <f t="shared" si="26"/>
        <v>76.5</v>
      </c>
      <c r="AJ103" s="23">
        <v>88</v>
      </c>
      <c r="AK103" s="23" t="str">
        <f t="shared" si="12"/>
        <v>Mencapai kompetensi dengan baik dalam hal</v>
      </c>
      <c r="AL103" s="23">
        <v>79</v>
      </c>
      <c r="AM103" s="18" t="str">
        <f t="shared" si="13"/>
        <v>Mencapai kompetensi dengan baik dalam hal</v>
      </c>
      <c r="AN103" s="23" t="s">
        <v>81</v>
      </c>
      <c r="AO103" s="23" t="s">
        <v>81</v>
      </c>
      <c r="AP103" s="23" t="s">
        <v>81</v>
      </c>
      <c r="AQ103" s="23">
        <v>1</v>
      </c>
      <c r="AR103" s="23" t="s">
        <v>82</v>
      </c>
      <c r="AS103" s="18" t="s">
        <v>83</v>
      </c>
      <c r="AT103" s="23" t="s">
        <v>84</v>
      </c>
      <c r="AU103" s="18" t="str">
        <f t="shared" si="29"/>
        <v>Baik</v>
      </c>
      <c r="AV103" s="23">
        <v>2</v>
      </c>
      <c r="AW103" s="18" t="s">
        <v>99</v>
      </c>
      <c r="AX103" s="18" t="s">
        <v>83</v>
      </c>
      <c r="AY103" s="23" t="s">
        <v>84</v>
      </c>
      <c r="AZ103" s="18" t="str">
        <f t="shared" si="30"/>
        <v>Baik</v>
      </c>
      <c r="BA103" s="23"/>
      <c r="BB103" s="23"/>
      <c r="BC103" s="23"/>
      <c r="BD103" s="23"/>
      <c r="BE103" s="18"/>
      <c r="BG103" s="20"/>
      <c r="BH103" s="20"/>
      <c r="BN103" s="22">
        <f t="shared" si="25"/>
        <v>0</v>
      </c>
      <c r="BP103" s="115">
        <f t="shared" si="27"/>
        <v>80.5</v>
      </c>
      <c r="BQ103" s="22">
        <f t="shared" si="28"/>
        <v>11</v>
      </c>
    </row>
    <row r="104" spans="1:69" ht="24.95" customHeight="1" thickTop="1" thickBot="1" x14ac:dyDescent="0.3">
      <c r="A104" s="23">
        <v>103</v>
      </c>
      <c r="B104" s="23">
        <v>2525684</v>
      </c>
      <c r="C104" s="23" t="s">
        <v>1056</v>
      </c>
      <c r="D104" s="18" t="s">
        <v>1057</v>
      </c>
      <c r="E104" s="23" t="s">
        <v>995</v>
      </c>
      <c r="F104" s="23" t="s">
        <v>845</v>
      </c>
      <c r="G104" s="24" t="s">
        <v>996</v>
      </c>
      <c r="H104" s="24" t="s">
        <v>997</v>
      </c>
      <c r="I104" s="60" t="s">
        <v>76</v>
      </c>
      <c r="J104" s="61" t="s">
        <v>77</v>
      </c>
      <c r="K104" s="23">
        <v>79</v>
      </c>
      <c r="L104" s="23" t="str">
        <f t="shared" si="0"/>
        <v>Mencapai kompetensi dengan baik dalam hal</v>
      </c>
      <c r="M104" s="23">
        <v>80</v>
      </c>
      <c r="N104" s="23" t="str">
        <f t="shared" si="1"/>
        <v>Mencapai kompetensi dengan baik dalam hal</v>
      </c>
      <c r="O104" s="23">
        <v>79</v>
      </c>
      <c r="P104" s="23" t="str">
        <f t="shared" si="2"/>
        <v>Mencapai kompetensi dengan baik dalam hal</v>
      </c>
      <c r="Q104" s="23">
        <v>78</v>
      </c>
      <c r="R104" s="23" t="str">
        <f t="shared" si="3"/>
        <v>Mencapai kompetensi dengan baik dalam hal</v>
      </c>
      <c r="S104" s="23">
        <v>80</v>
      </c>
      <c r="T104" s="23" t="str">
        <f t="shared" si="4"/>
        <v>Mencapai kompetensi dengan baik dalam hal</v>
      </c>
      <c r="U104" s="23">
        <v>79</v>
      </c>
      <c r="V104" s="23" t="str">
        <f t="shared" si="5"/>
        <v>Mencapai kompetensi dengan baik dalam hal</v>
      </c>
      <c r="W104" s="23">
        <v>75</v>
      </c>
      <c r="X104" s="23" t="str">
        <f t="shared" si="6"/>
        <v>Mencapai kompetensi dengan baik dalam hal</v>
      </c>
      <c r="Y104" s="23">
        <v>78</v>
      </c>
      <c r="Z104" s="23" t="str">
        <f t="shared" si="7"/>
        <v>Mencapai kompetensi dengan baik dalam hal</v>
      </c>
      <c r="AA104" s="23">
        <v>85</v>
      </c>
      <c r="AB104" s="23" t="str">
        <f t="shared" si="8"/>
        <v>Mencapai kompetensi dengan baik dalam hal</v>
      </c>
      <c r="AC104" s="23">
        <v>80</v>
      </c>
      <c r="AD104" s="23" t="str">
        <f t="shared" si="9"/>
        <v>Mencapai kompetensi dengan baik dalam hal</v>
      </c>
      <c r="AE104" s="23">
        <v>75</v>
      </c>
      <c r="AF104" s="23" t="str">
        <f t="shared" si="10"/>
        <v>Mencapai kompetensi dengan baik dalam hal</v>
      </c>
      <c r="AG104" s="23">
        <v>76</v>
      </c>
      <c r="AH104" s="23" t="str">
        <f t="shared" si="11"/>
        <v>Mencapai kompetensi dengan baik dalam hal</v>
      </c>
      <c r="AI104" s="62">
        <f t="shared" si="26"/>
        <v>75.5</v>
      </c>
      <c r="AJ104" s="23">
        <v>85</v>
      </c>
      <c r="AK104" s="23" t="str">
        <f t="shared" si="12"/>
        <v>Mencapai kompetensi dengan baik dalam hal</v>
      </c>
      <c r="AL104" s="23">
        <v>76</v>
      </c>
      <c r="AM104" s="18" t="str">
        <f t="shared" si="13"/>
        <v>Mencapai kompetensi dengan baik dalam hal</v>
      </c>
      <c r="AN104" s="23">
        <v>2</v>
      </c>
      <c r="AO104" s="23" t="s">
        <v>81</v>
      </c>
      <c r="AP104" s="23" t="s">
        <v>81</v>
      </c>
      <c r="AQ104" s="23">
        <v>1</v>
      </c>
      <c r="AR104" s="23" t="s">
        <v>82</v>
      </c>
      <c r="AS104" s="18" t="s">
        <v>83</v>
      </c>
      <c r="AT104" s="23" t="s">
        <v>86</v>
      </c>
      <c r="AU104" s="18" t="str">
        <f t="shared" si="29"/>
        <v>Sangat baik</v>
      </c>
      <c r="AV104" s="23">
        <v>2</v>
      </c>
      <c r="AW104" s="18" t="s">
        <v>85</v>
      </c>
      <c r="AX104" s="18" t="s">
        <v>83</v>
      </c>
      <c r="AY104" s="23" t="s">
        <v>84</v>
      </c>
      <c r="AZ104" s="18" t="str">
        <f t="shared" si="30"/>
        <v>Baik</v>
      </c>
      <c r="BA104" s="23"/>
      <c r="BB104" s="23"/>
      <c r="BC104" s="23"/>
      <c r="BD104" s="23"/>
      <c r="BE104" s="18"/>
      <c r="BG104" s="20"/>
      <c r="BH104" s="20"/>
      <c r="BN104" s="22">
        <f t="shared" si="25"/>
        <v>0</v>
      </c>
      <c r="BP104" s="115">
        <f t="shared" si="27"/>
        <v>79.192307692307693</v>
      </c>
      <c r="BQ104" s="22">
        <f t="shared" si="28"/>
        <v>21</v>
      </c>
    </row>
    <row r="105" spans="1:69" ht="24.95" customHeight="1" thickTop="1" thickBot="1" x14ac:dyDescent="0.3">
      <c r="A105" s="23">
        <v>104</v>
      </c>
      <c r="B105" s="23">
        <v>2525685</v>
      </c>
      <c r="C105" s="23" t="s">
        <v>1058</v>
      </c>
      <c r="D105" s="18" t="s">
        <v>1059</v>
      </c>
      <c r="E105" s="23" t="s">
        <v>995</v>
      </c>
      <c r="F105" s="23" t="s">
        <v>845</v>
      </c>
      <c r="G105" s="24" t="s">
        <v>996</v>
      </c>
      <c r="H105" s="24" t="s">
        <v>997</v>
      </c>
      <c r="I105" s="60" t="s">
        <v>76</v>
      </c>
      <c r="J105" s="61" t="s">
        <v>77</v>
      </c>
      <c r="K105" s="23">
        <v>78</v>
      </c>
      <c r="L105" s="23" t="str">
        <f t="shared" si="0"/>
        <v>Mencapai kompetensi dengan baik dalam hal</v>
      </c>
      <c r="M105" s="23">
        <v>76</v>
      </c>
      <c r="N105" s="23" t="str">
        <f t="shared" si="1"/>
        <v>Mencapai kompetensi dengan baik dalam hal</v>
      </c>
      <c r="O105" s="23">
        <v>77</v>
      </c>
      <c r="P105" s="23" t="str">
        <f t="shared" si="2"/>
        <v>Mencapai kompetensi dengan baik dalam hal</v>
      </c>
      <c r="Q105" s="23">
        <v>78</v>
      </c>
      <c r="R105" s="23" t="str">
        <f t="shared" si="3"/>
        <v>Mencapai kompetensi dengan baik dalam hal</v>
      </c>
      <c r="S105" s="23">
        <v>81</v>
      </c>
      <c r="T105" s="23" t="str">
        <f t="shared" si="4"/>
        <v>Mencapai kompetensi dengan baik dalam hal</v>
      </c>
      <c r="U105" s="23">
        <v>75</v>
      </c>
      <c r="V105" s="23" t="str">
        <f t="shared" si="5"/>
        <v>Mencapai kompetensi dengan baik dalam hal</v>
      </c>
      <c r="W105" s="23">
        <v>75</v>
      </c>
      <c r="X105" s="23" t="str">
        <f t="shared" si="6"/>
        <v>Mencapai kompetensi dengan baik dalam hal</v>
      </c>
      <c r="Y105" s="23">
        <v>76</v>
      </c>
      <c r="Z105" s="23" t="str">
        <f t="shared" si="7"/>
        <v>Mencapai kompetensi dengan baik dalam hal</v>
      </c>
      <c r="AA105" s="23">
        <v>82</v>
      </c>
      <c r="AB105" s="23" t="str">
        <f t="shared" si="8"/>
        <v>Mencapai kompetensi dengan baik dalam hal</v>
      </c>
      <c r="AC105" s="23">
        <v>76</v>
      </c>
      <c r="AD105" s="23" t="str">
        <f t="shared" si="9"/>
        <v>Mencapai kompetensi dengan baik dalam hal</v>
      </c>
      <c r="AE105" s="23">
        <v>77</v>
      </c>
      <c r="AF105" s="23" t="str">
        <f t="shared" si="10"/>
        <v>Mencapai kompetensi dengan baik dalam hal</v>
      </c>
      <c r="AG105" s="23">
        <v>78</v>
      </c>
      <c r="AH105" s="23" t="str">
        <f t="shared" si="11"/>
        <v>Mencapai kompetensi dengan baik dalam hal</v>
      </c>
      <c r="AI105" s="62">
        <f t="shared" si="26"/>
        <v>77.5</v>
      </c>
      <c r="AJ105" s="23">
        <v>82</v>
      </c>
      <c r="AK105" s="23" t="str">
        <f t="shared" si="12"/>
        <v>Mencapai kompetensi dengan baik dalam hal</v>
      </c>
      <c r="AL105" s="23">
        <v>76</v>
      </c>
      <c r="AM105" s="18" t="str">
        <f t="shared" si="13"/>
        <v>Mencapai kompetensi dengan baik dalam hal</v>
      </c>
      <c r="AN105" s="23">
        <v>4</v>
      </c>
      <c r="AO105" s="23" t="s">
        <v>81</v>
      </c>
      <c r="AP105" s="23" t="s">
        <v>81</v>
      </c>
      <c r="AQ105" s="23">
        <v>1</v>
      </c>
      <c r="AR105" s="23" t="s">
        <v>82</v>
      </c>
      <c r="AS105" s="18" t="s">
        <v>83</v>
      </c>
      <c r="AT105" s="23" t="s">
        <v>84</v>
      </c>
      <c r="AU105" s="18" t="str">
        <f t="shared" si="29"/>
        <v>Baik</v>
      </c>
      <c r="AV105" s="23">
        <v>2</v>
      </c>
      <c r="AW105" s="18" t="s">
        <v>116</v>
      </c>
      <c r="AX105" s="18" t="s">
        <v>83</v>
      </c>
      <c r="AY105" s="23" t="s">
        <v>86</v>
      </c>
      <c r="AZ105" s="18" t="str">
        <f t="shared" si="30"/>
        <v>Sangat baik</v>
      </c>
      <c r="BA105" s="23"/>
      <c r="BB105" s="23"/>
      <c r="BC105" s="23"/>
      <c r="BD105" s="23"/>
      <c r="BE105" s="18"/>
      <c r="BG105" s="20"/>
      <c r="BH105" s="20"/>
      <c r="BN105" s="22">
        <f t="shared" si="25"/>
        <v>0</v>
      </c>
      <c r="BP105" s="115">
        <f t="shared" si="27"/>
        <v>77.65384615384616</v>
      </c>
      <c r="BQ105" s="22">
        <f t="shared" si="28"/>
        <v>32</v>
      </c>
    </row>
    <row r="106" spans="1:69" ht="24.95" customHeight="1" thickTop="1" thickBot="1" x14ac:dyDescent="0.3">
      <c r="A106" s="23">
        <v>105</v>
      </c>
      <c r="B106" s="23">
        <v>2525686</v>
      </c>
      <c r="C106" s="23" t="s">
        <v>1060</v>
      </c>
      <c r="D106" s="18" t="s">
        <v>1061</v>
      </c>
      <c r="E106" s="23" t="s">
        <v>995</v>
      </c>
      <c r="F106" s="23" t="s">
        <v>845</v>
      </c>
      <c r="G106" s="24" t="s">
        <v>996</v>
      </c>
      <c r="H106" s="24" t="s">
        <v>997</v>
      </c>
      <c r="I106" s="60" t="s">
        <v>76</v>
      </c>
      <c r="J106" s="61" t="s">
        <v>77</v>
      </c>
      <c r="K106" s="23">
        <v>78</v>
      </c>
      <c r="L106" s="23" t="str">
        <f t="shared" si="0"/>
        <v>Mencapai kompetensi dengan baik dalam hal</v>
      </c>
      <c r="M106" s="23">
        <v>77</v>
      </c>
      <c r="N106" s="23" t="str">
        <f t="shared" si="1"/>
        <v>Mencapai kompetensi dengan baik dalam hal</v>
      </c>
      <c r="O106" s="23">
        <v>80</v>
      </c>
      <c r="P106" s="23" t="str">
        <f t="shared" si="2"/>
        <v>Mencapai kompetensi dengan baik dalam hal</v>
      </c>
      <c r="Q106" s="23">
        <v>78</v>
      </c>
      <c r="R106" s="23" t="str">
        <f t="shared" si="3"/>
        <v>Mencapai kompetensi dengan baik dalam hal</v>
      </c>
      <c r="S106" s="23">
        <v>77</v>
      </c>
      <c r="T106" s="23" t="str">
        <f t="shared" si="4"/>
        <v>Mencapai kompetensi dengan baik dalam hal</v>
      </c>
      <c r="U106" s="23">
        <v>75</v>
      </c>
      <c r="V106" s="23" t="str">
        <f t="shared" si="5"/>
        <v>Mencapai kompetensi dengan baik dalam hal</v>
      </c>
      <c r="W106" s="23">
        <v>75</v>
      </c>
      <c r="X106" s="23" t="str">
        <f t="shared" si="6"/>
        <v>Mencapai kompetensi dengan baik dalam hal</v>
      </c>
      <c r="Y106" s="23">
        <v>78</v>
      </c>
      <c r="Z106" s="23" t="str">
        <f t="shared" si="7"/>
        <v>Mencapai kompetensi dengan baik dalam hal</v>
      </c>
      <c r="AA106" s="23">
        <v>85</v>
      </c>
      <c r="AB106" s="23" t="str">
        <f t="shared" si="8"/>
        <v>Mencapai kompetensi dengan baik dalam hal</v>
      </c>
      <c r="AC106" s="23">
        <v>80</v>
      </c>
      <c r="AD106" s="23" t="str">
        <f t="shared" si="9"/>
        <v>Mencapai kompetensi dengan baik dalam hal</v>
      </c>
      <c r="AE106" s="23">
        <v>83</v>
      </c>
      <c r="AF106" s="23" t="str">
        <f t="shared" si="10"/>
        <v>Mencapai kompetensi dengan baik dalam hal</v>
      </c>
      <c r="AG106" s="23">
        <v>84</v>
      </c>
      <c r="AH106" s="23" t="str">
        <f t="shared" si="11"/>
        <v>Mencapai kompetensi dengan baik dalam hal</v>
      </c>
      <c r="AI106" s="62">
        <f t="shared" si="26"/>
        <v>83.5</v>
      </c>
      <c r="AJ106" s="23">
        <v>85</v>
      </c>
      <c r="AK106" s="23" t="str">
        <f t="shared" si="12"/>
        <v>Mencapai kompetensi dengan baik dalam hal</v>
      </c>
      <c r="AL106" s="23">
        <v>75</v>
      </c>
      <c r="AM106" s="18" t="str">
        <f t="shared" si="13"/>
        <v>Mencapai kompetensi dengan baik dalam hal</v>
      </c>
      <c r="AN106" s="23">
        <v>6</v>
      </c>
      <c r="AO106" s="23" t="s">
        <v>81</v>
      </c>
      <c r="AP106" s="23" t="s">
        <v>81</v>
      </c>
      <c r="AQ106" s="23">
        <v>1</v>
      </c>
      <c r="AR106" s="23" t="s">
        <v>82</v>
      </c>
      <c r="AS106" s="18" t="s">
        <v>83</v>
      </c>
      <c r="AT106" s="23" t="s">
        <v>84</v>
      </c>
      <c r="AU106" s="18" t="str">
        <f t="shared" si="29"/>
        <v>Baik</v>
      </c>
      <c r="AV106" s="23">
        <v>2</v>
      </c>
      <c r="AW106" s="18" t="s">
        <v>170</v>
      </c>
      <c r="AX106" s="18" t="s">
        <v>83</v>
      </c>
      <c r="AY106" s="23" t="s">
        <v>104</v>
      </c>
      <c r="AZ106" s="18" t="str">
        <f t="shared" si="30"/>
        <v>Cukup</v>
      </c>
      <c r="BA106" s="23"/>
      <c r="BB106" s="23"/>
      <c r="BC106" s="23"/>
      <c r="BD106" s="23"/>
      <c r="BE106" s="18"/>
      <c r="BG106" s="20"/>
      <c r="BH106" s="20"/>
      <c r="BN106" s="22">
        <f t="shared" si="25"/>
        <v>0</v>
      </c>
      <c r="BP106" s="115">
        <f t="shared" si="27"/>
        <v>78.961538461538467</v>
      </c>
      <c r="BQ106" s="22">
        <f t="shared" si="28"/>
        <v>25</v>
      </c>
    </row>
    <row r="107" spans="1:69" ht="24.95" customHeight="1" thickTop="1" thickBot="1" x14ac:dyDescent="0.3">
      <c r="A107" s="23">
        <v>106</v>
      </c>
      <c r="B107" s="23">
        <v>2525687</v>
      </c>
      <c r="C107" s="23" t="s">
        <v>1062</v>
      </c>
      <c r="D107" s="18" t="s">
        <v>1063</v>
      </c>
      <c r="E107" s="23" t="s">
        <v>995</v>
      </c>
      <c r="F107" s="23" t="s">
        <v>845</v>
      </c>
      <c r="G107" s="24" t="s">
        <v>996</v>
      </c>
      <c r="H107" s="24" t="s">
        <v>997</v>
      </c>
      <c r="I107" s="60" t="s">
        <v>76</v>
      </c>
      <c r="J107" s="61" t="s">
        <v>77</v>
      </c>
      <c r="K107" s="23">
        <v>79</v>
      </c>
      <c r="L107" s="23" t="str">
        <f t="shared" si="0"/>
        <v>Mencapai kompetensi dengan baik dalam hal</v>
      </c>
      <c r="M107" s="23">
        <v>75</v>
      </c>
      <c r="N107" s="23" t="str">
        <f t="shared" si="1"/>
        <v>Mencapai kompetensi dengan baik dalam hal</v>
      </c>
      <c r="O107" s="23">
        <v>77</v>
      </c>
      <c r="P107" s="23" t="str">
        <f t="shared" si="2"/>
        <v>Mencapai kompetensi dengan baik dalam hal</v>
      </c>
      <c r="Q107" s="23">
        <v>78</v>
      </c>
      <c r="R107" s="23" t="str">
        <f t="shared" si="3"/>
        <v>Mencapai kompetensi dengan baik dalam hal</v>
      </c>
      <c r="S107" s="23">
        <v>84</v>
      </c>
      <c r="T107" s="23" t="str">
        <f t="shared" si="4"/>
        <v>Mencapai kompetensi dengan baik dalam hal</v>
      </c>
      <c r="U107" s="23">
        <v>77</v>
      </c>
      <c r="V107" s="23" t="str">
        <f t="shared" si="5"/>
        <v>Mencapai kompetensi dengan baik dalam hal</v>
      </c>
      <c r="W107" s="23">
        <v>75</v>
      </c>
      <c r="X107" s="23" t="str">
        <f t="shared" si="6"/>
        <v>Mencapai kompetensi dengan baik dalam hal</v>
      </c>
      <c r="Y107" s="23">
        <v>76</v>
      </c>
      <c r="Z107" s="23" t="str">
        <f t="shared" si="7"/>
        <v>Mencapai kompetensi dengan baik dalam hal</v>
      </c>
      <c r="AA107" s="23">
        <v>76</v>
      </c>
      <c r="AB107" s="23" t="str">
        <f t="shared" si="8"/>
        <v>Mencapai kompetensi dengan baik dalam hal</v>
      </c>
      <c r="AC107" s="23">
        <v>77</v>
      </c>
      <c r="AD107" s="23" t="str">
        <f t="shared" si="9"/>
        <v>Mencapai kompetensi dengan baik dalam hal</v>
      </c>
      <c r="AE107" s="23">
        <v>75</v>
      </c>
      <c r="AF107" s="23" t="str">
        <f t="shared" si="10"/>
        <v>Mencapai kompetensi dengan baik dalam hal</v>
      </c>
      <c r="AG107" s="23">
        <v>76</v>
      </c>
      <c r="AH107" s="23" t="str">
        <f t="shared" si="11"/>
        <v>Mencapai kompetensi dengan baik dalam hal</v>
      </c>
      <c r="AI107" s="62">
        <f t="shared" si="26"/>
        <v>75.5</v>
      </c>
      <c r="AJ107" s="23">
        <v>76</v>
      </c>
      <c r="AK107" s="23" t="str">
        <f t="shared" si="12"/>
        <v>Mencapai kompetensi dengan baik dalam hal</v>
      </c>
      <c r="AL107" s="23">
        <v>75</v>
      </c>
      <c r="AM107" s="18" t="str">
        <f t="shared" si="13"/>
        <v>Mencapai kompetensi dengan baik dalam hal</v>
      </c>
      <c r="AN107" s="23">
        <v>1</v>
      </c>
      <c r="AO107" s="23" t="s">
        <v>81</v>
      </c>
      <c r="AP107" s="23" t="s">
        <v>81</v>
      </c>
      <c r="AQ107" s="23">
        <v>1</v>
      </c>
      <c r="AR107" s="23" t="s">
        <v>82</v>
      </c>
      <c r="AS107" s="18" t="s">
        <v>83</v>
      </c>
      <c r="AT107" s="23" t="s">
        <v>84</v>
      </c>
      <c r="AU107" s="18" t="str">
        <f t="shared" si="29"/>
        <v>Baik</v>
      </c>
      <c r="AV107" s="23">
        <v>2</v>
      </c>
      <c r="AW107" s="18" t="s">
        <v>429</v>
      </c>
      <c r="AX107" s="18" t="s">
        <v>83</v>
      </c>
      <c r="AY107" s="23" t="s">
        <v>86</v>
      </c>
      <c r="AZ107" s="18" t="str">
        <f t="shared" si="30"/>
        <v>Sangat baik</v>
      </c>
      <c r="BA107" s="23"/>
      <c r="BB107" s="23"/>
      <c r="BC107" s="23"/>
      <c r="BD107" s="23"/>
      <c r="BE107" s="18"/>
      <c r="BG107" s="20"/>
      <c r="BH107" s="20"/>
      <c r="BN107" s="22">
        <f t="shared" si="25"/>
        <v>0</v>
      </c>
      <c r="BP107" s="115">
        <f t="shared" si="27"/>
        <v>76.961538461538467</v>
      </c>
      <c r="BQ107" s="22">
        <f t="shared" si="28"/>
        <v>34</v>
      </c>
    </row>
    <row r="108" spans="1:69" ht="24.95" customHeight="1" thickTop="1" thickBot="1" x14ac:dyDescent="0.3">
      <c r="A108" s="23">
        <v>107</v>
      </c>
      <c r="B108" s="23">
        <v>2525688</v>
      </c>
      <c r="C108" s="23" t="s">
        <v>1064</v>
      </c>
      <c r="D108" s="18" t="s">
        <v>1065</v>
      </c>
      <c r="E108" s="23" t="s">
        <v>995</v>
      </c>
      <c r="F108" s="23" t="s">
        <v>845</v>
      </c>
      <c r="G108" s="24" t="s">
        <v>996</v>
      </c>
      <c r="H108" s="24" t="s">
        <v>997</v>
      </c>
      <c r="I108" s="60" t="s">
        <v>76</v>
      </c>
      <c r="J108" s="61" t="s">
        <v>77</v>
      </c>
      <c r="K108" s="23">
        <v>80</v>
      </c>
      <c r="L108" s="23" t="str">
        <f t="shared" si="0"/>
        <v>Mencapai kompetensi dengan baik dalam hal</v>
      </c>
      <c r="M108" s="23">
        <v>77</v>
      </c>
      <c r="N108" s="23" t="str">
        <f t="shared" si="1"/>
        <v>Mencapai kompetensi dengan baik dalam hal</v>
      </c>
      <c r="O108" s="23">
        <v>79</v>
      </c>
      <c r="P108" s="23" t="str">
        <f t="shared" si="2"/>
        <v>Mencapai kompetensi dengan baik dalam hal</v>
      </c>
      <c r="Q108" s="23">
        <v>80</v>
      </c>
      <c r="R108" s="23" t="str">
        <f t="shared" si="3"/>
        <v>Mencapai kompetensi dengan baik dalam hal</v>
      </c>
      <c r="S108" s="23">
        <v>86</v>
      </c>
      <c r="T108" s="23" t="str">
        <f t="shared" si="4"/>
        <v>Mencapai kompetensi dengan baik dalam hal</v>
      </c>
      <c r="U108" s="23">
        <v>80</v>
      </c>
      <c r="V108" s="23" t="str">
        <f t="shared" si="5"/>
        <v>Mencapai kompetensi dengan baik dalam hal</v>
      </c>
      <c r="W108" s="23">
        <v>75</v>
      </c>
      <c r="X108" s="23" t="str">
        <f t="shared" si="6"/>
        <v>Mencapai kompetensi dengan baik dalam hal</v>
      </c>
      <c r="Y108" s="23">
        <v>76</v>
      </c>
      <c r="Z108" s="23" t="str">
        <f t="shared" si="7"/>
        <v>Mencapai kompetensi dengan baik dalam hal</v>
      </c>
      <c r="AA108" s="23">
        <v>76</v>
      </c>
      <c r="AB108" s="23" t="str">
        <f t="shared" si="8"/>
        <v>Mencapai kompetensi dengan baik dalam hal</v>
      </c>
      <c r="AC108" s="23">
        <v>82</v>
      </c>
      <c r="AD108" s="23" t="str">
        <f t="shared" si="9"/>
        <v>Mencapai kompetensi dengan baik dalam hal</v>
      </c>
      <c r="AE108" s="23">
        <v>76</v>
      </c>
      <c r="AF108" s="23" t="str">
        <f t="shared" si="10"/>
        <v>Mencapai kompetensi dengan baik dalam hal</v>
      </c>
      <c r="AG108" s="23">
        <v>77</v>
      </c>
      <c r="AH108" s="23" t="str">
        <f t="shared" si="11"/>
        <v>Mencapai kompetensi dengan baik dalam hal</v>
      </c>
      <c r="AI108" s="62">
        <f t="shared" si="26"/>
        <v>76.5</v>
      </c>
      <c r="AJ108" s="23">
        <v>76</v>
      </c>
      <c r="AK108" s="23" t="str">
        <f t="shared" si="12"/>
        <v>Mencapai kompetensi dengan baik dalam hal</v>
      </c>
      <c r="AL108" s="23">
        <v>82</v>
      </c>
      <c r="AM108" s="18" t="str">
        <f t="shared" si="13"/>
        <v>Mencapai kompetensi dengan baik dalam hal</v>
      </c>
      <c r="AN108" s="23" t="s">
        <v>81</v>
      </c>
      <c r="AO108" s="23" t="s">
        <v>81</v>
      </c>
      <c r="AP108" s="23" t="s">
        <v>81</v>
      </c>
      <c r="AQ108" s="23">
        <v>1</v>
      </c>
      <c r="AR108" s="23" t="s">
        <v>82</v>
      </c>
      <c r="AS108" s="18" t="s">
        <v>83</v>
      </c>
      <c r="AT108" s="23" t="s">
        <v>86</v>
      </c>
      <c r="AU108" s="18" t="str">
        <f t="shared" si="29"/>
        <v>Sangat baik</v>
      </c>
      <c r="AV108" s="23">
        <v>2</v>
      </c>
      <c r="AW108" s="18" t="s">
        <v>108</v>
      </c>
      <c r="AX108" s="18" t="s">
        <v>83</v>
      </c>
      <c r="AY108" s="23" t="s">
        <v>86</v>
      </c>
      <c r="AZ108" s="18" t="str">
        <f t="shared" si="30"/>
        <v>Sangat baik</v>
      </c>
      <c r="BA108" s="23"/>
      <c r="BB108" s="23"/>
      <c r="BC108" s="23"/>
      <c r="BD108" s="23"/>
      <c r="BE108" s="18"/>
      <c r="BG108" s="20"/>
      <c r="BH108" s="20"/>
      <c r="BN108" s="22">
        <f t="shared" si="25"/>
        <v>0</v>
      </c>
      <c r="BP108" s="115">
        <f t="shared" si="27"/>
        <v>78.884615384615387</v>
      </c>
      <c r="BQ108" s="22">
        <f t="shared" ref="BQ108:BQ145" si="31">_xlfn.RANK.EQ(BP108,$BP$108:$BP$146,0)</f>
        <v>12</v>
      </c>
    </row>
    <row r="109" spans="1:69" ht="24.95" customHeight="1" thickTop="1" thickBot="1" x14ac:dyDescent="0.3">
      <c r="A109" s="23">
        <v>108</v>
      </c>
      <c r="B109" s="23">
        <v>2525689</v>
      </c>
      <c r="C109" s="23" t="s">
        <v>1066</v>
      </c>
      <c r="D109" s="18" t="s">
        <v>1067</v>
      </c>
      <c r="E109" s="23" t="s">
        <v>995</v>
      </c>
      <c r="F109" s="23" t="s">
        <v>845</v>
      </c>
      <c r="G109" s="24" t="s">
        <v>996</v>
      </c>
      <c r="H109" s="24" t="s">
        <v>997</v>
      </c>
      <c r="I109" s="60" t="s">
        <v>76</v>
      </c>
      <c r="J109" s="61" t="s">
        <v>77</v>
      </c>
      <c r="K109" s="23">
        <v>80</v>
      </c>
      <c r="L109" s="23" t="str">
        <f t="shared" si="0"/>
        <v>Mencapai kompetensi dengan baik dalam hal</v>
      </c>
      <c r="M109" s="23">
        <v>78</v>
      </c>
      <c r="N109" s="23" t="str">
        <f t="shared" si="1"/>
        <v>Mencapai kompetensi dengan baik dalam hal</v>
      </c>
      <c r="O109" s="23">
        <v>80</v>
      </c>
      <c r="P109" s="23" t="str">
        <f t="shared" si="2"/>
        <v>Mencapai kompetensi dengan baik dalam hal</v>
      </c>
      <c r="Q109" s="23">
        <v>78</v>
      </c>
      <c r="R109" s="23" t="str">
        <f t="shared" si="3"/>
        <v>Mencapai kompetensi dengan baik dalam hal</v>
      </c>
      <c r="S109" s="23">
        <v>86</v>
      </c>
      <c r="T109" s="23" t="str">
        <f t="shared" si="4"/>
        <v>Mencapai kompetensi dengan baik dalam hal</v>
      </c>
      <c r="U109" s="23">
        <v>75</v>
      </c>
      <c r="V109" s="23" t="str">
        <f t="shared" si="5"/>
        <v>Mencapai kompetensi dengan baik dalam hal</v>
      </c>
      <c r="W109" s="23">
        <v>75</v>
      </c>
      <c r="X109" s="23" t="str">
        <f t="shared" si="6"/>
        <v>Mencapai kompetensi dengan baik dalam hal</v>
      </c>
      <c r="Y109" s="23">
        <v>76</v>
      </c>
      <c r="Z109" s="23" t="str">
        <f t="shared" si="7"/>
        <v>Mencapai kompetensi dengan baik dalam hal</v>
      </c>
      <c r="AA109" s="23">
        <v>88</v>
      </c>
      <c r="AB109" s="23" t="str">
        <f t="shared" si="8"/>
        <v>Mencapai kompetensi dengan baik dalam hal</v>
      </c>
      <c r="AC109" s="23">
        <v>86</v>
      </c>
      <c r="AD109" s="23" t="str">
        <f t="shared" si="9"/>
        <v>Mencapai kompetensi dengan baik dalam hal</v>
      </c>
      <c r="AE109" s="23">
        <v>78</v>
      </c>
      <c r="AF109" s="23" t="str">
        <f t="shared" si="10"/>
        <v>Mencapai kompetensi dengan baik dalam hal</v>
      </c>
      <c r="AG109" s="23">
        <v>79</v>
      </c>
      <c r="AH109" s="23" t="str">
        <f t="shared" si="11"/>
        <v>Mencapai kompetensi dengan baik dalam hal</v>
      </c>
      <c r="AI109" s="62">
        <f t="shared" si="26"/>
        <v>78.5</v>
      </c>
      <c r="AJ109" s="23">
        <v>88</v>
      </c>
      <c r="AK109" s="23" t="str">
        <f t="shared" si="12"/>
        <v>Mencapai kompetensi dengan baik dalam hal</v>
      </c>
      <c r="AL109" s="23">
        <v>75</v>
      </c>
      <c r="AM109" s="18" t="str">
        <f t="shared" si="13"/>
        <v>Mencapai kompetensi dengan baik dalam hal</v>
      </c>
      <c r="AN109" s="23" t="s">
        <v>81</v>
      </c>
      <c r="AO109" s="23" t="s">
        <v>81</v>
      </c>
      <c r="AP109" s="23" t="s">
        <v>81</v>
      </c>
      <c r="AQ109" s="23">
        <v>1</v>
      </c>
      <c r="AR109" s="23" t="s">
        <v>82</v>
      </c>
      <c r="AS109" s="18" t="s">
        <v>83</v>
      </c>
      <c r="AT109" s="23" t="s">
        <v>86</v>
      </c>
      <c r="AU109" s="18" t="str">
        <f t="shared" si="29"/>
        <v>Sangat baik</v>
      </c>
      <c r="AV109" s="23">
        <v>2</v>
      </c>
      <c r="AW109" s="18" t="s">
        <v>170</v>
      </c>
      <c r="AX109" s="18" t="s">
        <v>83</v>
      </c>
      <c r="AY109" s="23" t="s">
        <v>86</v>
      </c>
      <c r="AZ109" s="18" t="str">
        <f t="shared" si="30"/>
        <v>Sangat baik</v>
      </c>
      <c r="BA109" s="23"/>
      <c r="BB109" s="23"/>
      <c r="BC109" s="23"/>
      <c r="BD109" s="23"/>
      <c r="BE109" s="18"/>
      <c r="BG109" s="20"/>
      <c r="BH109" s="20"/>
      <c r="BN109" s="22">
        <f t="shared" si="25"/>
        <v>0</v>
      </c>
      <c r="BP109" s="115">
        <f t="shared" si="27"/>
        <v>80.269230769230774</v>
      </c>
      <c r="BQ109" s="22">
        <f t="shared" si="31"/>
        <v>5</v>
      </c>
    </row>
    <row r="110" spans="1:69" ht="24.95" customHeight="1" thickTop="1" thickBot="1" x14ac:dyDescent="0.3">
      <c r="A110" s="23">
        <v>109</v>
      </c>
      <c r="B110" s="23">
        <v>2525690</v>
      </c>
      <c r="C110" s="23" t="s">
        <v>1068</v>
      </c>
      <c r="D110" s="18" t="s">
        <v>1069</v>
      </c>
      <c r="E110" s="23" t="s">
        <v>1070</v>
      </c>
      <c r="F110" s="23" t="s">
        <v>845</v>
      </c>
      <c r="G110" s="24" t="s">
        <v>1071</v>
      </c>
      <c r="H110" s="24" t="s">
        <v>1072</v>
      </c>
      <c r="I110" s="60" t="s">
        <v>76</v>
      </c>
      <c r="J110" s="61" t="s">
        <v>77</v>
      </c>
      <c r="K110" s="23">
        <v>76</v>
      </c>
      <c r="L110" s="23" t="str">
        <f t="shared" si="0"/>
        <v>Mencapai kompetensi dengan baik dalam hal</v>
      </c>
      <c r="M110" s="23">
        <v>76</v>
      </c>
      <c r="N110" s="23" t="str">
        <f t="shared" si="1"/>
        <v>Mencapai kompetensi dengan baik dalam hal</v>
      </c>
      <c r="O110" s="23">
        <v>75</v>
      </c>
      <c r="P110" s="23" t="str">
        <f t="shared" si="2"/>
        <v>Mencapai kompetensi dengan baik dalam hal</v>
      </c>
      <c r="Q110" s="23">
        <v>82</v>
      </c>
      <c r="R110" s="23" t="str">
        <f t="shared" si="3"/>
        <v>Mencapai kompetensi dengan baik dalam hal</v>
      </c>
      <c r="S110" s="23">
        <v>72</v>
      </c>
      <c r="T110" s="23" t="str">
        <f t="shared" si="4"/>
        <v>Perlu peningkatan dalam hal</v>
      </c>
      <c r="U110" s="23">
        <v>70</v>
      </c>
      <c r="V110" s="23" t="str">
        <f t="shared" si="5"/>
        <v>Perlu peningkatan dalam hal</v>
      </c>
      <c r="W110" s="23">
        <v>75</v>
      </c>
      <c r="X110" s="23" t="str">
        <f t="shared" si="6"/>
        <v>Mencapai kompetensi dengan baik dalam hal</v>
      </c>
      <c r="Y110" s="23">
        <v>75</v>
      </c>
      <c r="Z110" s="23" t="str">
        <f t="shared" si="7"/>
        <v>Mencapai kompetensi dengan baik dalam hal</v>
      </c>
      <c r="AA110" s="23">
        <v>75</v>
      </c>
      <c r="AB110" s="23" t="str">
        <f t="shared" si="8"/>
        <v>Mencapai kompetensi dengan baik dalam hal</v>
      </c>
      <c r="AC110" s="23">
        <v>76</v>
      </c>
      <c r="AD110" s="23" t="str">
        <f t="shared" si="9"/>
        <v>Mencapai kompetensi dengan baik dalam hal</v>
      </c>
      <c r="AE110" s="23">
        <v>75</v>
      </c>
      <c r="AF110" s="23" t="str">
        <f t="shared" si="10"/>
        <v>Mencapai kompetensi dengan baik dalam hal</v>
      </c>
      <c r="AG110" s="23">
        <v>76</v>
      </c>
      <c r="AH110" s="23" t="str">
        <f t="shared" si="11"/>
        <v>Mencapai kompetensi dengan baik dalam hal</v>
      </c>
      <c r="AI110" s="62">
        <f t="shared" si="26"/>
        <v>75.5</v>
      </c>
      <c r="AJ110" s="23">
        <v>75</v>
      </c>
      <c r="AK110" s="23" t="str">
        <f t="shared" si="12"/>
        <v>Mencapai kompetensi dengan baik dalam hal</v>
      </c>
      <c r="AL110" s="23">
        <v>75</v>
      </c>
      <c r="AM110" s="18" t="str">
        <f t="shared" si="13"/>
        <v>Mencapai kompetensi dengan baik dalam hal</v>
      </c>
      <c r="AN110" s="23">
        <v>2</v>
      </c>
      <c r="AO110" s="23" t="s">
        <v>81</v>
      </c>
      <c r="AP110" s="23" t="s">
        <v>81</v>
      </c>
      <c r="AQ110" s="23">
        <v>1</v>
      </c>
      <c r="AR110" s="23" t="s">
        <v>82</v>
      </c>
      <c r="AS110" s="18" t="s">
        <v>83</v>
      </c>
      <c r="AT110" s="23" t="s">
        <v>110</v>
      </c>
      <c r="AU110" s="18" t="str">
        <f t="shared" si="29"/>
        <v>Kurang</v>
      </c>
      <c r="AV110" s="23">
        <v>2</v>
      </c>
      <c r="AW110" s="18" t="s">
        <v>1073</v>
      </c>
      <c r="AX110" s="18" t="s">
        <v>83</v>
      </c>
      <c r="AY110" s="23" t="s">
        <v>104</v>
      </c>
      <c r="AZ110" s="18" t="str">
        <f t="shared" si="30"/>
        <v>Cukup</v>
      </c>
      <c r="BA110" s="23"/>
      <c r="BB110" s="23"/>
      <c r="BC110" s="23"/>
      <c r="BD110" s="23"/>
      <c r="BE110" s="18"/>
      <c r="BG110" s="20"/>
      <c r="BH110" s="20"/>
      <c r="BN110" s="22">
        <f t="shared" si="25"/>
        <v>2</v>
      </c>
      <c r="BP110" s="115">
        <f t="shared" si="27"/>
        <v>75.192307692307693</v>
      </c>
      <c r="BQ110" s="22">
        <f t="shared" si="31"/>
        <v>35</v>
      </c>
    </row>
    <row r="111" spans="1:69" ht="24.95" customHeight="1" thickTop="1" thickBot="1" x14ac:dyDescent="0.3">
      <c r="A111" s="23">
        <v>110</v>
      </c>
      <c r="B111" s="23">
        <v>2525691</v>
      </c>
      <c r="C111" s="23" t="s">
        <v>1074</v>
      </c>
      <c r="D111" s="18" t="s">
        <v>1075</v>
      </c>
      <c r="E111" s="23" t="s">
        <v>1070</v>
      </c>
      <c r="F111" s="23" t="s">
        <v>845</v>
      </c>
      <c r="G111" s="24" t="s">
        <v>1071</v>
      </c>
      <c r="H111" s="24" t="s">
        <v>1072</v>
      </c>
      <c r="I111" s="60" t="s">
        <v>76</v>
      </c>
      <c r="J111" s="61" t="s">
        <v>77</v>
      </c>
      <c r="K111" s="23">
        <v>80</v>
      </c>
      <c r="L111" s="23" t="str">
        <f t="shared" si="0"/>
        <v>Mencapai kompetensi dengan baik dalam hal</v>
      </c>
      <c r="M111" s="23">
        <v>78</v>
      </c>
      <c r="N111" s="23" t="str">
        <f t="shared" si="1"/>
        <v>Mencapai kompetensi dengan baik dalam hal</v>
      </c>
      <c r="O111" s="23">
        <v>76</v>
      </c>
      <c r="P111" s="23" t="str">
        <f t="shared" si="2"/>
        <v>Mencapai kompetensi dengan baik dalam hal</v>
      </c>
      <c r="Q111" s="23">
        <v>79</v>
      </c>
      <c r="R111" s="23" t="str">
        <f t="shared" si="3"/>
        <v>Mencapai kompetensi dengan baik dalam hal</v>
      </c>
      <c r="S111" s="23">
        <v>82</v>
      </c>
      <c r="T111" s="23" t="str">
        <f t="shared" si="4"/>
        <v>Mencapai kompetensi dengan baik dalam hal</v>
      </c>
      <c r="U111" s="23">
        <v>79</v>
      </c>
      <c r="V111" s="23" t="str">
        <f t="shared" si="5"/>
        <v>Mencapai kompetensi dengan baik dalam hal</v>
      </c>
      <c r="W111" s="23">
        <v>75</v>
      </c>
      <c r="X111" s="23" t="str">
        <f t="shared" si="6"/>
        <v>Mencapai kompetensi dengan baik dalam hal</v>
      </c>
      <c r="Y111" s="23">
        <v>80</v>
      </c>
      <c r="Z111" s="23" t="str">
        <f t="shared" si="7"/>
        <v>Mencapai kompetensi dengan baik dalam hal</v>
      </c>
      <c r="AA111" s="23">
        <v>82</v>
      </c>
      <c r="AB111" s="23" t="str">
        <f t="shared" si="8"/>
        <v>Mencapai kompetensi dengan baik dalam hal</v>
      </c>
      <c r="AC111" s="23">
        <v>81</v>
      </c>
      <c r="AD111" s="23" t="str">
        <f t="shared" si="9"/>
        <v>Mencapai kompetensi dengan baik dalam hal</v>
      </c>
      <c r="AE111" s="23">
        <v>76</v>
      </c>
      <c r="AF111" s="23" t="str">
        <f t="shared" si="10"/>
        <v>Mencapai kompetensi dengan baik dalam hal</v>
      </c>
      <c r="AG111" s="23">
        <v>77</v>
      </c>
      <c r="AH111" s="23" t="str">
        <f t="shared" si="11"/>
        <v>Mencapai kompetensi dengan baik dalam hal</v>
      </c>
      <c r="AI111" s="62">
        <f t="shared" si="26"/>
        <v>76.5</v>
      </c>
      <c r="AJ111" s="23">
        <v>82</v>
      </c>
      <c r="AK111" s="23" t="str">
        <f t="shared" si="12"/>
        <v>Mencapai kompetensi dengan baik dalam hal</v>
      </c>
      <c r="AL111" s="23">
        <v>79</v>
      </c>
      <c r="AM111" s="18" t="str">
        <f t="shared" si="13"/>
        <v>Mencapai kompetensi dengan baik dalam hal</v>
      </c>
      <c r="AN111" s="23">
        <v>1</v>
      </c>
      <c r="AO111" s="23" t="s">
        <v>81</v>
      </c>
      <c r="AP111" s="23" t="s">
        <v>81</v>
      </c>
      <c r="AQ111" s="23">
        <v>1</v>
      </c>
      <c r="AR111" s="23" t="s">
        <v>82</v>
      </c>
      <c r="AS111" s="18" t="s">
        <v>83</v>
      </c>
      <c r="AT111" s="23" t="s">
        <v>86</v>
      </c>
      <c r="AU111" s="18" t="str">
        <f t="shared" si="29"/>
        <v>Sangat baik</v>
      </c>
      <c r="AV111" s="23">
        <v>2</v>
      </c>
      <c r="AW111" s="18" t="s">
        <v>99</v>
      </c>
      <c r="AX111" s="18" t="s">
        <v>83</v>
      </c>
      <c r="AY111" s="23" t="s">
        <v>84</v>
      </c>
      <c r="AZ111" s="18" t="str">
        <f t="shared" si="30"/>
        <v>Baik</v>
      </c>
      <c r="BA111" s="23"/>
      <c r="BB111" s="23"/>
      <c r="BC111" s="23"/>
      <c r="BD111" s="23"/>
      <c r="BE111" s="18"/>
      <c r="BG111" s="20"/>
      <c r="BH111" s="20"/>
      <c r="BN111" s="22">
        <f t="shared" si="25"/>
        <v>0</v>
      </c>
      <c r="BP111" s="115">
        <f t="shared" si="27"/>
        <v>79.192307692307693</v>
      </c>
      <c r="BQ111" s="22">
        <f t="shared" si="31"/>
        <v>9</v>
      </c>
    </row>
    <row r="112" spans="1:69" ht="24.95" customHeight="1" thickTop="1" thickBot="1" x14ac:dyDescent="0.3">
      <c r="A112" s="23">
        <v>111</v>
      </c>
      <c r="B112" s="23">
        <v>2525692</v>
      </c>
      <c r="C112" s="23" t="s">
        <v>1076</v>
      </c>
      <c r="D112" s="18" t="s">
        <v>1077</v>
      </c>
      <c r="E112" s="23" t="s">
        <v>1070</v>
      </c>
      <c r="F112" s="23" t="s">
        <v>845</v>
      </c>
      <c r="G112" s="24" t="s">
        <v>1071</v>
      </c>
      <c r="H112" s="24" t="s">
        <v>1072</v>
      </c>
      <c r="I112" s="60" t="s">
        <v>76</v>
      </c>
      <c r="J112" s="61" t="s">
        <v>77</v>
      </c>
      <c r="K112" s="23">
        <v>80</v>
      </c>
      <c r="L112" s="23" t="str">
        <f t="shared" si="0"/>
        <v>Mencapai kompetensi dengan baik dalam hal</v>
      </c>
      <c r="M112" s="23">
        <v>76</v>
      </c>
      <c r="N112" s="23" t="str">
        <f t="shared" si="1"/>
        <v>Mencapai kompetensi dengan baik dalam hal</v>
      </c>
      <c r="O112" s="23">
        <v>75</v>
      </c>
      <c r="P112" s="23" t="str">
        <f t="shared" si="2"/>
        <v>Mencapai kompetensi dengan baik dalam hal</v>
      </c>
      <c r="Q112" s="23">
        <v>80</v>
      </c>
      <c r="R112" s="23" t="str">
        <f t="shared" si="3"/>
        <v>Mencapai kompetensi dengan baik dalam hal</v>
      </c>
      <c r="S112" s="23">
        <v>75</v>
      </c>
      <c r="T112" s="23" t="str">
        <f t="shared" si="4"/>
        <v>Mencapai kompetensi dengan baik dalam hal</v>
      </c>
      <c r="U112" s="23">
        <v>75</v>
      </c>
      <c r="V112" s="23" t="str">
        <f t="shared" si="5"/>
        <v>Mencapai kompetensi dengan baik dalam hal</v>
      </c>
      <c r="W112" s="23">
        <v>75</v>
      </c>
      <c r="X112" s="23" t="str">
        <f t="shared" si="6"/>
        <v>Mencapai kompetensi dengan baik dalam hal</v>
      </c>
      <c r="Y112" s="23">
        <v>76</v>
      </c>
      <c r="Z112" s="23" t="str">
        <f t="shared" si="7"/>
        <v>Mencapai kompetensi dengan baik dalam hal</v>
      </c>
      <c r="AA112" s="23">
        <v>76</v>
      </c>
      <c r="AB112" s="23" t="str">
        <f t="shared" si="8"/>
        <v>Mencapai kompetensi dengan baik dalam hal</v>
      </c>
      <c r="AC112" s="23">
        <v>76</v>
      </c>
      <c r="AD112" s="23" t="str">
        <f t="shared" si="9"/>
        <v>Mencapai kompetensi dengan baik dalam hal</v>
      </c>
      <c r="AE112" s="23">
        <v>76</v>
      </c>
      <c r="AF112" s="23" t="str">
        <f t="shared" si="10"/>
        <v>Mencapai kompetensi dengan baik dalam hal</v>
      </c>
      <c r="AG112" s="23">
        <v>77</v>
      </c>
      <c r="AH112" s="23" t="str">
        <f t="shared" si="11"/>
        <v>Mencapai kompetensi dengan baik dalam hal</v>
      </c>
      <c r="AI112" s="62">
        <f t="shared" si="26"/>
        <v>76.5</v>
      </c>
      <c r="AJ112" s="23">
        <v>76</v>
      </c>
      <c r="AK112" s="23" t="str">
        <f t="shared" si="12"/>
        <v>Mencapai kompetensi dengan baik dalam hal</v>
      </c>
      <c r="AL112" s="23">
        <v>78</v>
      </c>
      <c r="AM112" s="18" t="str">
        <f t="shared" si="13"/>
        <v>Mencapai kompetensi dengan baik dalam hal</v>
      </c>
      <c r="AN112" s="23">
        <v>1</v>
      </c>
      <c r="AO112" s="23" t="s">
        <v>81</v>
      </c>
      <c r="AP112" s="23" t="s">
        <v>81</v>
      </c>
      <c r="AQ112" s="23">
        <v>1</v>
      </c>
      <c r="AR112" s="23" t="s">
        <v>82</v>
      </c>
      <c r="AS112" s="18" t="s">
        <v>83</v>
      </c>
      <c r="AT112" s="23" t="s">
        <v>84</v>
      </c>
      <c r="AU112" s="18" t="str">
        <f t="shared" si="29"/>
        <v>Baik</v>
      </c>
      <c r="AV112" s="23">
        <v>2</v>
      </c>
      <c r="AW112" s="18" t="s">
        <v>125</v>
      </c>
      <c r="AX112" s="18" t="s">
        <v>83</v>
      </c>
      <c r="AY112" s="23" t="s">
        <v>104</v>
      </c>
      <c r="AZ112" s="18" t="str">
        <f t="shared" si="30"/>
        <v>Cukup</v>
      </c>
      <c r="BA112" s="23"/>
      <c r="BB112" s="23"/>
      <c r="BC112" s="23"/>
      <c r="BD112" s="23"/>
      <c r="BE112" s="18"/>
      <c r="BG112" s="20"/>
      <c r="BH112" s="20"/>
      <c r="BN112" s="22">
        <f t="shared" si="25"/>
        <v>0</v>
      </c>
      <c r="BP112" s="115">
        <f t="shared" si="27"/>
        <v>76.5</v>
      </c>
      <c r="BQ112" s="22">
        <f t="shared" si="31"/>
        <v>24</v>
      </c>
    </row>
    <row r="113" spans="1:69" ht="24.95" customHeight="1" thickTop="1" thickBot="1" x14ac:dyDescent="0.3">
      <c r="A113" s="23">
        <v>112</v>
      </c>
      <c r="B113" s="23">
        <v>2525693</v>
      </c>
      <c r="C113" s="23" t="s">
        <v>1078</v>
      </c>
      <c r="D113" s="18" t="s">
        <v>1079</v>
      </c>
      <c r="E113" s="23" t="s">
        <v>1070</v>
      </c>
      <c r="F113" s="23" t="s">
        <v>845</v>
      </c>
      <c r="G113" s="24" t="s">
        <v>1071</v>
      </c>
      <c r="H113" s="24" t="s">
        <v>1072</v>
      </c>
      <c r="I113" s="60" t="s">
        <v>76</v>
      </c>
      <c r="J113" s="61" t="s">
        <v>77</v>
      </c>
      <c r="K113" s="23">
        <v>76</v>
      </c>
      <c r="L113" s="23" t="str">
        <f t="shared" si="0"/>
        <v>Mencapai kompetensi dengan baik dalam hal</v>
      </c>
      <c r="M113" s="23">
        <v>76</v>
      </c>
      <c r="N113" s="23" t="str">
        <f t="shared" si="1"/>
        <v>Mencapai kompetensi dengan baik dalam hal</v>
      </c>
      <c r="O113" s="23">
        <v>75</v>
      </c>
      <c r="P113" s="23" t="str">
        <f t="shared" si="2"/>
        <v>Mencapai kompetensi dengan baik dalam hal</v>
      </c>
      <c r="Q113" s="23">
        <v>82</v>
      </c>
      <c r="R113" s="23" t="str">
        <f t="shared" si="3"/>
        <v>Mencapai kompetensi dengan baik dalam hal</v>
      </c>
      <c r="S113" s="23">
        <v>73</v>
      </c>
      <c r="T113" s="23" t="str">
        <f t="shared" si="4"/>
        <v>Perlu peningkatan dalam hal</v>
      </c>
      <c r="U113" s="23">
        <v>70</v>
      </c>
      <c r="V113" s="23" t="str">
        <f t="shared" si="5"/>
        <v>Perlu peningkatan dalam hal</v>
      </c>
      <c r="W113" s="23">
        <v>72</v>
      </c>
      <c r="X113" s="23" t="str">
        <f t="shared" si="6"/>
        <v>Perlu peningkatan dalam hal</v>
      </c>
      <c r="Y113" s="23">
        <v>77</v>
      </c>
      <c r="Z113" s="23" t="str">
        <f t="shared" si="7"/>
        <v>Mencapai kompetensi dengan baik dalam hal</v>
      </c>
      <c r="AA113" s="23">
        <v>75</v>
      </c>
      <c r="AB113" s="23" t="str">
        <f t="shared" si="8"/>
        <v>Mencapai kompetensi dengan baik dalam hal</v>
      </c>
      <c r="AC113" s="23">
        <v>75</v>
      </c>
      <c r="AD113" s="23" t="str">
        <f t="shared" si="9"/>
        <v>Mencapai kompetensi dengan baik dalam hal</v>
      </c>
      <c r="AE113" s="23">
        <v>77</v>
      </c>
      <c r="AF113" s="23" t="str">
        <f t="shared" si="10"/>
        <v>Mencapai kompetensi dengan baik dalam hal</v>
      </c>
      <c r="AG113" s="23">
        <v>78</v>
      </c>
      <c r="AH113" s="23" t="str">
        <f t="shared" si="11"/>
        <v>Mencapai kompetensi dengan baik dalam hal</v>
      </c>
      <c r="AI113" s="62">
        <f t="shared" si="26"/>
        <v>77.5</v>
      </c>
      <c r="AJ113" s="23">
        <v>75</v>
      </c>
      <c r="AK113" s="23" t="str">
        <f t="shared" si="12"/>
        <v>Mencapai kompetensi dengan baik dalam hal</v>
      </c>
      <c r="AL113" s="23">
        <v>76</v>
      </c>
      <c r="AM113" s="18" t="str">
        <f t="shared" si="13"/>
        <v>Mencapai kompetensi dengan baik dalam hal</v>
      </c>
      <c r="AN113" s="23">
        <v>2</v>
      </c>
      <c r="AO113" s="23" t="s">
        <v>81</v>
      </c>
      <c r="AP113" s="23" t="s">
        <v>81</v>
      </c>
      <c r="AQ113" s="23">
        <v>1</v>
      </c>
      <c r="AR113" s="23" t="s">
        <v>82</v>
      </c>
      <c r="AS113" s="18" t="s">
        <v>83</v>
      </c>
      <c r="AT113" s="23" t="s">
        <v>110</v>
      </c>
      <c r="AU113" s="18" t="str">
        <f t="shared" si="29"/>
        <v>Kurang</v>
      </c>
      <c r="AV113" s="23">
        <v>2</v>
      </c>
      <c r="AW113" s="18" t="s">
        <v>170</v>
      </c>
      <c r="AX113" s="18" t="s">
        <v>83</v>
      </c>
      <c r="AY113" s="23" t="s">
        <v>110</v>
      </c>
      <c r="AZ113" s="18" t="str">
        <f t="shared" si="30"/>
        <v>Kurang</v>
      </c>
      <c r="BA113" s="23"/>
      <c r="BB113" s="23"/>
      <c r="BC113" s="23"/>
      <c r="BD113" s="23"/>
      <c r="BE113" s="18"/>
      <c r="BG113" s="20"/>
      <c r="BH113" s="20"/>
      <c r="BN113" s="22">
        <f t="shared" si="25"/>
        <v>3</v>
      </c>
      <c r="BP113" s="115">
        <f t="shared" si="27"/>
        <v>75.34615384615384</v>
      </c>
      <c r="BQ113" s="22">
        <f t="shared" si="31"/>
        <v>33</v>
      </c>
    </row>
    <row r="114" spans="1:69" ht="24.95" customHeight="1" thickTop="1" thickBot="1" x14ac:dyDescent="0.3">
      <c r="A114" s="23">
        <v>113</v>
      </c>
      <c r="B114" s="23">
        <v>2525694</v>
      </c>
      <c r="C114" s="23" t="s">
        <v>1080</v>
      </c>
      <c r="D114" s="18" t="s">
        <v>1081</v>
      </c>
      <c r="E114" s="23" t="s">
        <v>1070</v>
      </c>
      <c r="F114" s="23" t="s">
        <v>845</v>
      </c>
      <c r="G114" s="24" t="s">
        <v>1071</v>
      </c>
      <c r="H114" s="24" t="s">
        <v>1072</v>
      </c>
      <c r="I114" s="60" t="s">
        <v>76</v>
      </c>
      <c r="J114" s="61" t="s">
        <v>77</v>
      </c>
      <c r="K114" s="23">
        <v>79</v>
      </c>
      <c r="L114" s="23" t="str">
        <f t="shared" si="0"/>
        <v>Mencapai kompetensi dengan baik dalam hal</v>
      </c>
      <c r="M114" s="23">
        <v>76</v>
      </c>
      <c r="N114" s="23" t="str">
        <f t="shared" si="1"/>
        <v>Mencapai kompetensi dengan baik dalam hal</v>
      </c>
      <c r="O114" s="23">
        <v>76</v>
      </c>
      <c r="P114" s="23" t="str">
        <f t="shared" si="2"/>
        <v>Mencapai kompetensi dengan baik dalam hal</v>
      </c>
      <c r="Q114" s="23">
        <v>79</v>
      </c>
      <c r="R114" s="23" t="str">
        <f t="shared" si="3"/>
        <v>Mencapai kompetensi dengan baik dalam hal</v>
      </c>
      <c r="S114" s="23">
        <v>82</v>
      </c>
      <c r="T114" s="23" t="str">
        <f t="shared" si="4"/>
        <v>Mencapai kompetensi dengan baik dalam hal</v>
      </c>
      <c r="U114" s="23">
        <v>82</v>
      </c>
      <c r="V114" s="23" t="str">
        <f t="shared" si="5"/>
        <v>Mencapai kompetensi dengan baik dalam hal</v>
      </c>
      <c r="W114" s="23">
        <v>76</v>
      </c>
      <c r="X114" s="23" t="str">
        <f t="shared" si="6"/>
        <v>Mencapai kompetensi dengan baik dalam hal</v>
      </c>
      <c r="Y114" s="23">
        <v>79</v>
      </c>
      <c r="Z114" s="23" t="str">
        <f t="shared" si="7"/>
        <v>Mencapai kompetensi dengan baik dalam hal</v>
      </c>
      <c r="AA114" s="23">
        <v>84</v>
      </c>
      <c r="AB114" s="23" t="str">
        <f t="shared" si="8"/>
        <v>Mencapai kompetensi dengan baik dalam hal</v>
      </c>
      <c r="AC114" s="23">
        <v>82</v>
      </c>
      <c r="AD114" s="23" t="str">
        <f t="shared" si="9"/>
        <v>Mencapai kompetensi dengan baik dalam hal</v>
      </c>
      <c r="AE114" s="23">
        <v>77</v>
      </c>
      <c r="AF114" s="23" t="str">
        <f t="shared" si="10"/>
        <v>Mencapai kompetensi dengan baik dalam hal</v>
      </c>
      <c r="AG114" s="23">
        <v>78</v>
      </c>
      <c r="AH114" s="23" t="str">
        <f t="shared" si="11"/>
        <v>Mencapai kompetensi dengan baik dalam hal</v>
      </c>
      <c r="AI114" s="62">
        <f t="shared" si="26"/>
        <v>77.5</v>
      </c>
      <c r="AJ114" s="23">
        <v>84</v>
      </c>
      <c r="AK114" s="23" t="str">
        <f t="shared" si="12"/>
        <v>Mencapai kompetensi dengan baik dalam hal</v>
      </c>
      <c r="AL114" s="23">
        <v>79</v>
      </c>
      <c r="AM114" s="18" t="str">
        <f t="shared" si="13"/>
        <v>Mencapai kompetensi dengan baik dalam hal</v>
      </c>
      <c r="AN114" s="23" t="s">
        <v>81</v>
      </c>
      <c r="AO114" s="23" t="s">
        <v>81</v>
      </c>
      <c r="AP114" s="23" t="s">
        <v>81</v>
      </c>
      <c r="AQ114" s="23">
        <v>1</v>
      </c>
      <c r="AR114" s="23" t="s">
        <v>82</v>
      </c>
      <c r="AS114" s="18" t="s">
        <v>83</v>
      </c>
      <c r="AT114" s="23" t="s">
        <v>86</v>
      </c>
      <c r="AU114" s="18" t="str">
        <f t="shared" si="29"/>
        <v>Sangat baik</v>
      </c>
      <c r="AV114" s="23">
        <v>2</v>
      </c>
      <c r="AW114" s="18" t="s">
        <v>108</v>
      </c>
      <c r="AX114" s="18" t="s">
        <v>83</v>
      </c>
      <c r="AY114" s="23" t="s">
        <v>86</v>
      </c>
      <c r="AZ114" s="18" t="str">
        <f t="shared" si="30"/>
        <v>Sangat baik</v>
      </c>
      <c r="BA114" s="23"/>
      <c r="BB114" s="23"/>
      <c r="BC114" s="23"/>
      <c r="BD114" s="23"/>
      <c r="BE114" s="18"/>
      <c r="BG114" s="20"/>
      <c r="BH114" s="20"/>
      <c r="BN114" s="22">
        <f t="shared" si="25"/>
        <v>0</v>
      </c>
      <c r="BP114" s="115">
        <f t="shared" si="27"/>
        <v>79.65384615384616</v>
      </c>
      <c r="BQ114" s="22">
        <f t="shared" si="31"/>
        <v>7</v>
      </c>
    </row>
    <row r="115" spans="1:69" ht="24.95" customHeight="1" thickTop="1" thickBot="1" x14ac:dyDescent="0.3">
      <c r="A115" s="23">
        <v>114</v>
      </c>
      <c r="B115" s="23">
        <v>2525695</v>
      </c>
      <c r="C115" s="23" t="s">
        <v>1082</v>
      </c>
      <c r="D115" s="18" t="s">
        <v>1083</v>
      </c>
      <c r="E115" s="23" t="s">
        <v>1070</v>
      </c>
      <c r="F115" s="23" t="s">
        <v>845</v>
      </c>
      <c r="G115" s="24" t="s">
        <v>1071</v>
      </c>
      <c r="H115" s="24" t="s">
        <v>1072</v>
      </c>
      <c r="I115" s="60" t="s">
        <v>76</v>
      </c>
      <c r="J115" s="61" t="s">
        <v>77</v>
      </c>
      <c r="K115" s="23">
        <v>80</v>
      </c>
      <c r="L115" s="23" t="str">
        <f t="shared" si="0"/>
        <v>Mencapai kompetensi dengan baik dalam hal</v>
      </c>
      <c r="M115" s="23">
        <v>76</v>
      </c>
      <c r="N115" s="23" t="str">
        <f t="shared" si="1"/>
        <v>Mencapai kompetensi dengan baik dalam hal</v>
      </c>
      <c r="O115" s="23">
        <v>76</v>
      </c>
      <c r="P115" s="23" t="str">
        <f t="shared" si="2"/>
        <v>Mencapai kompetensi dengan baik dalam hal</v>
      </c>
      <c r="Q115" s="23">
        <v>80</v>
      </c>
      <c r="R115" s="23" t="str">
        <f t="shared" si="3"/>
        <v>Mencapai kompetensi dengan baik dalam hal</v>
      </c>
      <c r="S115" s="23">
        <v>80</v>
      </c>
      <c r="T115" s="23" t="str">
        <f t="shared" si="4"/>
        <v>Mencapai kompetensi dengan baik dalam hal</v>
      </c>
      <c r="U115" s="23">
        <v>79</v>
      </c>
      <c r="V115" s="23" t="str">
        <f t="shared" si="5"/>
        <v>Mencapai kompetensi dengan baik dalam hal</v>
      </c>
      <c r="W115" s="23">
        <v>77</v>
      </c>
      <c r="X115" s="23" t="str">
        <f t="shared" si="6"/>
        <v>Mencapai kompetensi dengan baik dalam hal</v>
      </c>
      <c r="Y115" s="23">
        <v>78</v>
      </c>
      <c r="Z115" s="23" t="str">
        <f t="shared" si="7"/>
        <v>Mencapai kompetensi dengan baik dalam hal</v>
      </c>
      <c r="AA115" s="23">
        <v>85</v>
      </c>
      <c r="AB115" s="23" t="str">
        <f t="shared" si="8"/>
        <v>Mencapai kompetensi dengan baik dalam hal</v>
      </c>
      <c r="AC115" s="23">
        <v>77</v>
      </c>
      <c r="AD115" s="23" t="str">
        <f t="shared" si="9"/>
        <v>Mencapai kompetensi dengan baik dalam hal</v>
      </c>
      <c r="AE115" s="23">
        <v>76</v>
      </c>
      <c r="AF115" s="23" t="str">
        <f t="shared" si="10"/>
        <v>Mencapai kompetensi dengan baik dalam hal</v>
      </c>
      <c r="AG115" s="23">
        <v>77</v>
      </c>
      <c r="AH115" s="23" t="str">
        <f t="shared" si="11"/>
        <v>Mencapai kompetensi dengan baik dalam hal</v>
      </c>
      <c r="AI115" s="62">
        <f t="shared" si="26"/>
        <v>76.5</v>
      </c>
      <c r="AJ115" s="23">
        <v>85</v>
      </c>
      <c r="AK115" s="23" t="str">
        <f t="shared" si="12"/>
        <v>Mencapai kompetensi dengan baik dalam hal</v>
      </c>
      <c r="AL115" s="23">
        <v>79</v>
      </c>
      <c r="AM115" s="18" t="str">
        <f t="shared" si="13"/>
        <v>Mencapai kompetensi dengan baik dalam hal</v>
      </c>
      <c r="AN115" s="23">
        <v>1</v>
      </c>
      <c r="AO115" s="23">
        <v>1</v>
      </c>
      <c r="AP115" s="23" t="s">
        <v>81</v>
      </c>
      <c r="AQ115" s="23">
        <v>1</v>
      </c>
      <c r="AR115" s="23" t="s">
        <v>82</v>
      </c>
      <c r="AS115" s="18" t="s">
        <v>83</v>
      </c>
      <c r="AT115" s="23" t="s">
        <v>84</v>
      </c>
      <c r="AU115" s="18" t="str">
        <f t="shared" si="29"/>
        <v>Baik</v>
      </c>
      <c r="AV115" s="23">
        <v>2</v>
      </c>
      <c r="AW115" s="18" t="s">
        <v>108</v>
      </c>
      <c r="AX115" s="18" t="s">
        <v>83</v>
      </c>
      <c r="AY115" s="23" t="s">
        <v>86</v>
      </c>
      <c r="AZ115" s="18" t="str">
        <f t="shared" si="30"/>
        <v>Sangat baik</v>
      </c>
      <c r="BA115" s="23"/>
      <c r="BB115" s="23"/>
      <c r="BC115" s="23"/>
      <c r="BD115" s="23"/>
      <c r="BE115" s="18"/>
      <c r="BG115" s="20"/>
      <c r="BH115" s="20"/>
      <c r="BN115" s="22">
        <f t="shared" si="25"/>
        <v>0</v>
      </c>
      <c r="BP115" s="115">
        <f t="shared" si="27"/>
        <v>79.115384615384613</v>
      </c>
      <c r="BQ115" s="22">
        <f t="shared" si="31"/>
        <v>10</v>
      </c>
    </row>
    <row r="116" spans="1:69" ht="24.95" customHeight="1" thickTop="1" thickBot="1" x14ac:dyDescent="0.3">
      <c r="A116" s="23">
        <v>115</v>
      </c>
      <c r="B116" s="23">
        <v>2525696</v>
      </c>
      <c r="C116" s="23" t="s">
        <v>1084</v>
      </c>
      <c r="D116" s="18" t="s">
        <v>1085</v>
      </c>
      <c r="E116" s="23" t="s">
        <v>1070</v>
      </c>
      <c r="F116" s="23" t="s">
        <v>845</v>
      </c>
      <c r="G116" s="24" t="s">
        <v>1071</v>
      </c>
      <c r="H116" s="24" t="s">
        <v>1072</v>
      </c>
      <c r="I116" s="60" t="s">
        <v>76</v>
      </c>
      <c r="J116" s="61" t="s">
        <v>77</v>
      </c>
      <c r="K116" s="23">
        <v>80</v>
      </c>
      <c r="L116" s="23" t="str">
        <f t="shared" si="0"/>
        <v>Mencapai kompetensi dengan baik dalam hal</v>
      </c>
      <c r="M116" s="23">
        <v>76</v>
      </c>
      <c r="N116" s="23" t="str">
        <f t="shared" si="1"/>
        <v>Mencapai kompetensi dengan baik dalam hal</v>
      </c>
      <c r="O116" s="23">
        <v>76</v>
      </c>
      <c r="P116" s="23" t="str">
        <f t="shared" si="2"/>
        <v>Mencapai kompetensi dengan baik dalam hal</v>
      </c>
      <c r="Q116" s="23">
        <v>82</v>
      </c>
      <c r="R116" s="23" t="str">
        <f t="shared" si="3"/>
        <v>Mencapai kompetensi dengan baik dalam hal</v>
      </c>
      <c r="S116" s="23">
        <v>78</v>
      </c>
      <c r="T116" s="23" t="str">
        <f t="shared" si="4"/>
        <v>Mencapai kompetensi dengan baik dalam hal</v>
      </c>
      <c r="U116" s="23">
        <v>80</v>
      </c>
      <c r="V116" s="23" t="str">
        <f t="shared" si="5"/>
        <v>Mencapai kompetensi dengan baik dalam hal</v>
      </c>
      <c r="W116" s="23">
        <v>75</v>
      </c>
      <c r="X116" s="23" t="str">
        <f t="shared" si="6"/>
        <v>Mencapai kompetensi dengan baik dalam hal</v>
      </c>
      <c r="Y116" s="23">
        <v>78</v>
      </c>
      <c r="Z116" s="23" t="str">
        <f t="shared" si="7"/>
        <v>Mencapai kompetensi dengan baik dalam hal</v>
      </c>
      <c r="AA116" s="23">
        <v>84</v>
      </c>
      <c r="AB116" s="23" t="str">
        <f t="shared" si="8"/>
        <v>Mencapai kompetensi dengan baik dalam hal</v>
      </c>
      <c r="AC116" s="23">
        <v>81</v>
      </c>
      <c r="AD116" s="23" t="str">
        <f t="shared" si="9"/>
        <v>Mencapai kompetensi dengan baik dalam hal</v>
      </c>
      <c r="AE116" s="23">
        <v>79</v>
      </c>
      <c r="AF116" s="23" t="str">
        <f t="shared" si="10"/>
        <v>Mencapai kompetensi dengan baik dalam hal</v>
      </c>
      <c r="AG116" s="23">
        <v>80</v>
      </c>
      <c r="AH116" s="23" t="str">
        <f t="shared" si="11"/>
        <v>Mencapai kompetensi dengan baik dalam hal</v>
      </c>
      <c r="AI116" s="62">
        <f t="shared" si="26"/>
        <v>79.5</v>
      </c>
      <c r="AJ116" s="23">
        <v>84</v>
      </c>
      <c r="AK116" s="23" t="str">
        <f t="shared" si="12"/>
        <v>Mencapai kompetensi dengan baik dalam hal</v>
      </c>
      <c r="AL116" s="23">
        <v>77</v>
      </c>
      <c r="AM116" s="18" t="str">
        <f t="shared" si="13"/>
        <v>Mencapai kompetensi dengan baik dalam hal</v>
      </c>
      <c r="AN116" s="23" t="s">
        <v>81</v>
      </c>
      <c r="AO116" s="23" t="s">
        <v>81</v>
      </c>
      <c r="AP116" s="23" t="s">
        <v>81</v>
      </c>
      <c r="AQ116" s="23">
        <v>1</v>
      </c>
      <c r="AR116" s="23" t="s">
        <v>82</v>
      </c>
      <c r="AS116" s="18" t="s">
        <v>83</v>
      </c>
      <c r="AT116" s="23" t="s">
        <v>84</v>
      </c>
      <c r="AU116" s="18" t="str">
        <f t="shared" si="29"/>
        <v>Baik</v>
      </c>
      <c r="AV116" s="23">
        <v>2</v>
      </c>
      <c r="AW116" s="18" t="s">
        <v>99</v>
      </c>
      <c r="AX116" s="18" t="s">
        <v>83</v>
      </c>
      <c r="AY116" s="23" t="s">
        <v>84</v>
      </c>
      <c r="AZ116" s="18" t="str">
        <f t="shared" si="30"/>
        <v>Baik</v>
      </c>
      <c r="BA116" s="23"/>
      <c r="BB116" s="23"/>
      <c r="BC116" s="23"/>
      <c r="BD116" s="23"/>
      <c r="BE116" s="18"/>
      <c r="BG116" s="20"/>
      <c r="BH116" s="20"/>
      <c r="BN116" s="22">
        <f t="shared" si="25"/>
        <v>0</v>
      </c>
      <c r="BP116" s="115">
        <f t="shared" si="27"/>
        <v>79.269230769230774</v>
      </c>
      <c r="BQ116" s="22">
        <f t="shared" si="31"/>
        <v>8</v>
      </c>
    </row>
    <row r="117" spans="1:69" ht="24.95" customHeight="1" thickTop="1" thickBot="1" x14ac:dyDescent="0.3">
      <c r="A117" s="23">
        <v>116</v>
      </c>
      <c r="B117" s="23">
        <v>2525697</v>
      </c>
      <c r="C117" s="23" t="s">
        <v>1086</v>
      </c>
      <c r="D117" s="18" t="s">
        <v>1087</v>
      </c>
      <c r="E117" s="23" t="s">
        <v>1070</v>
      </c>
      <c r="F117" s="23" t="s">
        <v>845</v>
      </c>
      <c r="G117" s="24" t="s">
        <v>1071</v>
      </c>
      <c r="H117" s="24" t="s">
        <v>1072</v>
      </c>
      <c r="I117" s="60" t="s">
        <v>76</v>
      </c>
      <c r="J117" s="61" t="s">
        <v>77</v>
      </c>
      <c r="K117" s="23">
        <v>79</v>
      </c>
      <c r="L117" s="23" t="str">
        <f t="shared" si="0"/>
        <v>Mencapai kompetensi dengan baik dalam hal</v>
      </c>
      <c r="M117" s="23">
        <v>75</v>
      </c>
      <c r="N117" s="23" t="str">
        <f t="shared" si="1"/>
        <v>Mencapai kompetensi dengan baik dalam hal</v>
      </c>
      <c r="O117" s="23">
        <v>76</v>
      </c>
      <c r="P117" s="23" t="str">
        <f t="shared" si="2"/>
        <v>Mencapai kompetensi dengan baik dalam hal</v>
      </c>
      <c r="Q117" s="23">
        <v>79</v>
      </c>
      <c r="R117" s="23" t="str">
        <f t="shared" si="3"/>
        <v>Mencapai kompetensi dengan baik dalam hal</v>
      </c>
      <c r="S117" s="23">
        <v>81</v>
      </c>
      <c r="T117" s="23" t="str">
        <f t="shared" si="4"/>
        <v>Mencapai kompetensi dengan baik dalam hal</v>
      </c>
      <c r="U117" s="23">
        <v>75</v>
      </c>
      <c r="V117" s="23" t="str">
        <f t="shared" si="5"/>
        <v>Mencapai kompetensi dengan baik dalam hal</v>
      </c>
      <c r="W117" s="23">
        <v>75</v>
      </c>
      <c r="X117" s="23" t="str">
        <f t="shared" si="6"/>
        <v>Mencapai kompetensi dengan baik dalam hal</v>
      </c>
      <c r="Y117" s="23">
        <v>76</v>
      </c>
      <c r="Z117" s="23" t="str">
        <f t="shared" si="7"/>
        <v>Mencapai kompetensi dengan baik dalam hal</v>
      </c>
      <c r="AA117" s="23">
        <v>85</v>
      </c>
      <c r="AB117" s="23" t="str">
        <f t="shared" si="8"/>
        <v>Mencapai kompetensi dengan baik dalam hal</v>
      </c>
      <c r="AC117" s="23">
        <v>80</v>
      </c>
      <c r="AD117" s="23" t="str">
        <f t="shared" si="9"/>
        <v>Mencapai kompetensi dengan baik dalam hal</v>
      </c>
      <c r="AE117" s="23">
        <v>76</v>
      </c>
      <c r="AF117" s="23" t="str">
        <f t="shared" si="10"/>
        <v>Mencapai kompetensi dengan baik dalam hal</v>
      </c>
      <c r="AG117" s="23">
        <v>77</v>
      </c>
      <c r="AH117" s="23" t="str">
        <f t="shared" si="11"/>
        <v>Mencapai kompetensi dengan baik dalam hal</v>
      </c>
      <c r="AI117" s="62">
        <f t="shared" si="26"/>
        <v>76.5</v>
      </c>
      <c r="AJ117" s="23">
        <v>85</v>
      </c>
      <c r="AK117" s="23" t="str">
        <f t="shared" si="12"/>
        <v>Mencapai kompetensi dengan baik dalam hal</v>
      </c>
      <c r="AL117" s="23">
        <v>78</v>
      </c>
      <c r="AM117" s="18" t="str">
        <f t="shared" si="13"/>
        <v>Mencapai kompetensi dengan baik dalam hal</v>
      </c>
      <c r="AN117" s="23" t="s">
        <v>81</v>
      </c>
      <c r="AO117" s="23" t="s">
        <v>81</v>
      </c>
      <c r="AP117" s="23">
        <v>2</v>
      </c>
      <c r="AQ117" s="23">
        <v>1</v>
      </c>
      <c r="AR117" s="23" t="s">
        <v>82</v>
      </c>
      <c r="AS117" s="18" t="s">
        <v>83</v>
      </c>
      <c r="AT117" s="23" t="s">
        <v>84</v>
      </c>
      <c r="AU117" s="18" t="str">
        <f t="shared" si="29"/>
        <v>Baik</v>
      </c>
      <c r="AV117" s="23">
        <v>2</v>
      </c>
      <c r="AW117" s="18" t="s">
        <v>125</v>
      </c>
      <c r="AX117" s="18" t="s">
        <v>83</v>
      </c>
      <c r="AY117" s="23" t="s">
        <v>104</v>
      </c>
      <c r="AZ117" s="18" t="str">
        <f t="shared" si="30"/>
        <v>Cukup</v>
      </c>
      <c r="BA117" s="23"/>
      <c r="BB117" s="23"/>
      <c r="BC117" s="23"/>
      <c r="BD117" s="23"/>
      <c r="BE117" s="18"/>
      <c r="BG117" s="20"/>
      <c r="BH117" s="20"/>
      <c r="BN117" s="22">
        <f t="shared" si="25"/>
        <v>0</v>
      </c>
      <c r="BP117" s="115">
        <f t="shared" si="27"/>
        <v>78.5</v>
      </c>
      <c r="BQ117" s="22">
        <f t="shared" si="31"/>
        <v>14</v>
      </c>
    </row>
    <row r="118" spans="1:69" ht="24.95" customHeight="1" thickTop="1" thickBot="1" x14ac:dyDescent="0.3">
      <c r="A118" s="23">
        <v>117</v>
      </c>
      <c r="B118" s="23">
        <v>2525698</v>
      </c>
      <c r="C118" s="23" t="s">
        <v>1088</v>
      </c>
      <c r="D118" s="18" t="s">
        <v>1089</v>
      </c>
      <c r="E118" s="23" t="s">
        <v>1070</v>
      </c>
      <c r="F118" s="23" t="s">
        <v>845</v>
      </c>
      <c r="G118" s="24" t="s">
        <v>1071</v>
      </c>
      <c r="H118" s="24" t="s">
        <v>1072</v>
      </c>
      <c r="I118" s="60" t="s">
        <v>76</v>
      </c>
      <c r="J118" s="61" t="s">
        <v>77</v>
      </c>
      <c r="K118" s="23">
        <v>79</v>
      </c>
      <c r="L118" s="23" t="str">
        <f t="shared" si="0"/>
        <v>Mencapai kompetensi dengan baik dalam hal</v>
      </c>
      <c r="M118" s="23">
        <v>76</v>
      </c>
      <c r="N118" s="23" t="str">
        <f t="shared" si="1"/>
        <v>Mencapai kompetensi dengan baik dalam hal</v>
      </c>
      <c r="O118" s="23">
        <v>75</v>
      </c>
      <c r="P118" s="23" t="str">
        <f t="shared" si="2"/>
        <v>Mencapai kompetensi dengan baik dalam hal</v>
      </c>
      <c r="Q118" s="23">
        <v>80</v>
      </c>
      <c r="R118" s="23" t="str">
        <f t="shared" si="3"/>
        <v>Mencapai kompetensi dengan baik dalam hal</v>
      </c>
      <c r="S118" s="23">
        <v>71</v>
      </c>
      <c r="T118" s="23" t="str">
        <f t="shared" si="4"/>
        <v>Perlu peningkatan dalam hal</v>
      </c>
      <c r="U118" s="23">
        <v>75</v>
      </c>
      <c r="V118" s="23" t="str">
        <f t="shared" si="5"/>
        <v>Mencapai kompetensi dengan baik dalam hal</v>
      </c>
      <c r="W118" s="23">
        <v>75</v>
      </c>
      <c r="X118" s="23" t="str">
        <f t="shared" si="6"/>
        <v>Mencapai kompetensi dengan baik dalam hal</v>
      </c>
      <c r="Y118" s="23">
        <v>76</v>
      </c>
      <c r="Z118" s="23" t="str">
        <f t="shared" si="7"/>
        <v>Mencapai kompetensi dengan baik dalam hal</v>
      </c>
      <c r="AA118" s="23">
        <v>77</v>
      </c>
      <c r="AB118" s="23" t="str">
        <f t="shared" si="8"/>
        <v>Mencapai kompetensi dengan baik dalam hal</v>
      </c>
      <c r="AC118" s="23">
        <v>75</v>
      </c>
      <c r="AD118" s="23" t="str">
        <f t="shared" si="9"/>
        <v>Mencapai kompetensi dengan baik dalam hal</v>
      </c>
      <c r="AE118" s="23">
        <v>75</v>
      </c>
      <c r="AF118" s="23" t="str">
        <f t="shared" si="10"/>
        <v>Mencapai kompetensi dengan baik dalam hal</v>
      </c>
      <c r="AG118" s="23">
        <v>76</v>
      </c>
      <c r="AH118" s="23" t="str">
        <f t="shared" si="11"/>
        <v>Mencapai kompetensi dengan baik dalam hal</v>
      </c>
      <c r="AI118" s="62">
        <f t="shared" si="26"/>
        <v>75.5</v>
      </c>
      <c r="AJ118" s="23">
        <v>77</v>
      </c>
      <c r="AK118" s="23" t="str">
        <f t="shared" si="12"/>
        <v>Mencapai kompetensi dengan baik dalam hal</v>
      </c>
      <c r="AL118" s="23">
        <v>75</v>
      </c>
      <c r="AM118" s="18" t="str">
        <f t="shared" si="13"/>
        <v>Mencapai kompetensi dengan baik dalam hal</v>
      </c>
      <c r="AN118" s="23">
        <v>1</v>
      </c>
      <c r="AO118" s="23" t="s">
        <v>81</v>
      </c>
      <c r="AP118" s="23">
        <v>2</v>
      </c>
      <c r="AQ118" s="23">
        <v>1</v>
      </c>
      <c r="AR118" s="23" t="s">
        <v>82</v>
      </c>
      <c r="AS118" s="18" t="s">
        <v>83</v>
      </c>
      <c r="AT118" s="23" t="s">
        <v>84</v>
      </c>
      <c r="AU118" s="18" t="str">
        <f t="shared" si="29"/>
        <v>Baik</v>
      </c>
      <c r="AV118" s="23">
        <v>2</v>
      </c>
      <c r="AW118" s="18" t="s">
        <v>103</v>
      </c>
      <c r="AX118" s="18" t="s">
        <v>83</v>
      </c>
      <c r="AY118" s="23" t="s">
        <v>84</v>
      </c>
      <c r="AZ118" s="18" t="str">
        <f t="shared" si="30"/>
        <v>Baik</v>
      </c>
      <c r="BA118" s="23"/>
      <c r="BB118" s="23"/>
      <c r="BC118" s="23"/>
      <c r="BD118" s="23"/>
      <c r="BE118" s="18"/>
      <c r="BG118" s="20"/>
      <c r="BH118" s="20"/>
      <c r="BN118" s="22">
        <f t="shared" si="25"/>
        <v>1</v>
      </c>
      <c r="BP118" s="115">
        <f t="shared" si="27"/>
        <v>75.884615384615387</v>
      </c>
      <c r="BQ118" s="22">
        <f t="shared" si="31"/>
        <v>30</v>
      </c>
    </row>
    <row r="119" spans="1:69" ht="24.95" customHeight="1" thickTop="1" thickBot="1" x14ac:dyDescent="0.3">
      <c r="A119" s="23">
        <v>118</v>
      </c>
      <c r="B119" s="23">
        <v>2525699</v>
      </c>
      <c r="C119" s="23" t="s">
        <v>1090</v>
      </c>
      <c r="D119" s="18" t="s">
        <v>1091</v>
      </c>
      <c r="E119" s="23" t="s">
        <v>1070</v>
      </c>
      <c r="F119" s="23" t="s">
        <v>845</v>
      </c>
      <c r="G119" s="24" t="s">
        <v>1071</v>
      </c>
      <c r="H119" s="24" t="s">
        <v>1072</v>
      </c>
      <c r="I119" s="60" t="s">
        <v>76</v>
      </c>
      <c r="J119" s="61" t="s">
        <v>77</v>
      </c>
      <c r="K119" s="23">
        <v>77</v>
      </c>
      <c r="L119" s="23" t="str">
        <f t="shared" si="0"/>
        <v>Mencapai kompetensi dengan baik dalam hal</v>
      </c>
      <c r="M119" s="23">
        <v>77</v>
      </c>
      <c r="N119" s="23" t="str">
        <f t="shared" si="1"/>
        <v>Mencapai kompetensi dengan baik dalam hal</v>
      </c>
      <c r="O119" s="23">
        <v>76</v>
      </c>
      <c r="P119" s="23" t="str">
        <f t="shared" si="2"/>
        <v>Mencapai kompetensi dengan baik dalam hal</v>
      </c>
      <c r="Q119" s="23">
        <v>83</v>
      </c>
      <c r="R119" s="23" t="str">
        <f t="shared" si="3"/>
        <v>Mencapai kompetensi dengan baik dalam hal</v>
      </c>
      <c r="S119" s="23">
        <v>69</v>
      </c>
      <c r="T119" s="23" t="str">
        <f t="shared" si="4"/>
        <v>Perlu peningkatan dalam hal</v>
      </c>
      <c r="U119" s="23">
        <v>75</v>
      </c>
      <c r="V119" s="23" t="str">
        <f t="shared" si="5"/>
        <v>Mencapai kompetensi dengan baik dalam hal</v>
      </c>
      <c r="W119" s="23">
        <v>75</v>
      </c>
      <c r="X119" s="23" t="str">
        <f t="shared" si="6"/>
        <v>Mencapai kompetensi dengan baik dalam hal</v>
      </c>
      <c r="Y119" s="23">
        <v>78</v>
      </c>
      <c r="Z119" s="23" t="str">
        <f t="shared" si="7"/>
        <v>Mencapai kompetensi dengan baik dalam hal</v>
      </c>
      <c r="AA119" s="23">
        <v>76</v>
      </c>
      <c r="AB119" s="23" t="str">
        <f t="shared" si="8"/>
        <v>Mencapai kompetensi dengan baik dalam hal</v>
      </c>
      <c r="AC119" s="23">
        <v>79</v>
      </c>
      <c r="AD119" s="23" t="str">
        <f t="shared" si="9"/>
        <v>Mencapai kompetensi dengan baik dalam hal</v>
      </c>
      <c r="AE119" s="23">
        <v>76</v>
      </c>
      <c r="AF119" s="23" t="str">
        <f t="shared" si="10"/>
        <v>Mencapai kompetensi dengan baik dalam hal</v>
      </c>
      <c r="AG119" s="23">
        <v>77</v>
      </c>
      <c r="AH119" s="23" t="str">
        <f t="shared" si="11"/>
        <v>Mencapai kompetensi dengan baik dalam hal</v>
      </c>
      <c r="AI119" s="62">
        <f t="shared" si="26"/>
        <v>76.5</v>
      </c>
      <c r="AJ119" s="23">
        <v>76</v>
      </c>
      <c r="AK119" s="23" t="str">
        <f t="shared" si="12"/>
        <v>Mencapai kompetensi dengan baik dalam hal</v>
      </c>
      <c r="AL119" s="23">
        <v>78</v>
      </c>
      <c r="AM119" s="18" t="str">
        <f t="shared" si="13"/>
        <v>Mencapai kompetensi dengan baik dalam hal</v>
      </c>
      <c r="AN119" s="23" t="s">
        <v>81</v>
      </c>
      <c r="AO119" s="23" t="s">
        <v>81</v>
      </c>
      <c r="AP119" s="23" t="s">
        <v>81</v>
      </c>
      <c r="AQ119" s="23">
        <v>1</v>
      </c>
      <c r="AR119" s="23" t="s">
        <v>82</v>
      </c>
      <c r="AS119" s="18" t="s">
        <v>83</v>
      </c>
      <c r="AT119" s="23" t="s">
        <v>104</v>
      </c>
      <c r="AU119" s="18" t="str">
        <f t="shared" si="29"/>
        <v>Cukup</v>
      </c>
      <c r="AV119" s="23">
        <v>2</v>
      </c>
      <c r="AW119" s="18" t="s">
        <v>99</v>
      </c>
      <c r="AX119" s="18" t="s">
        <v>83</v>
      </c>
      <c r="AY119" s="23" t="s">
        <v>84</v>
      </c>
      <c r="AZ119" s="18" t="str">
        <f t="shared" si="30"/>
        <v>Baik</v>
      </c>
      <c r="BA119" s="23"/>
      <c r="BB119" s="23"/>
      <c r="BC119" s="23"/>
      <c r="BD119" s="23"/>
      <c r="BE119" s="18"/>
      <c r="BG119" s="20"/>
      <c r="BH119" s="20"/>
      <c r="BN119" s="22">
        <f t="shared" si="25"/>
        <v>1</v>
      </c>
      <c r="BP119" s="115">
        <f t="shared" si="27"/>
        <v>76.57692307692308</v>
      </c>
      <c r="BQ119" s="22">
        <f t="shared" si="31"/>
        <v>23</v>
      </c>
    </row>
    <row r="120" spans="1:69" ht="24.95" customHeight="1" thickTop="1" thickBot="1" x14ac:dyDescent="0.3">
      <c r="A120" s="23">
        <v>119</v>
      </c>
      <c r="B120" s="23">
        <v>2525700</v>
      </c>
      <c r="C120" s="23" t="s">
        <v>1092</v>
      </c>
      <c r="D120" s="18" t="s">
        <v>1093</v>
      </c>
      <c r="E120" s="23" t="s">
        <v>1070</v>
      </c>
      <c r="F120" s="23" t="s">
        <v>845</v>
      </c>
      <c r="G120" s="24" t="s">
        <v>1071</v>
      </c>
      <c r="H120" s="24" t="s">
        <v>1072</v>
      </c>
      <c r="I120" s="60" t="s">
        <v>76</v>
      </c>
      <c r="J120" s="61" t="s">
        <v>77</v>
      </c>
      <c r="K120" s="23">
        <v>78</v>
      </c>
      <c r="L120" s="23" t="str">
        <f t="shared" si="0"/>
        <v>Mencapai kompetensi dengan baik dalam hal</v>
      </c>
      <c r="M120" s="23">
        <v>75</v>
      </c>
      <c r="N120" s="23" t="str">
        <f t="shared" si="1"/>
        <v>Mencapai kompetensi dengan baik dalam hal</v>
      </c>
      <c r="O120" s="23">
        <v>75</v>
      </c>
      <c r="P120" s="23" t="str">
        <f t="shared" si="2"/>
        <v>Mencapai kompetensi dengan baik dalam hal</v>
      </c>
      <c r="Q120" s="23">
        <v>80</v>
      </c>
      <c r="R120" s="23" t="str">
        <f t="shared" si="3"/>
        <v>Mencapai kompetensi dengan baik dalam hal</v>
      </c>
      <c r="S120" s="23">
        <v>72</v>
      </c>
      <c r="T120" s="23" t="str">
        <f t="shared" si="4"/>
        <v>Perlu peningkatan dalam hal</v>
      </c>
      <c r="U120" s="23">
        <v>75</v>
      </c>
      <c r="V120" s="23" t="str">
        <f t="shared" si="5"/>
        <v>Mencapai kompetensi dengan baik dalam hal</v>
      </c>
      <c r="W120" s="23">
        <v>75</v>
      </c>
      <c r="X120" s="23" t="str">
        <f t="shared" si="6"/>
        <v>Mencapai kompetensi dengan baik dalam hal</v>
      </c>
      <c r="Y120" s="23">
        <v>75</v>
      </c>
      <c r="Z120" s="23" t="str">
        <f t="shared" si="7"/>
        <v>Mencapai kompetensi dengan baik dalam hal</v>
      </c>
      <c r="AA120" s="23">
        <v>74</v>
      </c>
      <c r="AB120" s="23" t="str">
        <f t="shared" si="8"/>
        <v>Perlu peningkatan dalam hal</v>
      </c>
      <c r="AC120" s="23">
        <v>75</v>
      </c>
      <c r="AD120" s="23" t="str">
        <f t="shared" si="9"/>
        <v>Mencapai kompetensi dengan baik dalam hal</v>
      </c>
      <c r="AE120" s="23">
        <v>75</v>
      </c>
      <c r="AF120" s="23" t="str">
        <f t="shared" si="10"/>
        <v>Mencapai kompetensi dengan baik dalam hal</v>
      </c>
      <c r="AG120" s="23">
        <v>76</v>
      </c>
      <c r="AH120" s="23" t="str">
        <f t="shared" si="11"/>
        <v>Mencapai kompetensi dengan baik dalam hal</v>
      </c>
      <c r="AI120" s="62">
        <f t="shared" si="26"/>
        <v>75.5</v>
      </c>
      <c r="AJ120" s="23">
        <v>74</v>
      </c>
      <c r="AK120" s="23" t="str">
        <f t="shared" si="12"/>
        <v>Perlu peningkatan dalam hal</v>
      </c>
      <c r="AL120" s="23">
        <v>73</v>
      </c>
      <c r="AM120" s="18" t="str">
        <f t="shared" si="13"/>
        <v>Perlu peningkatan dalam hal</v>
      </c>
      <c r="AN120" s="23">
        <v>3</v>
      </c>
      <c r="AO120" s="23">
        <v>1</v>
      </c>
      <c r="AP120" s="23">
        <v>4</v>
      </c>
      <c r="AQ120" s="23">
        <v>1</v>
      </c>
      <c r="AR120" s="23" t="s">
        <v>82</v>
      </c>
      <c r="AS120" s="18" t="s">
        <v>83</v>
      </c>
      <c r="AT120" s="23" t="s">
        <v>84</v>
      </c>
      <c r="AU120" s="18" t="str">
        <f t="shared" si="29"/>
        <v>Baik</v>
      </c>
      <c r="AV120" s="23">
        <v>2</v>
      </c>
      <c r="AW120" s="18" t="s">
        <v>429</v>
      </c>
      <c r="AX120" s="18" t="s">
        <v>83</v>
      </c>
      <c r="AY120" s="23" t="s">
        <v>84</v>
      </c>
      <c r="AZ120" s="18" t="str">
        <f t="shared" si="30"/>
        <v>Baik</v>
      </c>
      <c r="BA120" s="23"/>
      <c r="BB120" s="23"/>
      <c r="BC120" s="23"/>
      <c r="BD120" s="23"/>
      <c r="BE120" s="18"/>
      <c r="BG120" s="20"/>
      <c r="BH120" s="20"/>
      <c r="BN120" s="22">
        <f t="shared" si="25"/>
        <v>4</v>
      </c>
      <c r="BP120" s="115">
        <f t="shared" si="27"/>
        <v>75.115384615384613</v>
      </c>
      <c r="BQ120" s="22">
        <f t="shared" si="31"/>
        <v>36</v>
      </c>
    </row>
    <row r="121" spans="1:69" ht="24.95" customHeight="1" thickTop="1" thickBot="1" x14ac:dyDescent="0.3">
      <c r="A121" s="23">
        <v>120</v>
      </c>
      <c r="B121" s="23">
        <v>2525701</v>
      </c>
      <c r="C121" s="23" t="s">
        <v>1094</v>
      </c>
      <c r="D121" s="18" t="s">
        <v>1095</v>
      </c>
      <c r="E121" s="23" t="s">
        <v>1070</v>
      </c>
      <c r="F121" s="23" t="s">
        <v>845</v>
      </c>
      <c r="G121" s="24" t="s">
        <v>1071</v>
      </c>
      <c r="H121" s="24" t="s">
        <v>1072</v>
      </c>
      <c r="I121" s="60" t="s">
        <v>76</v>
      </c>
      <c r="J121" s="61" t="s">
        <v>77</v>
      </c>
      <c r="K121" s="23">
        <v>77</v>
      </c>
      <c r="L121" s="23" t="str">
        <f t="shared" si="0"/>
        <v>Mencapai kompetensi dengan baik dalam hal</v>
      </c>
      <c r="M121" s="23">
        <v>75</v>
      </c>
      <c r="N121" s="23" t="str">
        <f t="shared" si="1"/>
        <v>Mencapai kompetensi dengan baik dalam hal</v>
      </c>
      <c r="O121" s="23">
        <v>75</v>
      </c>
      <c r="P121" s="23" t="str">
        <f t="shared" si="2"/>
        <v>Mencapai kompetensi dengan baik dalam hal</v>
      </c>
      <c r="Q121" s="23">
        <v>82</v>
      </c>
      <c r="R121" s="23" t="str">
        <f t="shared" si="3"/>
        <v>Mencapai kompetensi dengan baik dalam hal</v>
      </c>
      <c r="S121" s="23">
        <v>74</v>
      </c>
      <c r="T121" s="23" t="str">
        <f t="shared" si="4"/>
        <v>Perlu peningkatan dalam hal</v>
      </c>
      <c r="U121" s="23">
        <v>75</v>
      </c>
      <c r="V121" s="23" t="str">
        <f t="shared" si="5"/>
        <v>Mencapai kompetensi dengan baik dalam hal</v>
      </c>
      <c r="W121" s="23">
        <v>75</v>
      </c>
      <c r="X121" s="23" t="str">
        <f t="shared" si="6"/>
        <v>Mencapai kompetensi dengan baik dalam hal</v>
      </c>
      <c r="Y121" s="23">
        <v>75</v>
      </c>
      <c r="Z121" s="23" t="str">
        <f t="shared" si="7"/>
        <v>Mencapai kompetensi dengan baik dalam hal</v>
      </c>
      <c r="AA121" s="23">
        <v>76</v>
      </c>
      <c r="AB121" s="23" t="str">
        <f t="shared" si="8"/>
        <v>Mencapai kompetensi dengan baik dalam hal</v>
      </c>
      <c r="AC121" s="23">
        <v>78</v>
      </c>
      <c r="AD121" s="23" t="str">
        <f t="shared" si="9"/>
        <v>Mencapai kompetensi dengan baik dalam hal</v>
      </c>
      <c r="AE121" s="23">
        <v>80</v>
      </c>
      <c r="AF121" s="23" t="str">
        <f t="shared" si="10"/>
        <v>Mencapai kompetensi dengan baik dalam hal</v>
      </c>
      <c r="AG121" s="23">
        <v>81</v>
      </c>
      <c r="AH121" s="23" t="str">
        <f t="shared" si="11"/>
        <v>Mencapai kompetensi dengan baik dalam hal</v>
      </c>
      <c r="AI121" s="62">
        <f t="shared" si="26"/>
        <v>80.5</v>
      </c>
      <c r="AJ121" s="23">
        <v>76</v>
      </c>
      <c r="AK121" s="23" t="str">
        <f t="shared" si="12"/>
        <v>Mencapai kompetensi dengan baik dalam hal</v>
      </c>
      <c r="AL121" s="23">
        <v>75</v>
      </c>
      <c r="AM121" s="18" t="str">
        <f t="shared" si="13"/>
        <v>Mencapai kompetensi dengan baik dalam hal</v>
      </c>
      <c r="AN121" s="23">
        <v>6</v>
      </c>
      <c r="AO121" s="23">
        <v>1</v>
      </c>
      <c r="AP121" s="23">
        <v>3</v>
      </c>
      <c r="AQ121" s="23">
        <v>1</v>
      </c>
      <c r="AR121" s="23" t="s">
        <v>82</v>
      </c>
      <c r="AS121" s="18" t="s">
        <v>83</v>
      </c>
      <c r="AT121" s="23" t="s">
        <v>84</v>
      </c>
      <c r="AU121" s="18" t="str">
        <f t="shared" si="29"/>
        <v>Baik</v>
      </c>
      <c r="AV121" s="23">
        <v>2</v>
      </c>
      <c r="AW121" s="18" t="s">
        <v>1073</v>
      </c>
      <c r="AX121" s="18" t="s">
        <v>83</v>
      </c>
      <c r="AY121" s="23" t="s">
        <v>84</v>
      </c>
      <c r="AZ121" s="18" t="str">
        <f t="shared" si="30"/>
        <v>Baik</v>
      </c>
      <c r="BA121" s="23"/>
      <c r="BB121" s="23"/>
      <c r="BC121" s="23"/>
      <c r="BD121" s="23"/>
      <c r="BE121" s="18"/>
      <c r="BG121" s="20"/>
      <c r="BH121" s="20"/>
      <c r="BN121" s="22">
        <f t="shared" si="25"/>
        <v>1</v>
      </c>
      <c r="BP121" s="115">
        <f t="shared" si="27"/>
        <v>76.42307692307692</v>
      </c>
      <c r="BQ121" s="22">
        <f t="shared" si="31"/>
        <v>26</v>
      </c>
    </row>
    <row r="122" spans="1:69" ht="24.95" customHeight="1" thickTop="1" thickBot="1" x14ac:dyDescent="0.3">
      <c r="A122" s="23">
        <v>121</v>
      </c>
      <c r="B122" s="23">
        <v>2525702</v>
      </c>
      <c r="C122" s="23" t="s">
        <v>1096</v>
      </c>
      <c r="D122" s="18" t="s">
        <v>1097</v>
      </c>
      <c r="E122" s="23" t="s">
        <v>1070</v>
      </c>
      <c r="F122" s="23" t="s">
        <v>845</v>
      </c>
      <c r="G122" s="24" t="s">
        <v>1071</v>
      </c>
      <c r="H122" s="24" t="s">
        <v>1072</v>
      </c>
      <c r="I122" s="60" t="s">
        <v>76</v>
      </c>
      <c r="J122" s="61" t="s">
        <v>77</v>
      </c>
      <c r="K122" s="23">
        <v>78</v>
      </c>
      <c r="L122" s="23" t="str">
        <f t="shared" si="0"/>
        <v>Mencapai kompetensi dengan baik dalam hal</v>
      </c>
      <c r="M122" s="23">
        <v>76</v>
      </c>
      <c r="N122" s="23" t="str">
        <f t="shared" si="1"/>
        <v>Mencapai kompetensi dengan baik dalam hal</v>
      </c>
      <c r="O122" s="23">
        <v>75</v>
      </c>
      <c r="P122" s="23" t="str">
        <f t="shared" si="2"/>
        <v>Mencapai kompetensi dengan baik dalam hal</v>
      </c>
      <c r="Q122" s="23">
        <v>81</v>
      </c>
      <c r="R122" s="23" t="str">
        <f t="shared" si="3"/>
        <v>Mencapai kompetensi dengan baik dalam hal</v>
      </c>
      <c r="S122" s="23">
        <v>73</v>
      </c>
      <c r="T122" s="23" t="str">
        <f t="shared" si="4"/>
        <v>Perlu peningkatan dalam hal</v>
      </c>
      <c r="U122" s="23">
        <v>70</v>
      </c>
      <c r="V122" s="23" t="str">
        <f t="shared" si="5"/>
        <v>Perlu peningkatan dalam hal</v>
      </c>
      <c r="W122" s="23">
        <v>73</v>
      </c>
      <c r="X122" s="23" t="str">
        <f t="shared" si="6"/>
        <v>Perlu peningkatan dalam hal</v>
      </c>
      <c r="Y122" s="23">
        <v>75</v>
      </c>
      <c r="Z122" s="23" t="str">
        <f t="shared" si="7"/>
        <v>Mencapai kompetensi dengan baik dalam hal</v>
      </c>
      <c r="AA122" s="23">
        <v>75</v>
      </c>
      <c r="AB122" s="23" t="str">
        <f t="shared" si="8"/>
        <v>Mencapai kompetensi dengan baik dalam hal</v>
      </c>
      <c r="AC122" s="23">
        <v>78</v>
      </c>
      <c r="AD122" s="23" t="str">
        <f t="shared" si="9"/>
        <v>Mencapai kompetensi dengan baik dalam hal</v>
      </c>
      <c r="AE122" s="23">
        <v>77</v>
      </c>
      <c r="AF122" s="23" t="str">
        <f t="shared" si="10"/>
        <v>Mencapai kompetensi dengan baik dalam hal</v>
      </c>
      <c r="AG122" s="23">
        <v>78</v>
      </c>
      <c r="AH122" s="23" t="str">
        <f t="shared" si="11"/>
        <v>Mencapai kompetensi dengan baik dalam hal</v>
      </c>
      <c r="AI122" s="62">
        <f t="shared" si="26"/>
        <v>77.5</v>
      </c>
      <c r="AJ122" s="23">
        <v>75</v>
      </c>
      <c r="AK122" s="23" t="str">
        <f t="shared" si="12"/>
        <v>Mencapai kompetensi dengan baik dalam hal</v>
      </c>
      <c r="AL122" s="23">
        <v>77</v>
      </c>
      <c r="AM122" s="18" t="str">
        <f t="shared" si="13"/>
        <v>Mencapai kompetensi dengan baik dalam hal</v>
      </c>
      <c r="AN122" s="23" t="s">
        <v>81</v>
      </c>
      <c r="AO122" s="23" t="s">
        <v>81</v>
      </c>
      <c r="AP122" s="23" t="s">
        <v>81</v>
      </c>
      <c r="AQ122" s="23">
        <v>1</v>
      </c>
      <c r="AR122" s="23" t="s">
        <v>82</v>
      </c>
      <c r="AS122" s="18" t="s">
        <v>83</v>
      </c>
      <c r="AT122" s="23" t="s">
        <v>110</v>
      </c>
      <c r="AU122" s="18" t="str">
        <f t="shared" si="29"/>
        <v>Kurang</v>
      </c>
      <c r="AV122" s="23">
        <v>2</v>
      </c>
      <c r="AW122" s="18" t="s">
        <v>1073</v>
      </c>
      <c r="AX122" s="18" t="s">
        <v>83</v>
      </c>
      <c r="AY122" s="23" t="s">
        <v>84</v>
      </c>
      <c r="AZ122" s="18" t="str">
        <f t="shared" si="30"/>
        <v>Baik</v>
      </c>
      <c r="BA122" s="23"/>
      <c r="BB122" s="23"/>
      <c r="BC122" s="23"/>
      <c r="BD122" s="23"/>
      <c r="BE122" s="18"/>
      <c r="BG122" s="20"/>
      <c r="BH122" s="20"/>
      <c r="BN122" s="22">
        <f t="shared" si="25"/>
        <v>3</v>
      </c>
      <c r="BP122" s="115">
        <f t="shared" si="27"/>
        <v>75.65384615384616</v>
      </c>
      <c r="BQ122" s="22">
        <f t="shared" si="31"/>
        <v>31</v>
      </c>
    </row>
    <row r="123" spans="1:69" ht="24.95" customHeight="1" thickTop="1" thickBot="1" x14ac:dyDescent="0.3">
      <c r="A123" s="23">
        <v>122</v>
      </c>
      <c r="B123" s="23">
        <v>2525703</v>
      </c>
      <c r="C123" s="23" t="s">
        <v>1098</v>
      </c>
      <c r="D123" s="18" t="s">
        <v>1099</v>
      </c>
      <c r="E123" s="23" t="s">
        <v>1070</v>
      </c>
      <c r="F123" s="23" t="s">
        <v>845</v>
      </c>
      <c r="G123" s="24" t="s">
        <v>1071</v>
      </c>
      <c r="H123" s="24" t="s">
        <v>1072</v>
      </c>
      <c r="I123" s="60" t="s">
        <v>76</v>
      </c>
      <c r="J123" s="61" t="s">
        <v>77</v>
      </c>
      <c r="K123" s="23">
        <v>79</v>
      </c>
      <c r="L123" s="23" t="str">
        <f t="shared" si="0"/>
        <v>Mencapai kompetensi dengan baik dalam hal</v>
      </c>
      <c r="M123" s="23">
        <v>75</v>
      </c>
      <c r="N123" s="23" t="str">
        <f t="shared" si="1"/>
        <v>Mencapai kompetensi dengan baik dalam hal</v>
      </c>
      <c r="O123" s="23">
        <v>76</v>
      </c>
      <c r="P123" s="23" t="str">
        <f t="shared" si="2"/>
        <v>Mencapai kompetensi dengan baik dalam hal</v>
      </c>
      <c r="Q123" s="23">
        <v>79</v>
      </c>
      <c r="R123" s="23" t="str">
        <f t="shared" si="3"/>
        <v>Mencapai kompetensi dengan baik dalam hal</v>
      </c>
      <c r="S123" s="23">
        <v>71</v>
      </c>
      <c r="T123" s="23" t="str">
        <f t="shared" si="4"/>
        <v>Perlu peningkatan dalam hal</v>
      </c>
      <c r="U123" s="23">
        <v>75</v>
      </c>
      <c r="V123" s="23" t="str">
        <f t="shared" si="5"/>
        <v>Mencapai kompetensi dengan baik dalam hal</v>
      </c>
      <c r="W123" s="23">
        <v>76</v>
      </c>
      <c r="X123" s="23" t="str">
        <f t="shared" si="6"/>
        <v>Mencapai kompetensi dengan baik dalam hal</v>
      </c>
      <c r="Y123" s="23">
        <v>75</v>
      </c>
      <c r="Z123" s="23" t="str">
        <f t="shared" si="7"/>
        <v>Mencapai kompetensi dengan baik dalam hal</v>
      </c>
      <c r="AA123" s="23">
        <v>76</v>
      </c>
      <c r="AB123" s="23" t="str">
        <f t="shared" si="8"/>
        <v>Mencapai kompetensi dengan baik dalam hal</v>
      </c>
      <c r="AC123" s="23">
        <v>79</v>
      </c>
      <c r="AD123" s="23" t="str">
        <f t="shared" si="9"/>
        <v>Mencapai kompetensi dengan baik dalam hal</v>
      </c>
      <c r="AE123" s="23">
        <v>76</v>
      </c>
      <c r="AF123" s="23" t="str">
        <f t="shared" si="10"/>
        <v>Mencapai kompetensi dengan baik dalam hal</v>
      </c>
      <c r="AG123" s="23">
        <v>77</v>
      </c>
      <c r="AH123" s="23" t="str">
        <f t="shared" si="11"/>
        <v>Mencapai kompetensi dengan baik dalam hal</v>
      </c>
      <c r="AI123" s="62">
        <f t="shared" si="26"/>
        <v>76.5</v>
      </c>
      <c r="AJ123" s="23">
        <v>76</v>
      </c>
      <c r="AK123" s="23" t="str">
        <f t="shared" si="12"/>
        <v>Mencapai kompetensi dengan baik dalam hal</v>
      </c>
      <c r="AL123" s="23">
        <v>77</v>
      </c>
      <c r="AM123" s="18" t="str">
        <f t="shared" si="13"/>
        <v>Mencapai kompetensi dengan baik dalam hal</v>
      </c>
      <c r="AN123" s="23">
        <v>2</v>
      </c>
      <c r="AO123" s="23" t="s">
        <v>81</v>
      </c>
      <c r="AP123" s="23">
        <v>4</v>
      </c>
      <c r="AQ123" s="23">
        <v>1</v>
      </c>
      <c r="AR123" s="23" t="s">
        <v>82</v>
      </c>
      <c r="AS123" s="18" t="s">
        <v>83</v>
      </c>
      <c r="AT123" s="23" t="s">
        <v>84</v>
      </c>
      <c r="AU123" s="18" t="str">
        <f t="shared" si="29"/>
        <v>Baik</v>
      </c>
      <c r="AV123" s="23">
        <v>2</v>
      </c>
      <c r="AW123" s="18" t="s">
        <v>108</v>
      </c>
      <c r="AX123" s="18" t="s">
        <v>83</v>
      </c>
      <c r="AY123" s="23" t="s">
        <v>86</v>
      </c>
      <c r="AZ123" s="18" t="str">
        <f t="shared" si="30"/>
        <v>Sangat baik</v>
      </c>
      <c r="BA123" s="23"/>
      <c r="BB123" s="23"/>
      <c r="BC123" s="23"/>
      <c r="BD123" s="23"/>
      <c r="BE123" s="18"/>
      <c r="BG123" s="20"/>
      <c r="BH123" s="20"/>
      <c r="BN123" s="22">
        <f t="shared" si="25"/>
        <v>1</v>
      </c>
      <c r="BP123" s="115">
        <f t="shared" si="27"/>
        <v>76.192307692307693</v>
      </c>
      <c r="BQ123" s="22">
        <f t="shared" si="31"/>
        <v>28</v>
      </c>
    </row>
    <row r="124" spans="1:69" ht="24.95" customHeight="1" thickTop="1" thickBot="1" x14ac:dyDescent="0.3">
      <c r="A124" s="23">
        <v>123</v>
      </c>
      <c r="B124" s="23">
        <v>2525704</v>
      </c>
      <c r="C124" s="23" t="s">
        <v>1100</v>
      </c>
      <c r="D124" s="18" t="s">
        <v>1101</v>
      </c>
      <c r="E124" s="23" t="s">
        <v>1070</v>
      </c>
      <c r="F124" s="23" t="s">
        <v>845</v>
      </c>
      <c r="G124" s="24" t="s">
        <v>1071</v>
      </c>
      <c r="H124" s="24" t="s">
        <v>1072</v>
      </c>
      <c r="I124" s="60" t="s">
        <v>76</v>
      </c>
      <c r="J124" s="61" t="s">
        <v>77</v>
      </c>
      <c r="K124" s="23">
        <v>78</v>
      </c>
      <c r="L124" s="23" t="str">
        <f t="shared" si="0"/>
        <v>Mencapai kompetensi dengan baik dalam hal</v>
      </c>
      <c r="M124" s="23">
        <v>75</v>
      </c>
      <c r="N124" s="23" t="str">
        <f t="shared" si="1"/>
        <v>Mencapai kompetensi dengan baik dalam hal</v>
      </c>
      <c r="O124" s="23">
        <v>75</v>
      </c>
      <c r="P124" s="23" t="str">
        <f t="shared" si="2"/>
        <v>Mencapai kompetensi dengan baik dalam hal</v>
      </c>
      <c r="Q124" s="23">
        <v>82</v>
      </c>
      <c r="R124" s="23" t="str">
        <f t="shared" si="3"/>
        <v>Mencapai kompetensi dengan baik dalam hal</v>
      </c>
      <c r="S124" s="23">
        <v>63</v>
      </c>
      <c r="T124" s="23" t="str">
        <f t="shared" si="4"/>
        <v>Perlu peningkatan dalam hal</v>
      </c>
      <c r="U124" s="23">
        <v>75</v>
      </c>
      <c r="V124" s="23" t="str">
        <f t="shared" si="5"/>
        <v>Mencapai kompetensi dengan baik dalam hal</v>
      </c>
      <c r="W124" s="23">
        <v>75</v>
      </c>
      <c r="X124" s="23" t="str">
        <f t="shared" si="6"/>
        <v>Mencapai kompetensi dengan baik dalam hal</v>
      </c>
      <c r="Y124" s="23">
        <v>75</v>
      </c>
      <c r="Z124" s="23" t="str">
        <f t="shared" si="7"/>
        <v>Mencapai kompetensi dengan baik dalam hal</v>
      </c>
      <c r="AA124" s="23">
        <v>76</v>
      </c>
      <c r="AB124" s="23" t="str">
        <f t="shared" si="8"/>
        <v>Mencapai kompetensi dengan baik dalam hal</v>
      </c>
      <c r="AC124" s="23">
        <v>75</v>
      </c>
      <c r="AD124" s="23" t="str">
        <f t="shared" si="9"/>
        <v>Mencapai kompetensi dengan baik dalam hal</v>
      </c>
      <c r="AE124" s="23">
        <v>76</v>
      </c>
      <c r="AF124" s="23" t="str">
        <f t="shared" si="10"/>
        <v>Mencapai kompetensi dengan baik dalam hal</v>
      </c>
      <c r="AG124" s="23">
        <v>77</v>
      </c>
      <c r="AH124" s="23" t="str">
        <f t="shared" si="11"/>
        <v>Mencapai kompetensi dengan baik dalam hal</v>
      </c>
      <c r="AI124" s="62">
        <f t="shared" si="26"/>
        <v>76.5</v>
      </c>
      <c r="AJ124" s="23">
        <v>76</v>
      </c>
      <c r="AK124" s="23" t="str">
        <f t="shared" si="12"/>
        <v>Mencapai kompetensi dengan baik dalam hal</v>
      </c>
      <c r="AL124" s="23">
        <v>77</v>
      </c>
      <c r="AM124" s="18" t="str">
        <f t="shared" si="13"/>
        <v>Mencapai kompetensi dengan baik dalam hal</v>
      </c>
      <c r="AN124" s="23">
        <v>1</v>
      </c>
      <c r="AO124" s="23" t="s">
        <v>81</v>
      </c>
      <c r="AP124" s="23" t="s">
        <v>81</v>
      </c>
      <c r="AQ124" s="23">
        <v>1</v>
      </c>
      <c r="AR124" s="23" t="s">
        <v>82</v>
      </c>
      <c r="AS124" s="18" t="s">
        <v>83</v>
      </c>
      <c r="AT124" s="23" t="s">
        <v>86</v>
      </c>
      <c r="AU124" s="18" t="str">
        <f t="shared" si="29"/>
        <v>Sangat baik</v>
      </c>
      <c r="AV124" s="23">
        <v>2</v>
      </c>
      <c r="AW124" s="18" t="s">
        <v>103</v>
      </c>
      <c r="AX124" s="18" t="s">
        <v>83</v>
      </c>
      <c r="AY124" s="23" t="s">
        <v>84</v>
      </c>
      <c r="AZ124" s="18" t="str">
        <f t="shared" si="30"/>
        <v>Baik</v>
      </c>
      <c r="BA124" s="23"/>
      <c r="BB124" s="23"/>
      <c r="BC124" s="23"/>
      <c r="BD124" s="23"/>
      <c r="BE124" s="18"/>
      <c r="BG124" s="20"/>
      <c r="BH124" s="20"/>
      <c r="BN124" s="22">
        <f t="shared" si="25"/>
        <v>1</v>
      </c>
      <c r="BP124" s="115">
        <f t="shared" si="27"/>
        <v>75.269230769230774</v>
      </c>
      <c r="BQ124" s="22">
        <f t="shared" si="31"/>
        <v>34</v>
      </c>
    </row>
    <row r="125" spans="1:69" ht="24.95" customHeight="1" thickTop="1" thickBot="1" x14ac:dyDescent="0.3">
      <c r="A125" s="23">
        <v>124</v>
      </c>
      <c r="B125" s="23">
        <v>2525705</v>
      </c>
      <c r="C125" s="23" t="s">
        <v>1102</v>
      </c>
      <c r="D125" s="18" t="s">
        <v>1103</v>
      </c>
      <c r="E125" s="23" t="s">
        <v>1070</v>
      </c>
      <c r="F125" s="23" t="s">
        <v>845</v>
      </c>
      <c r="G125" s="24" t="s">
        <v>1071</v>
      </c>
      <c r="H125" s="24" t="s">
        <v>1072</v>
      </c>
      <c r="I125" s="60" t="s">
        <v>76</v>
      </c>
      <c r="J125" s="61" t="s">
        <v>77</v>
      </c>
      <c r="K125" s="23">
        <v>83</v>
      </c>
      <c r="L125" s="23" t="str">
        <f t="shared" si="0"/>
        <v>Mencapai kompetensi dengan baik dalam hal</v>
      </c>
      <c r="M125" s="23">
        <v>82</v>
      </c>
      <c r="N125" s="23" t="str">
        <f t="shared" si="1"/>
        <v>Mencapai kompetensi dengan baik dalam hal</v>
      </c>
      <c r="O125" s="23">
        <v>80</v>
      </c>
      <c r="P125" s="23" t="str">
        <f t="shared" si="2"/>
        <v>Mencapai kompetensi dengan baik dalam hal</v>
      </c>
      <c r="Q125" s="23">
        <v>83</v>
      </c>
      <c r="R125" s="23" t="str">
        <f t="shared" si="3"/>
        <v>Mencapai kompetensi dengan baik dalam hal</v>
      </c>
      <c r="S125" s="23">
        <v>80</v>
      </c>
      <c r="T125" s="23" t="str">
        <f t="shared" si="4"/>
        <v>Mencapai kompetensi dengan baik dalam hal</v>
      </c>
      <c r="U125" s="23">
        <v>82</v>
      </c>
      <c r="V125" s="23" t="str">
        <f t="shared" si="5"/>
        <v>Mencapai kompetensi dengan baik dalam hal</v>
      </c>
      <c r="W125" s="23">
        <v>76</v>
      </c>
      <c r="X125" s="23" t="str">
        <f t="shared" si="6"/>
        <v>Mencapai kompetensi dengan baik dalam hal</v>
      </c>
      <c r="Y125" s="23">
        <v>82</v>
      </c>
      <c r="Z125" s="23" t="str">
        <f t="shared" si="7"/>
        <v>Mencapai kompetensi dengan baik dalam hal</v>
      </c>
      <c r="AA125" s="23">
        <v>86</v>
      </c>
      <c r="AB125" s="23" t="str">
        <f t="shared" si="8"/>
        <v>Mencapai kompetensi dengan baik dalam hal</v>
      </c>
      <c r="AC125" s="23">
        <v>83</v>
      </c>
      <c r="AD125" s="23" t="str">
        <f t="shared" si="9"/>
        <v>Mencapai kompetensi dengan baik dalam hal</v>
      </c>
      <c r="AE125" s="23">
        <v>80</v>
      </c>
      <c r="AF125" s="23" t="str">
        <f t="shared" si="10"/>
        <v>Mencapai kompetensi dengan baik dalam hal</v>
      </c>
      <c r="AG125" s="23">
        <v>81</v>
      </c>
      <c r="AH125" s="23" t="str">
        <f t="shared" si="11"/>
        <v>Mencapai kompetensi dengan baik dalam hal</v>
      </c>
      <c r="AI125" s="62">
        <f t="shared" si="26"/>
        <v>80.5</v>
      </c>
      <c r="AJ125" s="23">
        <v>86</v>
      </c>
      <c r="AK125" s="23" t="str">
        <f t="shared" si="12"/>
        <v>Mencapai kompetensi dengan baik dalam hal</v>
      </c>
      <c r="AL125" s="23">
        <v>80</v>
      </c>
      <c r="AM125" s="18" t="str">
        <f t="shared" si="13"/>
        <v>Mencapai kompetensi dengan baik dalam hal</v>
      </c>
      <c r="AN125" s="23" t="s">
        <v>81</v>
      </c>
      <c r="AO125" s="23" t="s">
        <v>81</v>
      </c>
      <c r="AP125" s="23" t="s">
        <v>81</v>
      </c>
      <c r="AQ125" s="23">
        <v>1</v>
      </c>
      <c r="AR125" s="23" t="s">
        <v>82</v>
      </c>
      <c r="AS125" s="18" t="s">
        <v>83</v>
      </c>
      <c r="AT125" s="23" t="s">
        <v>84</v>
      </c>
      <c r="AU125" s="18" t="str">
        <f t="shared" si="29"/>
        <v>Baik</v>
      </c>
      <c r="AV125" s="23">
        <v>2</v>
      </c>
      <c r="AW125" s="18" t="s">
        <v>227</v>
      </c>
      <c r="AX125" s="18" t="s">
        <v>83</v>
      </c>
      <c r="AY125" s="23" t="s">
        <v>104</v>
      </c>
      <c r="AZ125" s="18" t="str">
        <f t="shared" si="30"/>
        <v>Cukup</v>
      </c>
      <c r="BA125" s="23"/>
      <c r="BB125" s="23"/>
      <c r="BC125" s="23"/>
      <c r="BD125" s="23"/>
      <c r="BE125" s="18"/>
      <c r="BG125" s="20"/>
      <c r="BH125" s="20"/>
      <c r="BN125" s="22">
        <f t="shared" si="25"/>
        <v>0</v>
      </c>
      <c r="BP125" s="115">
        <f t="shared" si="27"/>
        <v>81.807692307692307</v>
      </c>
      <c r="BQ125" s="22">
        <f t="shared" si="31"/>
        <v>1</v>
      </c>
    </row>
    <row r="126" spans="1:69" ht="24.95" customHeight="1" thickTop="1" thickBot="1" x14ac:dyDescent="0.3">
      <c r="A126" s="23">
        <v>125</v>
      </c>
      <c r="B126" s="23">
        <v>2525706</v>
      </c>
      <c r="C126" s="23" t="s">
        <v>1104</v>
      </c>
      <c r="D126" s="18" t="s">
        <v>1105</v>
      </c>
      <c r="E126" s="23" t="s">
        <v>1070</v>
      </c>
      <c r="F126" s="23" t="s">
        <v>845</v>
      </c>
      <c r="G126" s="24" t="s">
        <v>1071</v>
      </c>
      <c r="H126" s="24" t="s">
        <v>1072</v>
      </c>
      <c r="I126" s="60" t="s">
        <v>76</v>
      </c>
      <c r="J126" s="61" t="s">
        <v>77</v>
      </c>
      <c r="K126" s="23">
        <v>79</v>
      </c>
      <c r="L126" s="23" t="str">
        <f t="shared" si="0"/>
        <v>Mencapai kompetensi dengan baik dalam hal</v>
      </c>
      <c r="M126" s="23">
        <v>75</v>
      </c>
      <c r="N126" s="23" t="str">
        <f t="shared" si="1"/>
        <v>Mencapai kompetensi dengan baik dalam hal</v>
      </c>
      <c r="O126" s="23">
        <v>77</v>
      </c>
      <c r="P126" s="23" t="str">
        <f t="shared" si="2"/>
        <v>Mencapai kompetensi dengan baik dalam hal</v>
      </c>
      <c r="Q126" s="23">
        <v>81</v>
      </c>
      <c r="R126" s="23" t="str">
        <f t="shared" si="3"/>
        <v>Mencapai kompetensi dengan baik dalam hal</v>
      </c>
      <c r="S126" s="23">
        <v>75</v>
      </c>
      <c r="T126" s="23" t="str">
        <f t="shared" si="4"/>
        <v>Mencapai kompetensi dengan baik dalam hal</v>
      </c>
      <c r="U126" s="23">
        <v>75</v>
      </c>
      <c r="V126" s="23" t="str">
        <f t="shared" si="5"/>
        <v>Mencapai kompetensi dengan baik dalam hal</v>
      </c>
      <c r="W126" s="23">
        <v>75</v>
      </c>
      <c r="X126" s="23" t="str">
        <f t="shared" si="6"/>
        <v>Mencapai kompetensi dengan baik dalam hal</v>
      </c>
      <c r="Y126" s="23">
        <v>75</v>
      </c>
      <c r="Z126" s="23" t="str">
        <f t="shared" si="7"/>
        <v>Mencapai kompetensi dengan baik dalam hal</v>
      </c>
      <c r="AA126" s="23">
        <v>76</v>
      </c>
      <c r="AB126" s="23" t="str">
        <f t="shared" si="8"/>
        <v>Mencapai kompetensi dengan baik dalam hal</v>
      </c>
      <c r="AC126" s="23">
        <v>79</v>
      </c>
      <c r="AD126" s="23" t="str">
        <f t="shared" si="9"/>
        <v>Mencapai kompetensi dengan baik dalam hal</v>
      </c>
      <c r="AE126" s="23">
        <v>80</v>
      </c>
      <c r="AF126" s="23" t="str">
        <f t="shared" si="10"/>
        <v>Mencapai kompetensi dengan baik dalam hal</v>
      </c>
      <c r="AG126" s="23">
        <v>81</v>
      </c>
      <c r="AH126" s="23" t="str">
        <f t="shared" si="11"/>
        <v>Mencapai kompetensi dengan baik dalam hal</v>
      </c>
      <c r="AI126" s="62">
        <f t="shared" si="26"/>
        <v>80.5</v>
      </c>
      <c r="AJ126" s="23">
        <v>76</v>
      </c>
      <c r="AK126" s="23" t="str">
        <f t="shared" si="12"/>
        <v>Mencapai kompetensi dengan baik dalam hal</v>
      </c>
      <c r="AL126" s="23">
        <v>77</v>
      </c>
      <c r="AM126" s="18" t="str">
        <f t="shared" si="13"/>
        <v>Mencapai kompetensi dengan baik dalam hal</v>
      </c>
      <c r="AN126" s="23" t="s">
        <v>81</v>
      </c>
      <c r="AO126" s="23" t="s">
        <v>81</v>
      </c>
      <c r="AP126" s="23" t="s">
        <v>81</v>
      </c>
      <c r="AQ126" s="23">
        <v>1</v>
      </c>
      <c r="AR126" s="23" t="s">
        <v>82</v>
      </c>
      <c r="AS126" s="18" t="s">
        <v>83</v>
      </c>
      <c r="AT126" s="23" t="s">
        <v>84</v>
      </c>
      <c r="AU126" s="18" t="str">
        <f t="shared" si="29"/>
        <v>Baik</v>
      </c>
      <c r="AV126" s="23">
        <v>2</v>
      </c>
      <c r="AW126" s="18" t="s">
        <v>429</v>
      </c>
      <c r="AX126" s="18" t="s">
        <v>83</v>
      </c>
      <c r="AY126" s="23" t="s">
        <v>84</v>
      </c>
      <c r="AZ126" s="18" t="str">
        <f t="shared" si="30"/>
        <v>Baik</v>
      </c>
      <c r="BA126" s="23"/>
      <c r="BB126" s="23"/>
      <c r="BC126" s="23"/>
      <c r="BD126" s="23"/>
      <c r="BE126" s="18"/>
      <c r="BG126" s="20"/>
      <c r="BH126" s="20"/>
      <c r="BN126" s="22">
        <f t="shared" si="25"/>
        <v>0</v>
      </c>
      <c r="BP126" s="115">
        <f t="shared" si="27"/>
        <v>76.961538461538467</v>
      </c>
      <c r="BQ126" s="22">
        <f t="shared" si="31"/>
        <v>21</v>
      </c>
    </row>
    <row r="127" spans="1:69" ht="24.95" customHeight="1" thickTop="1" thickBot="1" x14ac:dyDescent="0.3">
      <c r="A127" s="23">
        <v>126</v>
      </c>
      <c r="B127" s="23">
        <v>2525707</v>
      </c>
      <c r="C127" s="23" t="s">
        <v>1106</v>
      </c>
      <c r="D127" s="18" t="s">
        <v>1107</v>
      </c>
      <c r="E127" s="23" t="s">
        <v>1070</v>
      </c>
      <c r="F127" s="23" t="s">
        <v>845</v>
      </c>
      <c r="G127" s="24" t="s">
        <v>1071</v>
      </c>
      <c r="H127" s="24" t="s">
        <v>1072</v>
      </c>
      <c r="I127" s="60" t="s">
        <v>76</v>
      </c>
      <c r="J127" s="61" t="s">
        <v>77</v>
      </c>
      <c r="K127" s="23">
        <v>77</v>
      </c>
      <c r="L127" s="23" t="str">
        <f t="shared" si="0"/>
        <v>Mencapai kompetensi dengan baik dalam hal</v>
      </c>
      <c r="M127" s="23">
        <v>71</v>
      </c>
      <c r="N127" s="23" t="str">
        <f t="shared" si="1"/>
        <v>Perlu peningkatan dalam hal</v>
      </c>
      <c r="O127" s="23">
        <v>75</v>
      </c>
      <c r="P127" s="23" t="str">
        <f t="shared" si="2"/>
        <v>Mencapai kompetensi dengan baik dalam hal</v>
      </c>
      <c r="Q127" s="23">
        <v>80</v>
      </c>
      <c r="R127" s="23" t="str">
        <f t="shared" si="3"/>
        <v>Mencapai kompetensi dengan baik dalam hal</v>
      </c>
      <c r="S127" s="23">
        <v>75</v>
      </c>
      <c r="T127" s="23" t="str">
        <f t="shared" si="4"/>
        <v>Mencapai kompetensi dengan baik dalam hal</v>
      </c>
      <c r="U127" s="23">
        <v>70</v>
      </c>
      <c r="V127" s="23" t="str">
        <f t="shared" si="5"/>
        <v>Perlu peningkatan dalam hal</v>
      </c>
      <c r="W127" s="23">
        <v>73</v>
      </c>
      <c r="X127" s="23" t="str">
        <f t="shared" si="6"/>
        <v>Perlu peningkatan dalam hal</v>
      </c>
      <c r="Y127" s="23">
        <v>75</v>
      </c>
      <c r="Z127" s="23" t="str">
        <f t="shared" si="7"/>
        <v>Mencapai kompetensi dengan baik dalam hal</v>
      </c>
      <c r="AA127" s="23">
        <v>76</v>
      </c>
      <c r="AB127" s="23" t="str">
        <f t="shared" si="8"/>
        <v>Mencapai kompetensi dengan baik dalam hal</v>
      </c>
      <c r="AC127" s="23">
        <v>75</v>
      </c>
      <c r="AD127" s="23" t="str">
        <f t="shared" si="9"/>
        <v>Mencapai kompetensi dengan baik dalam hal</v>
      </c>
      <c r="AE127" s="23">
        <v>75</v>
      </c>
      <c r="AF127" s="23" t="str">
        <f t="shared" si="10"/>
        <v>Mencapai kompetensi dengan baik dalam hal</v>
      </c>
      <c r="AG127" s="23">
        <v>76</v>
      </c>
      <c r="AH127" s="23" t="str">
        <f t="shared" si="11"/>
        <v>Mencapai kompetensi dengan baik dalam hal</v>
      </c>
      <c r="AI127" s="62">
        <f t="shared" si="26"/>
        <v>75.5</v>
      </c>
      <c r="AJ127" s="23">
        <v>76</v>
      </c>
      <c r="AK127" s="23" t="str">
        <f t="shared" si="12"/>
        <v>Mencapai kompetensi dengan baik dalam hal</v>
      </c>
      <c r="AL127" s="23">
        <v>77</v>
      </c>
      <c r="AM127" s="18" t="str">
        <f t="shared" si="13"/>
        <v>Mencapai kompetensi dengan baik dalam hal</v>
      </c>
      <c r="AN127" s="23" t="s">
        <v>81</v>
      </c>
      <c r="AO127" s="23" t="s">
        <v>81</v>
      </c>
      <c r="AP127" s="23" t="s">
        <v>81</v>
      </c>
      <c r="AQ127" s="23">
        <v>1</v>
      </c>
      <c r="AR127" s="23" t="s">
        <v>82</v>
      </c>
      <c r="AS127" s="18" t="s">
        <v>83</v>
      </c>
      <c r="AT127" s="23" t="s">
        <v>104</v>
      </c>
      <c r="AU127" s="18" t="str">
        <f t="shared" si="29"/>
        <v>Cukup</v>
      </c>
      <c r="AV127" s="23">
        <v>2</v>
      </c>
      <c r="AW127" s="18" t="s">
        <v>1073</v>
      </c>
      <c r="AX127" s="18" t="s">
        <v>83</v>
      </c>
      <c r="AY127" s="23" t="s">
        <v>104</v>
      </c>
      <c r="AZ127" s="18" t="str">
        <f t="shared" si="30"/>
        <v>Cukup</v>
      </c>
      <c r="BA127" s="23"/>
      <c r="BB127" s="23"/>
      <c r="BC127" s="23"/>
      <c r="BD127" s="23"/>
      <c r="BE127" s="18"/>
      <c r="BG127" s="20"/>
      <c r="BH127" s="20"/>
      <c r="BN127" s="22">
        <f t="shared" si="25"/>
        <v>3</v>
      </c>
      <c r="BP127" s="115">
        <f t="shared" si="27"/>
        <v>75.038461538461533</v>
      </c>
      <c r="BQ127" s="22">
        <f t="shared" si="31"/>
        <v>37</v>
      </c>
    </row>
    <row r="128" spans="1:69" ht="24.95" customHeight="1" thickTop="1" thickBot="1" x14ac:dyDescent="0.3">
      <c r="A128" s="23">
        <v>127</v>
      </c>
      <c r="B128" s="23">
        <v>2525708</v>
      </c>
      <c r="C128" s="23" t="s">
        <v>1108</v>
      </c>
      <c r="D128" s="18" t="s">
        <v>1109</v>
      </c>
      <c r="E128" s="23" t="s">
        <v>1070</v>
      </c>
      <c r="F128" s="23" t="s">
        <v>845</v>
      </c>
      <c r="G128" s="24" t="s">
        <v>1071</v>
      </c>
      <c r="H128" s="24" t="s">
        <v>1072</v>
      </c>
      <c r="I128" s="60" t="s">
        <v>76</v>
      </c>
      <c r="J128" s="61" t="s">
        <v>77</v>
      </c>
      <c r="K128" s="23">
        <v>81</v>
      </c>
      <c r="L128" s="23" t="str">
        <f t="shared" si="0"/>
        <v>Mencapai kompetensi dengan baik dalam hal</v>
      </c>
      <c r="M128" s="23">
        <v>80</v>
      </c>
      <c r="N128" s="23" t="str">
        <f t="shared" si="1"/>
        <v>Mencapai kompetensi dengan baik dalam hal</v>
      </c>
      <c r="O128" s="23">
        <v>80</v>
      </c>
      <c r="P128" s="23" t="str">
        <f t="shared" si="2"/>
        <v>Mencapai kompetensi dengan baik dalam hal</v>
      </c>
      <c r="Q128" s="23">
        <v>83</v>
      </c>
      <c r="R128" s="23" t="str">
        <f t="shared" si="3"/>
        <v>Mencapai kompetensi dengan baik dalam hal</v>
      </c>
      <c r="S128" s="23">
        <v>76</v>
      </c>
      <c r="T128" s="23" t="str">
        <f t="shared" si="4"/>
        <v>Mencapai kompetensi dengan baik dalam hal</v>
      </c>
      <c r="U128" s="23">
        <v>75</v>
      </c>
      <c r="V128" s="23" t="str">
        <f t="shared" si="5"/>
        <v>Mencapai kompetensi dengan baik dalam hal</v>
      </c>
      <c r="W128" s="23">
        <v>83</v>
      </c>
      <c r="X128" s="23" t="str">
        <f t="shared" si="6"/>
        <v>Mencapai kompetensi dengan baik dalam hal</v>
      </c>
      <c r="Y128" s="23">
        <v>80</v>
      </c>
      <c r="Z128" s="23" t="str">
        <f t="shared" si="7"/>
        <v>Mencapai kompetensi dengan baik dalam hal</v>
      </c>
      <c r="AA128" s="23">
        <v>83</v>
      </c>
      <c r="AB128" s="23" t="str">
        <f t="shared" si="8"/>
        <v>Mencapai kompetensi dengan baik dalam hal</v>
      </c>
      <c r="AC128" s="23">
        <v>88</v>
      </c>
      <c r="AD128" s="23" t="str">
        <f t="shared" si="9"/>
        <v>Mencapai kompetensi dengan baik dalam hal</v>
      </c>
      <c r="AE128" s="23">
        <v>76</v>
      </c>
      <c r="AF128" s="23" t="str">
        <f t="shared" si="10"/>
        <v>Mencapai kompetensi dengan baik dalam hal</v>
      </c>
      <c r="AG128" s="23">
        <v>77</v>
      </c>
      <c r="AH128" s="23" t="str">
        <f t="shared" si="11"/>
        <v>Mencapai kompetensi dengan baik dalam hal</v>
      </c>
      <c r="AI128" s="62">
        <f t="shared" si="26"/>
        <v>76.5</v>
      </c>
      <c r="AJ128" s="23">
        <v>83</v>
      </c>
      <c r="AK128" s="23" t="str">
        <f t="shared" si="12"/>
        <v>Mencapai kompetensi dengan baik dalam hal</v>
      </c>
      <c r="AL128" s="23">
        <v>80</v>
      </c>
      <c r="AM128" s="18" t="str">
        <f t="shared" si="13"/>
        <v>Mencapai kompetensi dengan baik dalam hal</v>
      </c>
      <c r="AN128" s="23" t="s">
        <v>81</v>
      </c>
      <c r="AO128" s="23" t="s">
        <v>81</v>
      </c>
      <c r="AP128" s="23" t="s">
        <v>81</v>
      </c>
      <c r="AQ128" s="23">
        <v>1</v>
      </c>
      <c r="AR128" s="23" t="s">
        <v>82</v>
      </c>
      <c r="AS128" s="18" t="s">
        <v>83</v>
      </c>
      <c r="AT128" s="23" t="s">
        <v>86</v>
      </c>
      <c r="AU128" s="18" t="str">
        <f t="shared" si="29"/>
        <v>Sangat baik</v>
      </c>
      <c r="AV128" s="23">
        <v>2</v>
      </c>
      <c r="AW128" s="18" t="s">
        <v>103</v>
      </c>
      <c r="AX128" s="18" t="s">
        <v>83</v>
      </c>
      <c r="AY128" s="23" t="s">
        <v>84</v>
      </c>
      <c r="AZ128" s="18" t="str">
        <f t="shared" si="30"/>
        <v>Baik</v>
      </c>
      <c r="BA128" s="23"/>
      <c r="BB128" s="23"/>
      <c r="BC128" s="23"/>
      <c r="BD128" s="23"/>
      <c r="BE128" s="18"/>
      <c r="BG128" s="20"/>
      <c r="BH128" s="20"/>
      <c r="BN128" s="22">
        <f t="shared" si="25"/>
        <v>0</v>
      </c>
      <c r="BP128" s="115">
        <f t="shared" si="27"/>
        <v>80.65384615384616</v>
      </c>
      <c r="BQ128" s="22">
        <f t="shared" si="31"/>
        <v>3</v>
      </c>
    </row>
    <row r="129" spans="1:69" ht="24.95" customHeight="1" thickTop="1" thickBot="1" x14ac:dyDescent="0.3">
      <c r="A129" s="23">
        <v>128</v>
      </c>
      <c r="B129" s="23">
        <v>2525709</v>
      </c>
      <c r="C129" s="23" t="s">
        <v>1110</v>
      </c>
      <c r="D129" s="18" t="s">
        <v>1111</v>
      </c>
      <c r="E129" s="23" t="s">
        <v>1070</v>
      </c>
      <c r="F129" s="23" t="s">
        <v>845</v>
      </c>
      <c r="G129" s="24" t="s">
        <v>1071</v>
      </c>
      <c r="H129" s="24" t="s">
        <v>1072</v>
      </c>
      <c r="I129" s="60" t="s">
        <v>76</v>
      </c>
      <c r="J129" s="61" t="s">
        <v>77</v>
      </c>
      <c r="K129" s="23">
        <v>80</v>
      </c>
      <c r="L129" s="23" t="str">
        <f t="shared" si="0"/>
        <v>Mencapai kompetensi dengan baik dalam hal</v>
      </c>
      <c r="M129" s="23">
        <v>78</v>
      </c>
      <c r="N129" s="23" t="str">
        <f t="shared" si="1"/>
        <v>Mencapai kompetensi dengan baik dalam hal</v>
      </c>
      <c r="O129" s="23">
        <v>79</v>
      </c>
      <c r="P129" s="23" t="str">
        <f t="shared" si="2"/>
        <v>Mencapai kompetensi dengan baik dalam hal</v>
      </c>
      <c r="Q129" s="23">
        <v>79</v>
      </c>
      <c r="R129" s="23" t="str">
        <f t="shared" si="3"/>
        <v>Mencapai kompetensi dengan baik dalam hal</v>
      </c>
      <c r="S129" s="23">
        <v>82</v>
      </c>
      <c r="T129" s="23" t="str">
        <f t="shared" si="4"/>
        <v>Mencapai kompetensi dengan baik dalam hal</v>
      </c>
      <c r="U129" s="23">
        <v>80</v>
      </c>
      <c r="V129" s="23" t="str">
        <f t="shared" si="5"/>
        <v>Mencapai kompetensi dengan baik dalam hal</v>
      </c>
      <c r="W129" s="23">
        <v>76</v>
      </c>
      <c r="X129" s="23" t="str">
        <f t="shared" si="6"/>
        <v>Mencapai kompetensi dengan baik dalam hal</v>
      </c>
      <c r="Y129" s="23">
        <v>83</v>
      </c>
      <c r="Z129" s="23" t="str">
        <f t="shared" si="7"/>
        <v>Mencapai kompetensi dengan baik dalam hal</v>
      </c>
      <c r="AA129" s="23">
        <v>82</v>
      </c>
      <c r="AB129" s="23" t="str">
        <f t="shared" si="8"/>
        <v>Mencapai kompetensi dengan baik dalam hal</v>
      </c>
      <c r="AC129" s="23">
        <v>90</v>
      </c>
      <c r="AD129" s="23" t="str">
        <f t="shared" si="9"/>
        <v>Mencapai kompetensi dengan sangat baik dalam hal</v>
      </c>
      <c r="AE129" s="23">
        <v>76</v>
      </c>
      <c r="AF129" s="23" t="str">
        <f t="shared" si="10"/>
        <v>Mencapai kompetensi dengan baik dalam hal</v>
      </c>
      <c r="AG129" s="23">
        <v>77</v>
      </c>
      <c r="AH129" s="23" t="str">
        <f t="shared" si="11"/>
        <v>Mencapai kompetensi dengan baik dalam hal</v>
      </c>
      <c r="AI129" s="62">
        <f t="shared" si="26"/>
        <v>76.5</v>
      </c>
      <c r="AJ129" s="23">
        <v>82</v>
      </c>
      <c r="AK129" s="23" t="str">
        <f t="shared" si="12"/>
        <v>Mencapai kompetensi dengan baik dalam hal</v>
      </c>
      <c r="AL129" s="23">
        <v>80</v>
      </c>
      <c r="AM129" s="18" t="str">
        <f t="shared" si="13"/>
        <v>Mencapai kompetensi dengan baik dalam hal</v>
      </c>
      <c r="AN129" s="23" t="s">
        <v>81</v>
      </c>
      <c r="AO129" s="23" t="s">
        <v>81</v>
      </c>
      <c r="AP129" s="23" t="s">
        <v>81</v>
      </c>
      <c r="AQ129" s="23">
        <v>1</v>
      </c>
      <c r="AR129" s="23" t="s">
        <v>82</v>
      </c>
      <c r="AS129" s="18" t="s">
        <v>83</v>
      </c>
      <c r="AT129" s="23" t="s">
        <v>86</v>
      </c>
      <c r="AU129" s="18" t="str">
        <f t="shared" si="29"/>
        <v>Sangat baik</v>
      </c>
      <c r="AV129" s="23">
        <v>2</v>
      </c>
      <c r="AW129" s="18" t="s">
        <v>170</v>
      </c>
      <c r="AX129" s="18" t="s">
        <v>83</v>
      </c>
      <c r="AY129" s="23" t="s">
        <v>86</v>
      </c>
      <c r="AZ129" s="18" t="str">
        <f t="shared" si="30"/>
        <v>Sangat baik</v>
      </c>
      <c r="BA129" s="23"/>
      <c r="BB129" s="23"/>
      <c r="BC129" s="23"/>
      <c r="BD129" s="23"/>
      <c r="BE129" s="18"/>
      <c r="BG129" s="20"/>
      <c r="BH129" s="20"/>
      <c r="BN129" s="22">
        <f t="shared" si="25"/>
        <v>0</v>
      </c>
      <c r="BP129" s="115">
        <f t="shared" si="27"/>
        <v>80.57692307692308</v>
      </c>
      <c r="BQ129" s="22">
        <f t="shared" si="31"/>
        <v>4</v>
      </c>
    </row>
    <row r="130" spans="1:69" ht="24.95" customHeight="1" thickTop="1" thickBot="1" x14ac:dyDescent="0.3">
      <c r="A130" s="23">
        <v>129</v>
      </c>
      <c r="B130" s="23">
        <v>2525710</v>
      </c>
      <c r="C130" s="23" t="s">
        <v>1112</v>
      </c>
      <c r="D130" s="18" t="s">
        <v>1113</v>
      </c>
      <c r="E130" s="23" t="s">
        <v>1070</v>
      </c>
      <c r="F130" s="23" t="s">
        <v>845</v>
      </c>
      <c r="G130" s="24" t="s">
        <v>1071</v>
      </c>
      <c r="H130" s="24" t="s">
        <v>1072</v>
      </c>
      <c r="I130" s="60" t="s">
        <v>76</v>
      </c>
      <c r="J130" s="61" t="s">
        <v>77</v>
      </c>
      <c r="K130" s="23">
        <v>80</v>
      </c>
      <c r="L130" s="23" t="str">
        <f t="shared" si="0"/>
        <v>Mencapai kompetensi dengan baik dalam hal</v>
      </c>
      <c r="M130" s="23">
        <v>77</v>
      </c>
      <c r="N130" s="23" t="str">
        <f t="shared" si="1"/>
        <v>Mencapai kompetensi dengan baik dalam hal</v>
      </c>
      <c r="O130" s="23">
        <v>75</v>
      </c>
      <c r="P130" s="23" t="str">
        <f t="shared" si="2"/>
        <v>Mencapai kompetensi dengan baik dalam hal</v>
      </c>
      <c r="Q130" s="23">
        <v>80</v>
      </c>
      <c r="R130" s="23" t="str">
        <f t="shared" si="3"/>
        <v>Mencapai kompetensi dengan baik dalam hal</v>
      </c>
      <c r="S130" s="23">
        <v>81</v>
      </c>
      <c r="T130" s="23" t="str">
        <f t="shared" si="4"/>
        <v>Mencapai kompetensi dengan baik dalam hal</v>
      </c>
      <c r="U130" s="23">
        <v>75</v>
      </c>
      <c r="V130" s="23" t="str">
        <f t="shared" si="5"/>
        <v>Mencapai kompetensi dengan baik dalam hal</v>
      </c>
      <c r="W130" s="23">
        <v>75</v>
      </c>
      <c r="X130" s="23" t="str">
        <f t="shared" si="6"/>
        <v>Mencapai kompetensi dengan baik dalam hal</v>
      </c>
      <c r="Y130" s="23">
        <v>78</v>
      </c>
      <c r="Z130" s="23" t="str">
        <f t="shared" si="7"/>
        <v>Mencapai kompetensi dengan baik dalam hal</v>
      </c>
      <c r="AA130" s="23">
        <v>77</v>
      </c>
      <c r="AB130" s="23" t="str">
        <f t="shared" si="8"/>
        <v>Mencapai kompetensi dengan baik dalam hal</v>
      </c>
      <c r="AC130" s="23">
        <v>78</v>
      </c>
      <c r="AD130" s="23" t="str">
        <f t="shared" si="9"/>
        <v>Mencapai kompetensi dengan baik dalam hal</v>
      </c>
      <c r="AE130" s="23">
        <v>77</v>
      </c>
      <c r="AF130" s="23" t="str">
        <f t="shared" si="10"/>
        <v>Mencapai kompetensi dengan baik dalam hal</v>
      </c>
      <c r="AG130" s="23">
        <v>78</v>
      </c>
      <c r="AH130" s="23" t="str">
        <f t="shared" si="11"/>
        <v>Mencapai kompetensi dengan baik dalam hal</v>
      </c>
      <c r="AI130" s="62">
        <f t="shared" si="26"/>
        <v>77.5</v>
      </c>
      <c r="AJ130" s="23">
        <v>77</v>
      </c>
      <c r="AK130" s="23" t="str">
        <f t="shared" si="12"/>
        <v>Mencapai kompetensi dengan baik dalam hal</v>
      </c>
      <c r="AL130" s="23">
        <v>79</v>
      </c>
      <c r="AM130" s="18" t="str">
        <f t="shared" si="13"/>
        <v>Mencapai kompetensi dengan baik dalam hal</v>
      </c>
      <c r="AN130" s="23" t="s">
        <v>81</v>
      </c>
      <c r="AO130" s="23" t="s">
        <v>81</v>
      </c>
      <c r="AP130" s="23" t="s">
        <v>81</v>
      </c>
      <c r="AQ130" s="23">
        <v>1</v>
      </c>
      <c r="AR130" s="23" t="s">
        <v>82</v>
      </c>
      <c r="AS130" s="18" t="s">
        <v>83</v>
      </c>
      <c r="AT130" s="23" t="s">
        <v>86</v>
      </c>
      <c r="AU130" s="18" t="str">
        <f t="shared" ref="AU130:AU142" si="32">VLOOKUP(AT130,grades4,2,TRUE)</f>
        <v>Sangat baik</v>
      </c>
      <c r="AV130" s="23">
        <v>2</v>
      </c>
      <c r="AW130" s="18" t="s">
        <v>85</v>
      </c>
      <c r="AX130" s="18" t="s">
        <v>83</v>
      </c>
      <c r="AY130" s="23" t="s">
        <v>84</v>
      </c>
      <c r="AZ130" s="18" t="str">
        <f t="shared" ref="AZ130:AZ142" si="33">VLOOKUP(AY130,grades4,2,TRUE)</f>
        <v>Baik</v>
      </c>
      <c r="BA130" s="23">
        <v>3</v>
      </c>
      <c r="BB130" s="23" t="s">
        <v>87</v>
      </c>
      <c r="BC130" s="23" t="s">
        <v>83</v>
      </c>
      <c r="BD130" s="23" t="s">
        <v>84</v>
      </c>
      <c r="BE130" s="18" t="str">
        <f>VLOOKUP(BD130,grades4,2,TRUE)</f>
        <v>Baik</v>
      </c>
      <c r="BG130" s="20"/>
      <c r="BH130" s="20"/>
      <c r="BN130" s="22">
        <f t="shared" ref="BN130:BN145" si="34">COUNTIFS(K130:AL130,"&gt;=0",K130:AL130,"&lt;75")</f>
        <v>0</v>
      </c>
      <c r="BP130" s="115">
        <f t="shared" si="27"/>
        <v>77.65384615384616</v>
      </c>
      <c r="BQ130" s="22">
        <f t="shared" si="31"/>
        <v>18</v>
      </c>
    </row>
    <row r="131" spans="1:69" ht="24.95" customHeight="1" thickTop="1" thickBot="1" x14ac:dyDescent="0.3">
      <c r="A131" s="23">
        <v>130</v>
      </c>
      <c r="B131" s="23">
        <v>2525711</v>
      </c>
      <c r="C131" s="23" t="s">
        <v>1114</v>
      </c>
      <c r="D131" s="18" t="s">
        <v>1115</v>
      </c>
      <c r="E131" s="23" t="s">
        <v>1070</v>
      </c>
      <c r="F131" s="23" t="s">
        <v>845</v>
      </c>
      <c r="G131" s="24" t="s">
        <v>1071</v>
      </c>
      <c r="H131" s="24" t="s">
        <v>1072</v>
      </c>
      <c r="I131" s="60" t="s">
        <v>76</v>
      </c>
      <c r="J131" s="61" t="s">
        <v>77</v>
      </c>
      <c r="K131" s="23">
        <v>78</v>
      </c>
      <c r="L131" s="23" t="str">
        <f t="shared" si="0"/>
        <v>Mencapai kompetensi dengan baik dalam hal</v>
      </c>
      <c r="M131" s="23">
        <v>76</v>
      </c>
      <c r="N131" s="23" t="str">
        <f t="shared" si="1"/>
        <v>Mencapai kompetensi dengan baik dalam hal</v>
      </c>
      <c r="O131" s="23">
        <v>75</v>
      </c>
      <c r="P131" s="23" t="str">
        <f t="shared" si="2"/>
        <v>Mencapai kompetensi dengan baik dalam hal</v>
      </c>
      <c r="Q131" s="23">
        <v>82</v>
      </c>
      <c r="R131" s="23" t="str">
        <f t="shared" si="3"/>
        <v>Mencapai kompetensi dengan baik dalam hal</v>
      </c>
      <c r="S131" s="23">
        <v>75</v>
      </c>
      <c r="T131" s="23" t="str">
        <f t="shared" si="4"/>
        <v>Mencapai kompetensi dengan baik dalam hal</v>
      </c>
      <c r="U131" s="23">
        <v>75</v>
      </c>
      <c r="V131" s="23" t="str">
        <f t="shared" si="5"/>
        <v>Mencapai kompetensi dengan baik dalam hal</v>
      </c>
      <c r="W131" s="23">
        <v>75</v>
      </c>
      <c r="X131" s="23" t="str">
        <f t="shared" si="6"/>
        <v>Mencapai kompetensi dengan baik dalam hal</v>
      </c>
      <c r="Y131" s="23">
        <v>78</v>
      </c>
      <c r="Z131" s="23" t="str">
        <f t="shared" si="7"/>
        <v>Mencapai kompetensi dengan baik dalam hal</v>
      </c>
      <c r="AA131" s="23">
        <v>78</v>
      </c>
      <c r="AB131" s="23" t="str">
        <f t="shared" si="8"/>
        <v>Mencapai kompetensi dengan baik dalam hal</v>
      </c>
      <c r="AC131" s="23">
        <v>75</v>
      </c>
      <c r="AD131" s="23" t="str">
        <f t="shared" si="9"/>
        <v>Mencapai kompetensi dengan baik dalam hal</v>
      </c>
      <c r="AE131" s="23">
        <v>76</v>
      </c>
      <c r="AF131" s="23" t="str">
        <f t="shared" si="10"/>
        <v>Mencapai kompetensi dengan baik dalam hal</v>
      </c>
      <c r="AG131" s="23">
        <v>77</v>
      </c>
      <c r="AH131" s="23" t="str">
        <f t="shared" si="11"/>
        <v>Mencapai kompetensi dengan baik dalam hal</v>
      </c>
      <c r="AI131" s="62">
        <f t="shared" ref="AI131:AI145" si="35">AVERAGE(AG131,AE131)</f>
        <v>76.5</v>
      </c>
      <c r="AJ131" s="23">
        <v>78</v>
      </c>
      <c r="AK131" s="23" t="str">
        <f t="shared" si="12"/>
        <v>Mencapai kompetensi dengan baik dalam hal</v>
      </c>
      <c r="AL131" s="23">
        <v>78</v>
      </c>
      <c r="AM131" s="18" t="str">
        <f t="shared" si="13"/>
        <v>Mencapai kompetensi dengan baik dalam hal</v>
      </c>
      <c r="AN131" s="23" t="s">
        <v>81</v>
      </c>
      <c r="AO131" s="23" t="s">
        <v>81</v>
      </c>
      <c r="AP131" s="23">
        <v>1</v>
      </c>
      <c r="AQ131" s="23">
        <v>1</v>
      </c>
      <c r="AR131" s="23" t="s">
        <v>82</v>
      </c>
      <c r="AS131" s="18" t="s">
        <v>83</v>
      </c>
      <c r="AT131" s="23" t="s">
        <v>84</v>
      </c>
      <c r="AU131" s="18" t="str">
        <f t="shared" si="32"/>
        <v>Baik</v>
      </c>
      <c r="AV131" s="23">
        <v>2</v>
      </c>
      <c r="AW131" s="18" t="s">
        <v>1073</v>
      </c>
      <c r="AX131" s="18" t="s">
        <v>83</v>
      </c>
      <c r="AY131" s="23" t="s">
        <v>84</v>
      </c>
      <c r="AZ131" s="18" t="str">
        <f t="shared" si="33"/>
        <v>Baik</v>
      </c>
      <c r="BA131" s="23"/>
      <c r="BB131" s="23"/>
      <c r="BC131" s="23"/>
      <c r="BD131" s="23"/>
      <c r="BE131" s="18"/>
      <c r="BG131" s="20"/>
      <c r="BH131" s="20"/>
      <c r="BN131" s="22">
        <f t="shared" si="34"/>
        <v>0</v>
      </c>
      <c r="BP131" s="115">
        <f t="shared" ref="BP131:BP145" si="36">AVERAGE(K131,M131,O131,Q131,S131,U131,W131,Y131,AA131,AC131,AI131,AJ131,AL131)</f>
        <v>76.884615384615387</v>
      </c>
      <c r="BQ131" s="22">
        <f t="shared" si="31"/>
        <v>22</v>
      </c>
    </row>
    <row r="132" spans="1:69" ht="24.95" customHeight="1" thickTop="1" thickBot="1" x14ac:dyDescent="0.3">
      <c r="A132" s="23">
        <v>131</v>
      </c>
      <c r="B132" s="23">
        <v>2525712</v>
      </c>
      <c r="C132" s="23" t="s">
        <v>1116</v>
      </c>
      <c r="D132" s="18" t="s">
        <v>1117</v>
      </c>
      <c r="E132" s="23" t="s">
        <v>1070</v>
      </c>
      <c r="F132" s="23" t="s">
        <v>845</v>
      </c>
      <c r="G132" s="24" t="s">
        <v>1071</v>
      </c>
      <c r="H132" s="24" t="s">
        <v>1072</v>
      </c>
      <c r="I132" s="60" t="s">
        <v>76</v>
      </c>
      <c r="J132" s="61" t="s">
        <v>77</v>
      </c>
      <c r="K132" s="23">
        <v>79</v>
      </c>
      <c r="L132" s="23" t="str">
        <f t="shared" si="0"/>
        <v>Mencapai kompetensi dengan baik dalam hal</v>
      </c>
      <c r="M132" s="23">
        <v>76</v>
      </c>
      <c r="N132" s="23" t="str">
        <f t="shared" si="1"/>
        <v>Mencapai kompetensi dengan baik dalam hal</v>
      </c>
      <c r="O132" s="23">
        <v>75</v>
      </c>
      <c r="P132" s="23" t="str">
        <f t="shared" si="2"/>
        <v>Mencapai kompetensi dengan baik dalam hal</v>
      </c>
      <c r="Q132" s="23">
        <v>82</v>
      </c>
      <c r="R132" s="23" t="str">
        <f t="shared" si="3"/>
        <v>Mencapai kompetensi dengan baik dalam hal</v>
      </c>
      <c r="S132" s="23">
        <v>75</v>
      </c>
      <c r="T132" s="23" t="str">
        <f t="shared" si="4"/>
        <v>Mencapai kompetensi dengan baik dalam hal</v>
      </c>
      <c r="U132" s="23">
        <v>75</v>
      </c>
      <c r="V132" s="23" t="str">
        <f t="shared" si="5"/>
        <v>Mencapai kompetensi dengan baik dalam hal</v>
      </c>
      <c r="W132" s="23">
        <v>75</v>
      </c>
      <c r="X132" s="23" t="str">
        <f t="shared" si="6"/>
        <v>Mencapai kompetensi dengan baik dalam hal</v>
      </c>
      <c r="Y132" s="23">
        <v>75</v>
      </c>
      <c r="Z132" s="23" t="str">
        <f t="shared" si="7"/>
        <v>Mencapai kompetensi dengan baik dalam hal</v>
      </c>
      <c r="AA132" s="23">
        <v>83</v>
      </c>
      <c r="AB132" s="23" t="str">
        <f t="shared" si="8"/>
        <v>Mencapai kompetensi dengan baik dalam hal</v>
      </c>
      <c r="AC132" s="23">
        <v>78</v>
      </c>
      <c r="AD132" s="23" t="str">
        <f t="shared" si="9"/>
        <v>Mencapai kompetensi dengan baik dalam hal</v>
      </c>
      <c r="AE132" s="23">
        <v>80</v>
      </c>
      <c r="AF132" s="23" t="str">
        <f t="shared" si="10"/>
        <v>Mencapai kompetensi dengan baik dalam hal</v>
      </c>
      <c r="AG132" s="23">
        <v>81</v>
      </c>
      <c r="AH132" s="23" t="str">
        <f t="shared" si="11"/>
        <v>Mencapai kompetensi dengan baik dalam hal</v>
      </c>
      <c r="AI132" s="62">
        <f t="shared" si="35"/>
        <v>80.5</v>
      </c>
      <c r="AJ132" s="23">
        <v>83</v>
      </c>
      <c r="AK132" s="23" t="str">
        <f t="shared" si="12"/>
        <v>Mencapai kompetensi dengan baik dalam hal</v>
      </c>
      <c r="AL132" s="23">
        <v>78</v>
      </c>
      <c r="AM132" s="18" t="str">
        <f t="shared" si="13"/>
        <v>Mencapai kompetensi dengan baik dalam hal</v>
      </c>
      <c r="AN132" s="23">
        <v>1</v>
      </c>
      <c r="AO132" s="23" t="s">
        <v>81</v>
      </c>
      <c r="AP132" s="23">
        <v>2</v>
      </c>
      <c r="AQ132" s="23">
        <v>1</v>
      </c>
      <c r="AR132" s="23" t="s">
        <v>82</v>
      </c>
      <c r="AS132" s="18" t="s">
        <v>83</v>
      </c>
      <c r="AT132" s="23" t="s">
        <v>84</v>
      </c>
      <c r="AU132" s="18" t="str">
        <f t="shared" si="32"/>
        <v>Baik</v>
      </c>
      <c r="AV132" s="23">
        <v>2</v>
      </c>
      <c r="AW132" s="18" t="s">
        <v>162</v>
      </c>
      <c r="AX132" s="18" t="s">
        <v>83</v>
      </c>
      <c r="AY132" s="23" t="s">
        <v>84</v>
      </c>
      <c r="AZ132" s="18" t="str">
        <f t="shared" si="33"/>
        <v>Baik</v>
      </c>
      <c r="BA132" s="23"/>
      <c r="BB132" s="23"/>
      <c r="BC132" s="23"/>
      <c r="BD132" s="23"/>
      <c r="BE132" s="18"/>
      <c r="BG132" s="20"/>
      <c r="BH132" s="20"/>
      <c r="BN132" s="22">
        <f t="shared" si="34"/>
        <v>0</v>
      </c>
      <c r="BP132" s="115">
        <f t="shared" si="36"/>
        <v>78.038461538461533</v>
      </c>
      <c r="BQ132" s="22">
        <f t="shared" si="31"/>
        <v>16</v>
      </c>
    </row>
    <row r="133" spans="1:69" ht="24.95" customHeight="1" thickTop="1" thickBot="1" x14ac:dyDescent="0.3">
      <c r="A133" s="23">
        <v>132</v>
      </c>
      <c r="B133" s="23">
        <v>2525713</v>
      </c>
      <c r="C133" s="23" t="s">
        <v>1118</v>
      </c>
      <c r="D133" s="18" t="s">
        <v>1119</v>
      </c>
      <c r="E133" s="23" t="s">
        <v>1070</v>
      </c>
      <c r="F133" s="23" t="s">
        <v>845</v>
      </c>
      <c r="G133" s="24" t="s">
        <v>1071</v>
      </c>
      <c r="H133" s="24" t="s">
        <v>1072</v>
      </c>
      <c r="I133" s="60" t="s">
        <v>76</v>
      </c>
      <c r="J133" s="61" t="s">
        <v>77</v>
      </c>
      <c r="K133" s="23">
        <v>78</v>
      </c>
      <c r="L133" s="23" t="str">
        <f t="shared" si="0"/>
        <v>Mencapai kompetensi dengan baik dalam hal</v>
      </c>
      <c r="M133" s="23">
        <v>76</v>
      </c>
      <c r="N133" s="23" t="str">
        <f t="shared" si="1"/>
        <v>Mencapai kompetensi dengan baik dalam hal</v>
      </c>
      <c r="O133" s="23">
        <v>76</v>
      </c>
      <c r="P133" s="23" t="str">
        <f t="shared" si="2"/>
        <v>Mencapai kompetensi dengan baik dalam hal</v>
      </c>
      <c r="Q133" s="23">
        <v>83</v>
      </c>
      <c r="R133" s="23" t="str">
        <f t="shared" si="3"/>
        <v>Mencapai kompetensi dengan baik dalam hal</v>
      </c>
      <c r="S133" s="23">
        <v>75</v>
      </c>
      <c r="T133" s="23" t="str">
        <f t="shared" si="4"/>
        <v>Mencapai kompetensi dengan baik dalam hal</v>
      </c>
      <c r="U133" s="23">
        <v>75</v>
      </c>
      <c r="V133" s="23" t="str">
        <f t="shared" si="5"/>
        <v>Mencapai kompetensi dengan baik dalam hal</v>
      </c>
      <c r="W133" s="23">
        <v>75</v>
      </c>
      <c r="X133" s="23" t="str">
        <f t="shared" si="6"/>
        <v>Mencapai kompetensi dengan baik dalam hal</v>
      </c>
      <c r="Y133" s="23">
        <v>76</v>
      </c>
      <c r="Z133" s="23" t="str">
        <f t="shared" si="7"/>
        <v>Mencapai kompetensi dengan baik dalam hal</v>
      </c>
      <c r="AA133" s="23">
        <v>79</v>
      </c>
      <c r="AB133" s="23" t="str">
        <f t="shared" si="8"/>
        <v>Mencapai kompetensi dengan baik dalam hal</v>
      </c>
      <c r="AC133" s="23">
        <v>76</v>
      </c>
      <c r="AD133" s="23" t="str">
        <f t="shared" si="9"/>
        <v>Mencapai kompetensi dengan baik dalam hal</v>
      </c>
      <c r="AE133" s="23">
        <v>77</v>
      </c>
      <c r="AF133" s="23" t="str">
        <f t="shared" si="10"/>
        <v>Mencapai kompetensi dengan baik dalam hal</v>
      </c>
      <c r="AG133" s="23">
        <v>78</v>
      </c>
      <c r="AH133" s="23" t="str">
        <f t="shared" si="11"/>
        <v>Mencapai kompetensi dengan baik dalam hal</v>
      </c>
      <c r="AI133" s="62">
        <f t="shared" si="35"/>
        <v>77.5</v>
      </c>
      <c r="AJ133" s="23">
        <v>79</v>
      </c>
      <c r="AK133" s="23" t="str">
        <f t="shared" si="12"/>
        <v>Mencapai kompetensi dengan baik dalam hal</v>
      </c>
      <c r="AL133" s="23">
        <v>77</v>
      </c>
      <c r="AM133" s="18" t="str">
        <f t="shared" si="13"/>
        <v>Mencapai kompetensi dengan baik dalam hal</v>
      </c>
      <c r="AN133" s="23" t="s">
        <v>81</v>
      </c>
      <c r="AO133" s="23" t="s">
        <v>81</v>
      </c>
      <c r="AP133" s="23" t="s">
        <v>81</v>
      </c>
      <c r="AQ133" s="23">
        <v>1</v>
      </c>
      <c r="AR133" s="23" t="s">
        <v>82</v>
      </c>
      <c r="AS133" s="18" t="s">
        <v>83</v>
      </c>
      <c r="AT133" s="23" t="s">
        <v>84</v>
      </c>
      <c r="AU133" s="18" t="str">
        <f t="shared" si="32"/>
        <v>Baik</v>
      </c>
      <c r="AV133" s="23">
        <v>2</v>
      </c>
      <c r="AW133" s="18" t="s">
        <v>103</v>
      </c>
      <c r="AX133" s="18" t="s">
        <v>83</v>
      </c>
      <c r="AY133" s="23" t="s">
        <v>84</v>
      </c>
      <c r="AZ133" s="18" t="str">
        <f t="shared" si="33"/>
        <v>Baik</v>
      </c>
      <c r="BA133" s="23"/>
      <c r="BB133" s="23"/>
      <c r="BC133" s="23"/>
      <c r="BD133" s="23"/>
      <c r="BE133" s="18"/>
      <c r="BG133" s="20"/>
      <c r="BH133" s="20"/>
      <c r="BN133" s="22">
        <f t="shared" si="34"/>
        <v>0</v>
      </c>
      <c r="BP133" s="115">
        <f t="shared" si="36"/>
        <v>77.115384615384613</v>
      </c>
      <c r="BQ133" s="22">
        <f t="shared" si="31"/>
        <v>19</v>
      </c>
    </row>
    <row r="134" spans="1:69" ht="24.95" customHeight="1" thickTop="1" thickBot="1" x14ac:dyDescent="0.3">
      <c r="A134" s="23">
        <v>133</v>
      </c>
      <c r="B134" s="23">
        <v>2525714</v>
      </c>
      <c r="C134" s="23" t="s">
        <v>1120</v>
      </c>
      <c r="D134" s="18" t="s">
        <v>1121</v>
      </c>
      <c r="E134" s="23" t="s">
        <v>1070</v>
      </c>
      <c r="F134" s="23" t="s">
        <v>845</v>
      </c>
      <c r="G134" s="24" t="s">
        <v>1071</v>
      </c>
      <c r="H134" s="24" t="s">
        <v>1072</v>
      </c>
      <c r="I134" s="60" t="s">
        <v>76</v>
      </c>
      <c r="J134" s="61" t="s">
        <v>77</v>
      </c>
      <c r="K134" s="23">
        <v>79</v>
      </c>
      <c r="L134" s="23" t="str">
        <f t="shared" ref="L134:L137" si="37">VLOOKUP(K134,grades1,2,TRUE)</f>
        <v>Mencapai kompetensi dengan baik dalam hal</v>
      </c>
      <c r="M134" s="23">
        <v>76</v>
      </c>
      <c r="N134" s="23" t="str">
        <f t="shared" ref="N134:N137" si="38">VLOOKUP(M134,grades1,2,TRUE)</f>
        <v>Mencapai kompetensi dengan baik dalam hal</v>
      </c>
      <c r="O134" s="23">
        <v>75</v>
      </c>
      <c r="P134" s="23" t="str">
        <f t="shared" ref="P134:P137" si="39">VLOOKUP(O134,grades1,2,TRUE)</f>
        <v>Mencapai kompetensi dengan baik dalam hal</v>
      </c>
      <c r="Q134" s="23">
        <v>81</v>
      </c>
      <c r="R134" s="23" t="str">
        <f t="shared" ref="R134:R137" si="40">VLOOKUP(Q134,grades1,2,TRUE)</f>
        <v>Mencapai kompetensi dengan baik dalam hal</v>
      </c>
      <c r="S134" s="23">
        <v>73</v>
      </c>
      <c r="T134" s="23" t="str">
        <f t="shared" ref="T134:T137" si="41">VLOOKUP(S134,grades1,2,TRUE)</f>
        <v>Perlu peningkatan dalam hal</v>
      </c>
      <c r="U134" s="23">
        <v>75</v>
      </c>
      <c r="V134" s="23" t="str">
        <f t="shared" ref="V134:V137" si="42">VLOOKUP(U134,grades1,2,TRUE)</f>
        <v>Mencapai kompetensi dengan baik dalam hal</v>
      </c>
      <c r="W134" s="23">
        <v>75</v>
      </c>
      <c r="X134" s="23" t="str">
        <f t="shared" ref="X134:X137" si="43">VLOOKUP(W134,grades1,2,TRUE)</f>
        <v>Mencapai kompetensi dengan baik dalam hal</v>
      </c>
      <c r="Y134" s="23">
        <v>75</v>
      </c>
      <c r="Z134" s="23" t="str">
        <f t="shared" ref="Z134:Z137" si="44">VLOOKUP(Y134,grades1,2,TRUE)</f>
        <v>Mencapai kompetensi dengan baik dalam hal</v>
      </c>
      <c r="AA134" s="23">
        <v>76</v>
      </c>
      <c r="AB134" s="23" t="str">
        <f t="shared" ref="AB134:AB137" si="45">VLOOKUP(AA134,grades1,2,TRUE)</f>
        <v>Mencapai kompetensi dengan baik dalam hal</v>
      </c>
      <c r="AC134" s="23">
        <v>75</v>
      </c>
      <c r="AD134" s="23" t="str">
        <f t="shared" ref="AD134:AD137" si="46">VLOOKUP(AC134,grades1,2,TRUE)</f>
        <v>Mencapai kompetensi dengan baik dalam hal</v>
      </c>
      <c r="AE134" s="23">
        <v>75</v>
      </c>
      <c r="AF134" s="23" t="str">
        <f t="shared" ref="AF134:AF137" si="47">VLOOKUP(AE134,grades1,2,TRUE)</f>
        <v>Mencapai kompetensi dengan baik dalam hal</v>
      </c>
      <c r="AG134" s="23">
        <v>76</v>
      </c>
      <c r="AH134" s="23" t="str">
        <f t="shared" ref="AH134:AH137" si="48">VLOOKUP(AG134,grades1,2,TRUE)</f>
        <v>Mencapai kompetensi dengan baik dalam hal</v>
      </c>
      <c r="AI134" s="62">
        <f t="shared" si="35"/>
        <v>75.5</v>
      </c>
      <c r="AJ134" s="23">
        <v>76</v>
      </c>
      <c r="AK134" s="23" t="str">
        <f t="shared" ref="AK134:AK145" si="49">VLOOKUP(AJ134,grades1,2,TRUE)</f>
        <v>Mencapai kompetensi dengan baik dalam hal</v>
      </c>
      <c r="AL134" s="23">
        <v>77</v>
      </c>
      <c r="AM134" s="18" t="str">
        <f t="shared" si="13"/>
        <v>Mencapai kompetensi dengan baik dalam hal</v>
      </c>
      <c r="AN134" s="23" t="s">
        <v>81</v>
      </c>
      <c r="AO134" s="23" t="s">
        <v>81</v>
      </c>
      <c r="AP134" s="23" t="s">
        <v>81</v>
      </c>
      <c r="AQ134" s="23">
        <v>1</v>
      </c>
      <c r="AR134" s="23" t="s">
        <v>82</v>
      </c>
      <c r="AS134" s="18" t="s">
        <v>83</v>
      </c>
      <c r="AT134" s="23" t="s">
        <v>86</v>
      </c>
      <c r="AU134" s="18" t="str">
        <f t="shared" si="32"/>
        <v>Sangat baik</v>
      </c>
      <c r="AV134" s="23">
        <v>2</v>
      </c>
      <c r="AW134" s="18" t="s">
        <v>429</v>
      </c>
      <c r="AX134" s="18" t="s">
        <v>83</v>
      </c>
      <c r="AY134" s="23" t="s">
        <v>86</v>
      </c>
      <c r="AZ134" s="18" t="str">
        <f t="shared" si="33"/>
        <v>Sangat baik</v>
      </c>
      <c r="BA134" s="23"/>
      <c r="BB134" s="23"/>
      <c r="BC134" s="23"/>
      <c r="BD134" s="23"/>
      <c r="BE134" s="18"/>
      <c r="BG134" s="20"/>
      <c r="BH134" s="20"/>
      <c r="BN134" s="22">
        <f t="shared" si="34"/>
        <v>1</v>
      </c>
      <c r="BP134" s="115">
        <f t="shared" si="36"/>
        <v>76.038461538461533</v>
      </c>
      <c r="BQ134" s="22">
        <f t="shared" si="31"/>
        <v>29</v>
      </c>
    </row>
    <row r="135" spans="1:69" ht="24.95" customHeight="1" thickTop="1" thickBot="1" x14ac:dyDescent="0.3">
      <c r="A135" s="23">
        <v>134</v>
      </c>
      <c r="B135" s="23">
        <v>2525715</v>
      </c>
      <c r="C135" s="23" t="s">
        <v>1122</v>
      </c>
      <c r="D135" s="18" t="s">
        <v>1123</v>
      </c>
      <c r="E135" s="23" t="s">
        <v>1070</v>
      </c>
      <c r="F135" s="23" t="s">
        <v>845</v>
      </c>
      <c r="G135" s="24" t="s">
        <v>1071</v>
      </c>
      <c r="H135" s="24" t="s">
        <v>1072</v>
      </c>
      <c r="I135" s="60" t="s">
        <v>76</v>
      </c>
      <c r="J135" s="61" t="s">
        <v>77</v>
      </c>
      <c r="K135" s="23">
        <v>77</v>
      </c>
      <c r="L135" s="23" t="str">
        <f t="shared" si="37"/>
        <v>Mencapai kompetensi dengan baik dalam hal</v>
      </c>
      <c r="M135" s="23">
        <v>76</v>
      </c>
      <c r="N135" s="23" t="str">
        <f t="shared" si="38"/>
        <v>Mencapai kompetensi dengan baik dalam hal</v>
      </c>
      <c r="O135" s="23">
        <v>76</v>
      </c>
      <c r="P135" s="23" t="str">
        <f t="shared" si="39"/>
        <v>Mencapai kompetensi dengan baik dalam hal</v>
      </c>
      <c r="Q135" s="23">
        <v>82</v>
      </c>
      <c r="R135" s="23" t="str">
        <f t="shared" si="40"/>
        <v>Mencapai kompetensi dengan baik dalam hal</v>
      </c>
      <c r="S135" s="23">
        <v>72</v>
      </c>
      <c r="T135" s="23" t="str">
        <f t="shared" si="41"/>
        <v>Perlu peningkatan dalam hal</v>
      </c>
      <c r="U135" s="23">
        <v>75</v>
      </c>
      <c r="V135" s="23" t="str">
        <f t="shared" si="42"/>
        <v>Mencapai kompetensi dengan baik dalam hal</v>
      </c>
      <c r="W135" s="23">
        <v>75</v>
      </c>
      <c r="X135" s="23" t="str">
        <f t="shared" si="43"/>
        <v>Mencapai kompetensi dengan baik dalam hal</v>
      </c>
      <c r="Y135" s="23">
        <v>78</v>
      </c>
      <c r="Z135" s="23" t="str">
        <f t="shared" si="44"/>
        <v>Mencapai kompetensi dengan baik dalam hal</v>
      </c>
      <c r="AA135" s="23">
        <v>76</v>
      </c>
      <c r="AB135" s="23" t="str">
        <f t="shared" si="45"/>
        <v>Mencapai kompetensi dengan baik dalam hal</v>
      </c>
      <c r="AC135" s="23">
        <v>75</v>
      </c>
      <c r="AD135" s="23" t="str">
        <f t="shared" si="46"/>
        <v>Mencapai kompetensi dengan baik dalam hal</v>
      </c>
      <c r="AE135" s="23">
        <v>77</v>
      </c>
      <c r="AF135" s="23" t="str">
        <f t="shared" si="47"/>
        <v>Mencapai kompetensi dengan baik dalam hal</v>
      </c>
      <c r="AG135" s="23">
        <v>78</v>
      </c>
      <c r="AH135" s="23" t="str">
        <f t="shared" si="48"/>
        <v>Mencapai kompetensi dengan baik dalam hal</v>
      </c>
      <c r="AI135" s="62">
        <f t="shared" si="35"/>
        <v>77.5</v>
      </c>
      <c r="AJ135" s="23">
        <v>76</v>
      </c>
      <c r="AK135" s="23" t="str">
        <f t="shared" si="49"/>
        <v>Mencapai kompetensi dengan baik dalam hal</v>
      </c>
      <c r="AL135" s="23">
        <v>78</v>
      </c>
      <c r="AM135" s="18" t="str">
        <f t="shared" ref="AM135:AM137" si="50">VLOOKUP(AL135,grades1,2,TRUE)</f>
        <v>Mencapai kompetensi dengan baik dalam hal</v>
      </c>
      <c r="AN135" s="23" t="s">
        <v>81</v>
      </c>
      <c r="AO135" s="23" t="s">
        <v>81</v>
      </c>
      <c r="AP135" s="23">
        <v>1</v>
      </c>
      <c r="AQ135" s="23">
        <v>1</v>
      </c>
      <c r="AR135" s="23" t="s">
        <v>82</v>
      </c>
      <c r="AS135" s="18" t="s">
        <v>83</v>
      </c>
      <c r="AT135" s="23" t="s">
        <v>86</v>
      </c>
      <c r="AU135" s="18" t="str">
        <f t="shared" si="32"/>
        <v>Sangat baik</v>
      </c>
      <c r="AV135" s="23">
        <v>2</v>
      </c>
      <c r="AW135" s="18" t="s">
        <v>125</v>
      </c>
      <c r="AX135" s="18" t="s">
        <v>83</v>
      </c>
      <c r="AY135" s="23" t="s">
        <v>104</v>
      </c>
      <c r="AZ135" s="18" t="str">
        <f t="shared" si="33"/>
        <v>Cukup</v>
      </c>
      <c r="BA135" s="23"/>
      <c r="BB135" s="23"/>
      <c r="BC135" s="23"/>
      <c r="BD135" s="23"/>
      <c r="BE135" s="18"/>
      <c r="BG135" s="20"/>
      <c r="BH135" s="20"/>
      <c r="BN135" s="22">
        <f t="shared" si="34"/>
        <v>1</v>
      </c>
      <c r="BP135" s="115">
        <f t="shared" si="36"/>
        <v>76.42307692307692</v>
      </c>
      <c r="BQ135" s="22">
        <f t="shared" si="31"/>
        <v>26</v>
      </c>
    </row>
    <row r="136" spans="1:69" ht="24.95" customHeight="1" thickTop="1" thickBot="1" x14ac:dyDescent="0.3">
      <c r="A136" s="23">
        <v>135</v>
      </c>
      <c r="B136" s="23">
        <v>2525716</v>
      </c>
      <c r="C136" s="23" t="s">
        <v>1124</v>
      </c>
      <c r="D136" s="18" t="s">
        <v>1125</v>
      </c>
      <c r="E136" s="23" t="s">
        <v>1070</v>
      </c>
      <c r="F136" s="23" t="s">
        <v>845</v>
      </c>
      <c r="G136" s="24" t="s">
        <v>1071</v>
      </c>
      <c r="H136" s="24" t="s">
        <v>1072</v>
      </c>
      <c r="I136" s="60" t="s">
        <v>76</v>
      </c>
      <c r="J136" s="61" t="s">
        <v>77</v>
      </c>
      <c r="K136" s="23">
        <v>77</v>
      </c>
      <c r="L136" s="23" t="str">
        <f t="shared" si="37"/>
        <v>Mencapai kompetensi dengan baik dalam hal</v>
      </c>
      <c r="M136" s="23">
        <v>75</v>
      </c>
      <c r="N136" s="23" t="str">
        <f t="shared" si="38"/>
        <v>Mencapai kompetensi dengan baik dalam hal</v>
      </c>
      <c r="O136" s="23">
        <v>75</v>
      </c>
      <c r="P136" s="23" t="str">
        <f t="shared" si="39"/>
        <v>Mencapai kompetensi dengan baik dalam hal</v>
      </c>
      <c r="Q136" s="23">
        <v>82</v>
      </c>
      <c r="R136" s="23" t="str">
        <f t="shared" si="40"/>
        <v>Mencapai kompetensi dengan baik dalam hal</v>
      </c>
      <c r="S136" s="23">
        <v>71</v>
      </c>
      <c r="T136" s="23" t="str">
        <f t="shared" si="41"/>
        <v>Perlu peningkatan dalam hal</v>
      </c>
      <c r="U136" s="23">
        <v>75</v>
      </c>
      <c r="V136" s="23" t="str">
        <f t="shared" si="42"/>
        <v>Mencapai kompetensi dengan baik dalam hal</v>
      </c>
      <c r="W136" s="23">
        <v>75</v>
      </c>
      <c r="X136" s="23" t="str">
        <f t="shared" si="43"/>
        <v>Mencapai kompetensi dengan baik dalam hal</v>
      </c>
      <c r="Y136" s="23">
        <v>76</v>
      </c>
      <c r="Z136" s="23" t="str">
        <f t="shared" si="44"/>
        <v>Mencapai kompetensi dengan baik dalam hal</v>
      </c>
      <c r="AA136" s="23">
        <v>74</v>
      </c>
      <c r="AB136" s="23" t="str">
        <f t="shared" si="45"/>
        <v>Perlu peningkatan dalam hal</v>
      </c>
      <c r="AC136" s="23">
        <v>75</v>
      </c>
      <c r="AD136" s="23" t="str">
        <f t="shared" si="46"/>
        <v>Mencapai kompetensi dengan baik dalam hal</v>
      </c>
      <c r="AE136" s="23">
        <v>76</v>
      </c>
      <c r="AF136" s="23" t="str">
        <f t="shared" si="47"/>
        <v>Mencapai kompetensi dengan baik dalam hal</v>
      </c>
      <c r="AG136" s="23">
        <v>77</v>
      </c>
      <c r="AH136" s="23" t="str">
        <f t="shared" si="48"/>
        <v>Mencapai kompetensi dengan baik dalam hal</v>
      </c>
      <c r="AI136" s="62">
        <f t="shared" si="35"/>
        <v>76.5</v>
      </c>
      <c r="AJ136" s="23">
        <v>74</v>
      </c>
      <c r="AK136" s="23" t="str">
        <f t="shared" si="49"/>
        <v>Perlu peningkatan dalam hal</v>
      </c>
      <c r="AL136" s="23">
        <v>77</v>
      </c>
      <c r="AM136" s="18" t="str">
        <f t="shared" si="50"/>
        <v>Mencapai kompetensi dengan baik dalam hal</v>
      </c>
      <c r="AN136" s="23">
        <v>2</v>
      </c>
      <c r="AO136" s="23">
        <v>1</v>
      </c>
      <c r="AP136" s="23" t="s">
        <v>81</v>
      </c>
      <c r="AQ136" s="23">
        <v>1</v>
      </c>
      <c r="AR136" s="23" t="s">
        <v>82</v>
      </c>
      <c r="AS136" s="18" t="s">
        <v>83</v>
      </c>
      <c r="AT136" s="23" t="s">
        <v>84</v>
      </c>
      <c r="AU136" s="18" t="str">
        <f t="shared" si="32"/>
        <v>Baik</v>
      </c>
      <c r="AV136" s="23">
        <v>2</v>
      </c>
      <c r="AW136" s="18" t="s">
        <v>99</v>
      </c>
      <c r="AX136" s="18" t="s">
        <v>83</v>
      </c>
      <c r="AY136" s="23" t="s">
        <v>84</v>
      </c>
      <c r="AZ136" s="18" t="str">
        <f t="shared" si="33"/>
        <v>Baik</v>
      </c>
      <c r="BA136" s="23"/>
      <c r="BB136" s="23"/>
      <c r="BC136" s="23"/>
      <c r="BD136" s="23"/>
      <c r="BE136" s="18"/>
      <c r="BG136" s="20"/>
      <c r="BH136" s="20"/>
      <c r="BN136" s="22">
        <f t="shared" si="34"/>
        <v>3</v>
      </c>
      <c r="BP136" s="115">
        <f t="shared" si="36"/>
        <v>75.57692307692308</v>
      </c>
      <c r="BQ136" s="22">
        <f t="shared" si="31"/>
        <v>32</v>
      </c>
    </row>
    <row r="137" spans="1:69" ht="24.95" customHeight="1" thickTop="1" thickBot="1" x14ac:dyDescent="0.3">
      <c r="A137" s="23">
        <v>136</v>
      </c>
      <c r="B137" s="23">
        <v>2525717</v>
      </c>
      <c r="C137" s="23" t="s">
        <v>1126</v>
      </c>
      <c r="D137" s="18" t="s">
        <v>1127</v>
      </c>
      <c r="E137" s="23" t="s">
        <v>1070</v>
      </c>
      <c r="F137" s="23" t="s">
        <v>845</v>
      </c>
      <c r="G137" s="24" t="s">
        <v>1071</v>
      </c>
      <c r="H137" s="24" t="s">
        <v>1072</v>
      </c>
      <c r="I137" s="60" t="s">
        <v>76</v>
      </c>
      <c r="J137" s="61" t="s">
        <v>77</v>
      </c>
      <c r="K137" s="23">
        <v>78</v>
      </c>
      <c r="L137" s="23" t="str">
        <f t="shared" si="37"/>
        <v>Mencapai kompetensi dengan baik dalam hal</v>
      </c>
      <c r="M137" s="23">
        <v>80</v>
      </c>
      <c r="N137" s="23" t="str">
        <f t="shared" si="38"/>
        <v>Mencapai kompetensi dengan baik dalam hal</v>
      </c>
      <c r="O137" s="23">
        <v>80</v>
      </c>
      <c r="P137" s="23" t="str">
        <f t="shared" si="39"/>
        <v>Mencapai kompetensi dengan baik dalam hal</v>
      </c>
      <c r="Q137" s="23">
        <v>79</v>
      </c>
      <c r="R137" s="23" t="str">
        <f t="shared" si="40"/>
        <v>Mencapai kompetensi dengan baik dalam hal</v>
      </c>
      <c r="S137" s="23">
        <v>85</v>
      </c>
      <c r="T137" s="23" t="str">
        <f t="shared" si="41"/>
        <v>Mencapai kompetensi dengan baik dalam hal</v>
      </c>
      <c r="U137" s="23">
        <v>84</v>
      </c>
      <c r="V137" s="23" t="str">
        <f t="shared" si="42"/>
        <v>Mencapai kompetensi dengan baik dalam hal</v>
      </c>
      <c r="W137" s="23">
        <v>78</v>
      </c>
      <c r="X137" s="23" t="str">
        <f t="shared" si="43"/>
        <v>Mencapai kompetensi dengan baik dalam hal</v>
      </c>
      <c r="Y137" s="23">
        <v>83</v>
      </c>
      <c r="Z137" s="23" t="str">
        <f t="shared" si="44"/>
        <v>Mencapai kompetensi dengan baik dalam hal</v>
      </c>
      <c r="AA137" s="23">
        <v>84</v>
      </c>
      <c r="AB137" s="23" t="str">
        <f t="shared" si="45"/>
        <v>Mencapai kompetensi dengan baik dalam hal</v>
      </c>
      <c r="AC137" s="23">
        <v>84</v>
      </c>
      <c r="AD137" s="23" t="str">
        <f t="shared" si="46"/>
        <v>Mencapai kompetensi dengan baik dalam hal</v>
      </c>
      <c r="AE137" s="23">
        <v>80</v>
      </c>
      <c r="AF137" s="23" t="str">
        <f t="shared" si="47"/>
        <v>Mencapai kompetensi dengan baik dalam hal</v>
      </c>
      <c r="AG137" s="23">
        <v>81</v>
      </c>
      <c r="AH137" s="23" t="str">
        <f t="shared" si="48"/>
        <v>Mencapai kompetensi dengan baik dalam hal</v>
      </c>
      <c r="AI137" s="62">
        <f t="shared" si="35"/>
        <v>80.5</v>
      </c>
      <c r="AJ137" s="23">
        <v>84</v>
      </c>
      <c r="AK137" s="23" t="str">
        <f t="shared" si="49"/>
        <v>Mencapai kompetensi dengan baik dalam hal</v>
      </c>
      <c r="AL137" s="23">
        <v>80</v>
      </c>
      <c r="AM137" s="18" t="str">
        <f t="shared" si="50"/>
        <v>Mencapai kompetensi dengan baik dalam hal</v>
      </c>
      <c r="AN137" s="23" t="s">
        <v>81</v>
      </c>
      <c r="AO137" s="23" t="s">
        <v>81</v>
      </c>
      <c r="AP137" s="23">
        <v>1</v>
      </c>
      <c r="AQ137" s="23">
        <v>1</v>
      </c>
      <c r="AR137" s="23" t="s">
        <v>82</v>
      </c>
      <c r="AS137" s="18" t="s">
        <v>83</v>
      </c>
      <c r="AT137" s="23" t="s">
        <v>86</v>
      </c>
      <c r="AU137" s="18" t="str">
        <f t="shared" si="32"/>
        <v>Sangat baik</v>
      </c>
      <c r="AV137" s="23">
        <v>2</v>
      </c>
      <c r="AW137" s="18" t="s">
        <v>170</v>
      </c>
      <c r="AX137" s="18" t="s">
        <v>83</v>
      </c>
      <c r="AY137" s="23" t="s">
        <v>86</v>
      </c>
      <c r="AZ137" s="18" t="str">
        <f t="shared" si="33"/>
        <v>Sangat baik</v>
      </c>
      <c r="BA137" s="23"/>
      <c r="BB137" s="23"/>
      <c r="BC137" s="23"/>
      <c r="BD137" s="23"/>
      <c r="BE137" s="18"/>
      <c r="BG137" s="20"/>
      <c r="BH137" s="20"/>
      <c r="BN137" s="22">
        <f t="shared" si="34"/>
        <v>0</v>
      </c>
      <c r="BP137" s="115">
        <f t="shared" si="36"/>
        <v>81.5</v>
      </c>
      <c r="BQ137" s="22">
        <f t="shared" si="31"/>
        <v>2</v>
      </c>
    </row>
    <row r="138" spans="1:69" ht="24.95" customHeight="1" thickTop="1" thickBot="1" x14ac:dyDescent="0.3">
      <c r="A138" s="23">
        <v>137</v>
      </c>
      <c r="B138" s="23">
        <v>2525718</v>
      </c>
      <c r="C138" s="23" t="s">
        <v>1128</v>
      </c>
      <c r="D138" s="18" t="s">
        <v>1129</v>
      </c>
      <c r="E138" s="23" t="s">
        <v>1070</v>
      </c>
      <c r="F138" s="23" t="s">
        <v>845</v>
      </c>
      <c r="G138" s="24" t="s">
        <v>1071</v>
      </c>
      <c r="H138" s="24" t="s">
        <v>1072</v>
      </c>
      <c r="I138" s="60" t="s">
        <v>76</v>
      </c>
      <c r="J138" s="61" t="s">
        <v>77</v>
      </c>
      <c r="K138" s="23">
        <v>77</v>
      </c>
      <c r="L138" s="23" t="str">
        <f t="shared" ref="L138:L145" si="51">VLOOKUP(K138,grades1,2,TRUE)</f>
        <v>Mencapai kompetensi dengan baik dalam hal</v>
      </c>
      <c r="M138" s="23">
        <v>76</v>
      </c>
      <c r="N138" s="23" t="str">
        <f t="shared" ref="N138:N145" si="52">VLOOKUP(M138,grades1,2,TRUE)</f>
        <v>Mencapai kompetensi dengan baik dalam hal</v>
      </c>
      <c r="O138" s="23">
        <v>75</v>
      </c>
      <c r="P138" s="23" t="str">
        <f t="shared" ref="P138:P145" si="53">VLOOKUP(O138,grades1,2,TRUE)</f>
        <v>Mencapai kompetensi dengan baik dalam hal</v>
      </c>
      <c r="Q138" s="23">
        <v>80</v>
      </c>
      <c r="R138" s="23" t="str">
        <f t="shared" ref="R138:R145" si="54">VLOOKUP(Q138,grades1,2,TRUE)</f>
        <v>Mencapai kompetensi dengan baik dalam hal</v>
      </c>
      <c r="S138" s="23">
        <v>75</v>
      </c>
      <c r="T138" s="23" t="str">
        <f t="shared" ref="T138:T145" si="55">VLOOKUP(S138,grades1,2,TRUE)</f>
        <v>Mencapai kompetensi dengan baik dalam hal</v>
      </c>
      <c r="U138" s="23">
        <v>75</v>
      </c>
      <c r="V138" s="23" t="str">
        <f t="shared" ref="V138:V145" si="56">VLOOKUP(U138,grades1,2,TRUE)</f>
        <v>Mencapai kompetensi dengan baik dalam hal</v>
      </c>
      <c r="W138" s="23">
        <v>75</v>
      </c>
      <c r="X138" s="23" t="str">
        <f t="shared" ref="X138:X145" si="57">VLOOKUP(W138,grades1,2,TRUE)</f>
        <v>Mencapai kompetensi dengan baik dalam hal</v>
      </c>
      <c r="Y138" s="23">
        <v>76</v>
      </c>
      <c r="Z138" s="23" t="str">
        <f t="shared" ref="Z138:Z145" si="58">VLOOKUP(Y138,grades1,2,TRUE)</f>
        <v>Mencapai kompetensi dengan baik dalam hal</v>
      </c>
      <c r="AA138" s="23">
        <v>76</v>
      </c>
      <c r="AB138" s="23" t="str">
        <f t="shared" ref="AB138:AB145" si="59">VLOOKUP(AA138,grades1,2,TRUE)</f>
        <v>Mencapai kompetensi dengan baik dalam hal</v>
      </c>
      <c r="AC138" s="23">
        <v>76</v>
      </c>
      <c r="AD138" s="23" t="str">
        <f t="shared" ref="AD138:AD145" si="60">VLOOKUP(AC138,grades1,2,TRUE)</f>
        <v>Mencapai kompetensi dengan baik dalam hal</v>
      </c>
      <c r="AE138" s="23">
        <v>80</v>
      </c>
      <c r="AF138" s="23" t="str">
        <f t="shared" ref="AF138:AF145" si="61">VLOOKUP(AE138,grades1,2,TRUE)</f>
        <v>Mencapai kompetensi dengan baik dalam hal</v>
      </c>
      <c r="AG138" s="23">
        <v>81</v>
      </c>
      <c r="AH138" s="23" t="str">
        <f t="shared" ref="AH138:AH145" si="62">VLOOKUP(AG138,grades1,2,TRUE)</f>
        <v>Mencapai kompetensi dengan baik dalam hal</v>
      </c>
      <c r="AI138" s="62">
        <f t="shared" si="35"/>
        <v>80.5</v>
      </c>
      <c r="AJ138" s="23">
        <v>76</v>
      </c>
      <c r="AK138" s="23" t="str">
        <f t="shared" si="49"/>
        <v>Mencapai kompetensi dengan baik dalam hal</v>
      </c>
      <c r="AL138" s="23">
        <v>77</v>
      </c>
      <c r="AM138" s="18" t="str">
        <f t="shared" ref="AM138:AM145" si="63">VLOOKUP(AL138,grades1,2,TRUE)</f>
        <v>Mencapai kompetensi dengan baik dalam hal</v>
      </c>
      <c r="AN138" s="23" t="s">
        <v>81</v>
      </c>
      <c r="AO138" s="23" t="s">
        <v>81</v>
      </c>
      <c r="AP138" s="23" t="s">
        <v>81</v>
      </c>
      <c r="AQ138" s="23">
        <v>1</v>
      </c>
      <c r="AR138" s="23" t="s">
        <v>82</v>
      </c>
      <c r="AS138" s="18" t="s">
        <v>83</v>
      </c>
      <c r="AT138" s="23" t="s">
        <v>84</v>
      </c>
      <c r="AU138" s="18" t="str">
        <f t="shared" si="32"/>
        <v>Baik</v>
      </c>
      <c r="AV138" s="23">
        <v>2</v>
      </c>
      <c r="AW138" s="18" t="s">
        <v>103</v>
      </c>
      <c r="AX138" s="18" t="s">
        <v>83</v>
      </c>
      <c r="AY138" s="23" t="s">
        <v>84</v>
      </c>
      <c r="AZ138" s="18" t="str">
        <f t="shared" si="33"/>
        <v>Baik</v>
      </c>
      <c r="BA138" s="23"/>
      <c r="BB138" s="23"/>
      <c r="BC138" s="23"/>
      <c r="BD138" s="23"/>
      <c r="BE138" s="18"/>
      <c r="BG138" s="20"/>
      <c r="BH138" s="20"/>
      <c r="BN138" s="22">
        <f t="shared" si="34"/>
        <v>0</v>
      </c>
      <c r="BP138" s="115">
        <f t="shared" si="36"/>
        <v>76.5</v>
      </c>
      <c r="BQ138" s="22">
        <f t="shared" si="31"/>
        <v>24</v>
      </c>
    </row>
    <row r="139" spans="1:69" ht="24.95" customHeight="1" thickTop="1" thickBot="1" x14ac:dyDescent="0.3">
      <c r="A139" s="23">
        <v>138</v>
      </c>
      <c r="B139" s="23">
        <v>2525719</v>
      </c>
      <c r="C139" s="23" t="s">
        <v>1130</v>
      </c>
      <c r="D139" s="18" t="s">
        <v>1131</v>
      </c>
      <c r="E139" s="23" t="s">
        <v>1070</v>
      </c>
      <c r="F139" s="23" t="s">
        <v>845</v>
      </c>
      <c r="G139" s="24" t="s">
        <v>1071</v>
      </c>
      <c r="H139" s="24" t="s">
        <v>1072</v>
      </c>
      <c r="I139" s="60" t="s">
        <v>76</v>
      </c>
      <c r="J139" s="61" t="s">
        <v>77</v>
      </c>
      <c r="K139" s="23">
        <v>81</v>
      </c>
      <c r="L139" s="23" t="str">
        <f t="shared" si="51"/>
        <v>Mencapai kompetensi dengan baik dalam hal</v>
      </c>
      <c r="M139" s="23">
        <v>76</v>
      </c>
      <c r="N139" s="23" t="str">
        <f t="shared" si="52"/>
        <v>Mencapai kompetensi dengan baik dalam hal</v>
      </c>
      <c r="O139" s="23">
        <v>75</v>
      </c>
      <c r="P139" s="23" t="str">
        <f t="shared" si="53"/>
        <v>Mencapai kompetensi dengan baik dalam hal</v>
      </c>
      <c r="Q139" s="23">
        <v>80</v>
      </c>
      <c r="R139" s="23" t="str">
        <f t="shared" si="54"/>
        <v>Mencapai kompetensi dengan baik dalam hal</v>
      </c>
      <c r="S139" s="23">
        <v>83</v>
      </c>
      <c r="T139" s="23" t="str">
        <f t="shared" si="55"/>
        <v>Mencapai kompetensi dengan baik dalam hal</v>
      </c>
      <c r="U139" s="23">
        <v>75</v>
      </c>
      <c r="V139" s="23" t="str">
        <f t="shared" si="56"/>
        <v>Mencapai kompetensi dengan baik dalam hal</v>
      </c>
      <c r="W139" s="23">
        <v>78</v>
      </c>
      <c r="X139" s="23" t="str">
        <f t="shared" si="57"/>
        <v>Mencapai kompetensi dengan baik dalam hal</v>
      </c>
      <c r="Y139" s="23">
        <v>77</v>
      </c>
      <c r="Z139" s="23" t="str">
        <f t="shared" si="58"/>
        <v>Mencapai kompetensi dengan baik dalam hal</v>
      </c>
      <c r="AA139" s="23">
        <v>87</v>
      </c>
      <c r="AB139" s="23" t="str">
        <f t="shared" si="59"/>
        <v>Mencapai kompetensi dengan baik dalam hal</v>
      </c>
      <c r="AC139" s="23">
        <v>83</v>
      </c>
      <c r="AD139" s="23" t="str">
        <f t="shared" si="60"/>
        <v>Mencapai kompetensi dengan baik dalam hal</v>
      </c>
      <c r="AE139" s="23">
        <v>79</v>
      </c>
      <c r="AF139" s="23" t="str">
        <f t="shared" si="61"/>
        <v>Mencapai kompetensi dengan baik dalam hal</v>
      </c>
      <c r="AG139" s="23">
        <v>80</v>
      </c>
      <c r="AH139" s="23" t="str">
        <f t="shared" si="62"/>
        <v>Mencapai kompetensi dengan baik dalam hal</v>
      </c>
      <c r="AI139" s="62">
        <f t="shared" si="35"/>
        <v>79.5</v>
      </c>
      <c r="AJ139" s="23">
        <v>87</v>
      </c>
      <c r="AK139" s="23" t="str">
        <f t="shared" si="49"/>
        <v>Mencapai kompetensi dengan baik dalam hal</v>
      </c>
      <c r="AL139" s="23">
        <v>80</v>
      </c>
      <c r="AM139" s="18" t="str">
        <f t="shared" si="63"/>
        <v>Mencapai kompetensi dengan baik dalam hal</v>
      </c>
      <c r="AN139" s="23">
        <v>2</v>
      </c>
      <c r="AO139" s="23" t="s">
        <v>81</v>
      </c>
      <c r="AP139" s="23" t="s">
        <v>81</v>
      </c>
      <c r="AQ139" s="23">
        <v>1</v>
      </c>
      <c r="AR139" s="23" t="s">
        <v>82</v>
      </c>
      <c r="AS139" s="18" t="s">
        <v>83</v>
      </c>
      <c r="AT139" s="23" t="s">
        <v>86</v>
      </c>
      <c r="AU139" s="18" t="str">
        <f t="shared" si="32"/>
        <v>Sangat baik</v>
      </c>
      <c r="AV139" s="23">
        <v>2</v>
      </c>
      <c r="AW139" s="18" t="s">
        <v>125</v>
      </c>
      <c r="AX139" s="18" t="s">
        <v>83</v>
      </c>
      <c r="AY139" s="23" t="s">
        <v>104</v>
      </c>
      <c r="AZ139" s="18" t="str">
        <f t="shared" si="33"/>
        <v>Cukup</v>
      </c>
      <c r="BA139" s="23">
        <v>3</v>
      </c>
      <c r="BB139" s="23" t="s">
        <v>87</v>
      </c>
      <c r="BC139" s="23" t="s">
        <v>83</v>
      </c>
      <c r="BD139" s="23" t="s">
        <v>84</v>
      </c>
      <c r="BE139" s="18" t="str">
        <f>VLOOKUP(BD139,grades4,2,TRUE)</f>
        <v>Baik</v>
      </c>
      <c r="BG139" s="20"/>
      <c r="BH139" s="20"/>
      <c r="BN139" s="22">
        <f t="shared" si="34"/>
        <v>0</v>
      </c>
      <c r="BP139" s="115">
        <f t="shared" si="36"/>
        <v>80.115384615384613</v>
      </c>
      <c r="BQ139" s="22">
        <f t="shared" si="31"/>
        <v>6</v>
      </c>
    </row>
    <row r="140" spans="1:69" ht="24.95" customHeight="1" thickTop="1" thickBot="1" x14ac:dyDescent="0.3">
      <c r="A140" s="23">
        <v>139</v>
      </c>
      <c r="B140" s="23">
        <v>2525720</v>
      </c>
      <c r="C140" s="23" t="s">
        <v>1132</v>
      </c>
      <c r="D140" s="18" t="s">
        <v>1133</v>
      </c>
      <c r="E140" s="23" t="s">
        <v>1070</v>
      </c>
      <c r="F140" s="23" t="s">
        <v>845</v>
      </c>
      <c r="G140" s="24" t="s">
        <v>1071</v>
      </c>
      <c r="H140" s="24" t="s">
        <v>1072</v>
      </c>
      <c r="I140" s="60" t="s">
        <v>76</v>
      </c>
      <c r="J140" s="61" t="s">
        <v>77</v>
      </c>
      <c r="K140" s="23">
        <v>79</v>
      </c>
      <c r="L140" s="23" t="str">
        <f t="shared" si="51"/>
        <v>Mencapai kompetensi dengan baik dalam hal</v>
      </c>
      <c r="M140" s="23">
        <v>79</v>
      </c>
      <c r="N140" s="23" t="str">
        <f t="shared" si="52"/>
        <v>Mencapai kompetensi dengan baik dalam hal</v>
      </c>
      <c r="O140" s="23">
        <v>75</v>
      </c>
      <c r="P140" s="23" t="str">
        <f t="shared" si="53"/>
        <v>Mencapai kompetensi dengan baik dalam hal</v>
      </c>
      <c r="Q140" s="23">
        <v>79</v>
      </c>
      <c r="R140" s="23" t="str">
        <f t="shared" si="54"/>
        <v>Mencapai kompetensi dengan baik dalam hal</v>
      </c>
      <c r="S140" s="23">
        <v>82</v>
      </c>
      <c r="T140" s="23" t="str">
        <f t="shared" si="55"/>
        <v>Mencapai kompetensi dengan baik dalam hal</v>
      </c>
      <c r="U140" s="23">
        <v>75</v>
      </c>
      <c r="V140" s="23" t="str">
        <f t="shared" si="56"/>
        <v>Mencapai kompetensi dengan baik dalam hal</v>
      </c>
      <c r="W140" s="23">
        <v>75</v>
      </c>
      <c r="X140" s="23" t="str">
        <f t="shared" si="57"/>
        <v>Mencapai kompetensi dengan baik dalam hal</v>
      </c>
      <c r="Y140" s="23">
        <v>77</v>
      </c>
      <c r="Z140" s="23" t="str">
        <f t="shared" si="58"/>
        <v>Mencapai kompetensi dengan baik dalam hal</v>
      </c>
      <c r="AA140" s="23">
        <v>80</v>
      </c>
      <c r="AB140" s="23" t="str">
        <f t="shared" si="59"/>
        <v>Mencapai kompetensi dengan baik dalam hal</v>
      </c>
      <c r="AC140" s="23">
        <v>79</v>
      </c>
      <c r="AD140" s="23" t="str">
        <f t="shared" si="60"/>
        <v>Mencapai kompetensi dengan baik dalam hal</v>
      </c>
      <c r="AE140" s="23">
        <v>75</v>
      </c>
      <c r="AF140" s="23" t="str">
        <f t="shared" si="61"/>
        <v>Mencapai kompetensi dengan baik dalam hal</v>
      </c>
      <c r="AG140" s="23">
        <v>76</v>
      </c>
      <c r="AH140" s="23" t="str">
        <f t="shared" si="62"/>
        <v>Mencapai kompetensi dengan baik dalam hal</v>
      </c>
      <c r="AI140" s="62">
        <f t="shared" si="35"/>
        <v>75.5</v>
      </c>
      <c r="AJ140" s="23">
        <v>80</v>
      </c>
      <c r="AK140" s="23" t="str">
        <f t="shared" si="49"/>
        <v>Mencapai kompetensi dengan baik dalam hal</v>
      </c>
      <c r="AL140" s="23">
        <v>79</v>
      </c>
      <c r="AM140" s="18" t="str">
        <f t="shared" si="63"/>
        <v>Mencapai kompetensi dengan baik dalam hal</v>
      </c>
      <c r="AN140" s="23">
        <v>2</v>
      </c>
      <c r="AO140" s="23" t="s">
        <v>81</v>
      </c>
      <c r="AP140" s="23" t="s">
        <v>81</v>
      </c>
      <c r="AQ140" s="23">
        <v>1</v>
      </c>
      <c r="AR140" s="23" t="s">
        <v>82</v>
      </c>
      <c r="AS140" s="18" t="s">
        <v>83</v>
      </c>
      <c r="AT140" s="23" t="s">
        <v>86</v>
      </c>
      <c r="AU140" s="18" t="str">
        <f t="shared" si="32"/>
        <v>Sangat baik</v>
      </c>
      <c r="AV140" s="23">
        <v>2</v>
      </c>
      <c r="AW140" s="18" t="s">
        <v>125</v>
      </c>
      <c r="AX140" s="18" t="s">
        <v>83</v>
      </c>
      <c r="AY140" s="23" t="s">
        <v>104</v>
      </c>
      <c r="AZ140" s="18" t="str">
        <f t="shared" si="33"/>
        <v>Cukup</v>
      </c>
      <c r="BA140" s="23"/>
      <c r="BB140" s="23"/>
      <c r="BC140" s="23"/>
      <c r="BD140" s="23"/>
      <c r="BE140" s="18"/>
      <c r="BG140" s="20"/>
      <c r="BH140" s="20"/>
      <c r="BN140" s="22">
        <f t="shared" si="34"/>
        <v>0</v>
      </c>
      <c r="BP140" s="115">
        <f t="shared" si="36"/>
        <v>78.038461538461533</v>
      </c>
      <c r="BQ140" s="22">
        <f t="shared" si="31"/>
        <v>16</v>
      </c>
    </row>
    <row r="141" spans="1:69" ht="24.95" customHeight="1" thickTop="1" thickBot="1" x14ac:dyDescent="0.3">
      <c r="A141" s="23">
        <v>140</v>
      </c>
      <c r="B141" s="23">
        <v>2525721</v>
      </c>
      <c r="C141" s="23" t="s">
        <v>1134</v>
      </c>
      <c r="D141" s="18" t="s">
        <v>1135</v>
      </c>
      <c r="E141" s="23" t="s">
        <v>1070</v>
      </c>
      <c r="F141" s="23" t="s">
        <v>845</v>
      </c>
      <c r="G141" s="24" t="s">
        <v>1071</v>
      </c>
      <c r="H141" s="24" t="s">
        <v>1072</v>
      </c>
      <c r="I141" s="60" t="s">
        <v>76</v>
      </c>
      <c r="J141" s="61" t="s">
        <v>77</v>
      </c>
      <c r="K141" s="23">
        <v>78</v>
      </c>
      <c r="L141" s="23" t="str">
        <f t="shared" si="51"/>
        <v>Mencapai kompetensi dengan baik dalam hal</v>
      </c>
      <c r="M141" s="23">
        <v>76</v>
      </c>
      <c r="N141" s="23" t="str">
        <f t="shared" si="52"/>
        <v>Mencapai kompetensi dengan baik dalam hal</v>
      </c>
      <c r="O141" s="23">
        <v>75</v>
      </c>
      <c r="P141" s="23" t="str">
        <f t="shared" si="53"/>
        <v>Mencapai kompetensi dengan baik dalam hal</v>
      </c>
      <c r="Q141" s="23">
        <v>80</v>
      </c>
      <c r="R141" s="23" t="str">
        <f t="shared" si="54"/>
        <v>Mencapai kompetensi dengan baik dalam hal</v>
      </c>
      <c r="S141" s="23">
        <v>76</v>
      </c>
      <c r="T141" s="23" t="str">
        <f t="shared" si="55"/>
        <v>Mencapai kompetensi dengan baik dalam hal</v>
      </c>
      <c r="U141" s="23">
        <v>75</v>
      </c>
      <c r="V141" s="23" t="str">
        <f t="shared" si="56"/>
        <v>Mencapai kompetensi dengan baik dalam hal</v>
      </c>
      <c r="W141" s="23">
        <v>75</v>
      </c>
      <c r="X141" s="23" t="str">
        <f t="shared" si="57"/>
        <v>Mencapai kompetensi dengan baik dalam hal</v>
      </c>
      <c r="Y141" s="23">
        <v>80</v>
      </c>
      <c r="Z141" s="23" t="str">
        <f t="shared" si="58"/>
        <v>Mencapai kompetensi dengan baik dalam hal</v>
      </c>
      <c r="AA141" s="23">
        <v>85</v>
      </c>
      <c r="AB141" s="23" t="str">
        <f t="shared" si="59"/>
        <v>Mencapai kompetensi dengan baik dalam hal</v>
      </c>
      <c r="AC141" s="23">
        <v>78</v>
      </c>
      <c r="AD141" s="23" t="str">
        <f t="shared" si="60"/>
        <v>Mencapai kompetensi dengan baik dalam hal</v>
      </c>
      <c r="AE141" s="23">
        <v>76</v>
      </c>
      <c r="AF141" s="23" t="str">
        <f t="shared" si="61"/>
        <v>Mencapai kompetensi dengan baik dalam hal</v>
      </c>
      <c r="AG141" s="23">
        <v>77</v>
      </c>
      <c r="AH141" s="23" t="str">
        <f t="shared" si="62"/>
        <v>Mencapai kompetensi dengan baik dalam hal</v>
      </c>
      <c r="AI141" s="62">
        <f t="shared" si="35"/>
        <v>76.5</v>
      </c>
      <c r="AJ141" s="23">
        <v>85</v>
      </c>
      <c r="AK141" s="23" t="str">
        <f t="shared" si="49"/>
        <v>Mencapai kompetensi dengan baik dalam hal</v>
      </c>
      <c r="AL141" s="23">
        <v>79</v>
      </c>
      <c r="AM141" s="18" t="str">
        <f t="shared" si="63"/>
        <v>Mencapai kompetensi dengan baik dalam hal</v>
      </c>
      <c r="AN141" s="23">
        <v>2</v>
      </c>
      <c r="AO141" s="23" t="s">
        <v>81</v>
      </c>
      <c r="AP141" s="23" t="s">
        <v>81</v>
      </c>
      <c r="AQ141" s="23">
        <v>1</v>
      </c>
      <c r="AR141" s="23" t="s">
        <v>82</v>
      </c>
      <c r="AS141" s="18" t="s">
        <v>83</v>
      </c>
      <c r="AT141" s="23" t="s">
        <v>84</v>
      </c>
      <c r="AU141" s="18" t="str">
        <f t="shared" si="32"/>
        <v>Baik</v>
      </c>
      <c r="AV141" s="23">
        <v>2</v>
      </c>
      <c r="AW141" s="18" t="s">
        <v>99</v>
      </c>
      <c r="AX141" s="18" t="s">
        <v>83</v>
      </c>
      <c r="AY141" s="23" t="s">
        <v>84</v>
      </c>
      <c r="AZ141" s="18" t="str">
        <f t="shared" si="33"/>
        <v>Baik</v>
      </c>
      <c r="BA141" s="23">
        <v>3</v>
      </c>
      <c r="BB141" s="23" t="s">
        <v>87</v>
      </c>
      <c r="BC141" s="23" t="s">
        <v>83</v>
      </c>
      <c r="BD141" s="23" t="s">
        <v>84</v>
      </c>
      <c r="BE141" s="18" t="str">
        <f>VLOOKUP(BD141,grades4,2,TRUE)</f>
        <v>Baik</v>
      </c>
      <c r="BG141" s="20"/>
      <c r="BH141" s="20"/>
      <c r="BN141" s="22">
        <f t="shared" si="34"/>
        <v>0</v>
      </c>
      <c r="BP141" s="115">
        <f t="shared" si="36"/>
        <v>78.34615384615384</v>
      </c>
      <c r="BQ141" s="22">
        <f t="shared" si="31"/>
        <v>15</v>
      </c>
    </row>
    <row r="142" spans="1:69" ht="24.95" customHeight="1" thickTop="1" thickBot="1" x14ac:dyDescent="0.3">
      <c r="A142" s="23">
        <v>141</v>
      </c>
      <c r="B142" s="23">
        <v>2525722</v>
      </c>
      <c r="C142" s="23" t="s">
        <v>1136</v>
      </c>
      <c r="D142" s="18" t="s">
        <v>1137</v>
      </c>
      <c r="E142" s="23" t="s">
        <v>1070</v>
      </c>
      <c r="F142" s="23" t="s">
        <v>845</v>
      </c>
      <c r="G142" s="24" t="s">
        <v>1071</v>
      </c>
      <c r="H142" s="24" t="s">
        <v>1072</v>
      </c>
      <c r="I142" s="60" t="s">
        <v>76</v>
      </c>
      <c r="J142" s="61" t="s">
        <v>77</v>
      </c>
      <c r="K142" s="23">
        <v>78</v>
      </c>
      <c r="L142" s="23" t="str">
        <f t="shared" si="51"/>
        <v>Mencapai kompetensi dengan baik dalam hal</v>
      </c>
      <c r="M142" s="23">
        <v>75</v>
      </c>
      <c r="N142" s="23" t="str">
        <f t="shared" si="52"/>
        <v>Mencapai kompetensi dengan baik dalam hal</v>
      </c>
      <c r="O142" s="23">
        <v>75</v>
      </c>
      <c r="P142" s="23" t="str">
        <f t="shared" si="53"/>
        <v>Mencapai kompetensi dengan baik dalam hal</v>
      </c>
      <c r="Q142" s="23">
        <v>82</v>
      </c>
      <c r="R142" s="23" t="str">
        <f t="shared" si="54"/>
        <v>Mencapai kompetensi dengan baik dalam hal</v>
      </c>
      <c r="S142" s="23">
        <v>72</v>
      </c>
      <c r="T142" s="23" t="str">
        <f t="shared" si="55"/>
        <v>Perlu peningkatan dalam hal</v>
      </c>
      <c r="U142" s="23">
        <v>75</v>
      </c>
      <c r="V142" s="23" t="str">
        <f t="shared" si="56"/>
        <v>Mencapai kompetensi dengan baik dalam hal</v>
      </c>
      <c r="W142" s="23">
        <v>75</v>
      </c>
      <c r="X142" s="23" t="str">
        <f t="shared" si="57"/>
        <v>Mencapai kompetensi dengan baik dalam hal</v>
      </c>
      <c r="Y142" s="23">
        <v>75</v>
      </c>
      <c r="Z142" s="23" t="str">
        <f t="shared" si="58"/>
        <v>Mencapai kompetensi dengan baik dalam hal</v>
      </c>
      <c r="AA142" s="23">
        <v>82</v>
      </c>
      <c r="AB142" s="23" t="str">
        <f t="shared" si="59"/>
        <v>Mencapai kompetensi dengan baik dalam hal</v>
      </c>
      <c r="AC142" s="23">
        <v>75</v>
      </c>
      <c r="AD142" s="23" t="str">
        <f t="shared" si="60"/>
        <v>Mencapai kompetensi dengan baik dalam hal</v>
      </c>
      <c r="AE142" s="23">
        <v>77</v>
      </c>
      <c r="AF142" s="23" t="str">
        <f t="shared" si="61"/>
        <v>Mencapai kompetensi dengan baik dalam hal</v>
      </c>
      <c r="AG142" s="23">
        <v>78</v>
      </c>
      <c r="AH142" s="23" t="str">
        <f t="shared" si="62"/>
        <v>Mencapai kompetensi dengan baik dalam hal</v>
      </c>
      <c r="AI142" s="62">
        <f t="shared" si="35"/>
        <v>77.5</v>
      </c>
      <c r="AJ142" s="23">
        <v>82</v>
      </c>
      <c r="AK142" s="23" t="str">
        <f t="shared" si="49"/>
        <v>Mencapai kompetensi dengan baik dalam hal</v>
      </c>
      <c r="AL142" s="23">
        <v>78</v>
      </c>
      <c r="AM142" s="18" t="str">
        <f t="shared" si="63"/>
        <v>Mencapai kompetensi dengan baik dalam hal</v>
      </c>
      <c r="AN142" s="23">
        <v>1</v>
      </c>
      <c r="AO142" s="23" t="s">
        <v>81</v>
      </c>
      <c r="AP142" s="23" t="s">
        <v>81</v>
      </c>
      <c r="AQ142" s="23">
        <v>1</v>
      </c>
      <c r="AR142" s="23" t="s">
        <v>82</v>
      </c>
      <c r="AS142" s="18" t="s">
        <v>83</v>
      </c>
      <c r="AT142" s="23" t="s">
        <v>84</v>
      </c>
      <c r="AU142" s="18" t="str">
        <f t="shared" si="32"/>
        <v>Baik</v>
      </c>
      <c r="AV142" s="23">
        <v>2</v>
      </c>
      <c r="AW142" s="18" t="s">
        <v>99</v>
      </c>
      <c r="AX142" s="18" t="s">
        <v>83</v>
      </c>
      <c r="AY142" s="23" t="s">
        <v>84</v>
      </c>
      <c r="AZ142" s="18" t="str">
        <f t="shared" si="33"/>
        <v>Baik</v>
      </c>
      <c r="BA142" s="23"/>
      <c r="BB142" s="23"/>
      <c r="BC142" s="23"/>
      <c r="BD142" s="23"/>
      <c r="BE142" s="18"/>
      <c r="BG142" s="20"/>
      <c r="BH142" s="20"/>
      <c r="BN142" s="22">
        <f t="shared" si="34"/>
        <v>1</v>
      </c>
      <c r="BP142" s="115">
        <f t="shared" si="36"/>
        <v>77.038461538461533</v>
      </c>
      <c r="BQ142" s="22">
        <f t="shared" si="31"/>
        <v>20</v>
      </c>
    </row>
    <row r="143" spans="1:69" ht="24.95" customHeight="1" thickTop="1" thickBot="1" x14ac:dyDescent="0.3">
      <c r="A143" s="23">
        <v>142</v>
      </c>
      <c r="B143" s="23">
        <v>2525723</v>
      </c>
      <c r="C143" s="23" t="s">
        <v>1138</v>
      </c>
      <c r="D143" s="18" t="s">
        <v>1139</v>
      </c>
      <c r="E143" s="23" t="s">
        <v>1070</v>
      </c>
      <c r="F143" s="23" t="s">
        <v>845</v>
      </c>
      <c r="G143" s="24" t="s">
        <v>1071</v>
      </c>
      <c r="H143" s="24" t="s">
        <v>1072</v>
      </c>
      <c r="I143" s="60" t="s">
        <v>76</v>
      </c>
      <c r="J143" s="61" t="s">
        <v>77</v>
      </c>
      <c r="K143" s="23" t="s">
        <v>81</v>
      </c>
      <c r="L143" s="23" t="e">
        <f t="shared" si="51"/>
        <v>#N/A</v>
      </c>
      <c r="M143" s="23" t="s">
        <v>81</v>
      </c>
      <c r="N143" s="23" t="e">
        <f t="shared" si="52"/>
        <v>#N/A</v>
      </c>
      <c r="O143" s="23">
        <v>65</v>
      </c>
      <c r="P143" s="23" t="str">
        <f t="shared" si="53"/>
        <v>Perlu peningkatan dalam hal</v>
      </c>
      <c r="Q143" s="23" t="s">
        <v>81</v>
      </c>
      <c r="R143" s="23" t="e">
        <f t="shared" si="54"/>
        <v>#N/A</v>
      </c>
      <c r="S143" s="23">
        <v>0</v>
      </c>
      <c r="T143" s="23" t="str">
        <f t="shared" si="55"/>
        <v>Perlu peningkatan dalam hal</v>
      </c>
      <c r="U143" s="23">
        <v>65</v>
      </c>
      <c r="V143" s="23" t="str">
        <f t="shared" si="56"/>
        <v>Perlu peningkatan dalam hal</v>
      </c>
      <c r="W143" s="23">
        <v>0</v>
      </c>
      <c r="X143" s="23" t="str">
        <f t="shared" si="57"/>
        <v>Perlu peningkatan dalam hal</v>
      </c>
      <c r="Y143" s="23">
        <v>0</v>
      </c>
      <c r="Z143" s="23" t="str">
        <f t="shared" si="58"/>
        <v>Perlu peningkatan dalam hal</v>
      </c>
      <c r="AA143" s="23">
        <v>0</v>
      </c>
      <c r="AB143" s="23" t="str">
        <f t="shared" si="59"/>
        <v>Perlu peningkatan dalam hal</v>
      </c>
      <c r="AC143" s="23" t="s">
        <v>81</v>
      </c>
      <c r="AD143" s="23" t="e">
        <f t="shared" si="60"/>
        <v>#N/A</v>
      </c>
      <c r="AE143" s="23">
        <v>50</v>
      </c>
      <c r="AF143" s="23" t="str">
        <f t="shared" si="61"/>
        <v>Perlu peningkatan dalam hal</v>
      </c>
      <c r="AG143" s="23">
        <v>51</v>
      </c>
      <c r="AH143" s="23" t="str">
        <f t="shared" si="62"/>
        <v>Perlu peningkatan dalam hal</v>
      </c>
      <c r="AI143" s="62">
        <f t="shared" si="35"/>
        <v>50.5</v>
      </c>
      <c r="AJ143" s="23">
        <v>0</v>
      </c>
      <c r="AK143" s="23" t="str">
        <f t="shared" si="49"/>
        <v>Perlu peningkatan dalam hal</v>
      </c>
      <c r="AL143" s="23" t="s">
        <v>81</v>
      </c>
      <c r="AM143" s="18" t="e">
        <f t="shared" si="63"/>
        <v>#N/A</v>
      </c>
      <c r="AN143" s="23" t="s">
        <v>81</v>
      </c>
      <c r="AO143" s="23" t="s">
        <v>81</v>
      </c>
      <c r="AP143" s="23">
        <v>67</v>
      </c>
      <c r="AQ143" s="23"/>
      <c r="AR143" s="23"/>
      <c r="AS143" s="18"/>
      <c r="AT143" s="23"/>
      <c r="AU143" s="18"/>
      <c r="AV143" s="23"/>
      <c r="AW143" s="18"/>
      <c r="AX143" s="18"/>
      <c r="AY143" s="23"/>
      <c r="AZ143" s="18"/>
      <c r="BA143" s="23"/>
      <c r="BB143" s="23"/>
      <c r="BC143" s="23"/>
      <c r="BD143" s="23"/>
      <c r="BE143" s="18"/>
      <c r="BG143" s="20"/>
      <c r="BH143" s="20"/>
      <c r="BN143" s="22">
        <f t="shared" si="34"/>
        <v>10</v>
      </c>
      <c r="BP143" s="115">
        <f t="shared" si="36"/>
        <v>22.5625</v>
      </c>
      <c r="BQ143" s="22">
        <f t="shared" si="31"/>
        <v>38</v>
      </c>
    </row>
    <row r="144" spans="1:69" ht="24.95" customHeight="1" thickTop="1" thickBot="1" x14ac:dyDescent="0.3">
      <c r="A144" s="23">
        <v>143</v>
      </c>
      <c r="B144" s="23">
        <v>2525724</v>
      </c>
      <c r="C144" s="23" t="s">
        <v>1140</v>
      </c>
      <c r="D144" s="18" t="s">
        <v>1141</v>
      </c>
      <c r="E144" s="23" t="s">
        <v>1070</v>
      </c>
      <c r="F144" s="23" t="s">
        <v>845</v>
      </c>
      <c r="G144" s="24" t="s">
        <v>1071</v>
      </c>
      <c r="H144" s="24" t="s">
        <v>1072</v>
      </c>
      <c r="I144" s="60" t="s">
        <v>76</v>
      </c>
      <c r="J144" s="61" t="s">
        <v>77</v>
      </c>
      <c r="K144" s="23">
        <v>79</v>
      </c>
      <c r="L144" s="23" t="str">
        <f t="shared" si="51"/>
        <v>Mencapai kompetensi dengan baik dalam hal</v>
      </c>
      <c r="M144" s="23">
        <v>77</v>
      </c>
      <c r="N144" s="23" t="str">
        <f t="shared" si="52"/>
        <v>Mencapai kompetensi dengan baik dalam hal</v>
      </c>
      <c r="O144" s="23">
        <v>75</v>
      </c>
      <c r="P144" s="23" t="str">
        <f t="shared" si="53"/>
        <v>Mencapai kompetensi dengan baik dalam hal</v>
      </c>
      <c r="Q144" s="23">
        <v>80</v>
      </c>
      <c r="R144" s="23" t="str">
        <f t="shared" si="54"/>
        <v>Mencapai kompetensi dengan baik dalam hal</v>
      </c>
      <c r="S144" s="23">
        <v>78</v>
      </c>
      <c r="T144" s="23" t="str">
        <f t="shared" si="55"/>
        <v>Mencapai kompetensi dengan baik dalam hal</v>
      </c>
      <c r="U144" s="23">
        <v>77</v>
      </c>
      <c r="V144" s="23" t="str">
        <f t="shared" si="56"/>
        <v>Mencapai kompetensi dengan baik dalam hal</v>
      </c>
      <c r="W144" s="23">
        <v>75</v>
      </c>
      <c r="X144" s="23" t="str">
        <f t="shared" si="57"/>
        <v>Mencapai kompetensi dengan baik dalam hal</v>
      </c>
      <c r="Y144" s="23">
        <v>77</v>
      </c>
      <c r="Z144" s="23" t="str">
        <f t="shared" si="58"/>
        <v>Mencapai kompetensi dengan baik dalam hal</v>
      </c>
      <c r="AA144" s="23">
        <v>85</v>
      </c>
      <c r="AB144" s="23" t="str">
        <f t="shared" si="59"/>
        <v>Mencapai kompetensi dengan baik dalam hal</v>
      </c>
      <c r="AC144" s="23">
        <v>79</v>
      </c>
      <c r="AD144" s="23" t="str">
        <f t="shared" si="60"/>
        <v>Mencapai kompetensi dengan baik dalam hal</v>
      </c>
      <c r="AE144" s="23">
        <v>76</v>
      </c>
      <c r="AF144" s="23" t="str">
        <f t="shared" si="61"/>
        <v>Mencapai kompetensi dengan baik dalam hal</v>
      </c>
      <c r="AG144" s="23">
        <v>77</v>
      </c>
      <c r="AH144" s="23" t="str">
        <f t="shared" si="62"/>
        <v>Mencapai kompetensi dengan baik dalam hal</v>
      </c>
      <c r="AI144" s="62">
        <f t="shared" si="35"/>
        <v>76.5</v>
      </c>
      <c r="AJ144" s="23">
        <v>85</v>
      </c>
      <c r="AK144" s="23" t="str">
        <f t="shared" si="49"/>
        <v>Mencapai kompetensi dengan baik dalam hal</v>
      </c>
      <c r="AL144" s="23">
        <v>79</v>
      </c>
      <c r="AM144" s="18" t="str">
        <f t="shared" si="63"/>
        <v>Mencapai kompetensi dengan baik dalam hal</v>
      </c>
      <c r="AN144" s="23">
        <v>1</v>
      </c>
      <c r="AO144" s="23" t="s">
        <v>81</v>
      </c>
      <c r="AP144" s="23" t="s">
        <v>81</v>
      </c>
      <c r="AQ144" s="23">
        <v>1</v>
      </c>
      <c r="AR144" s="23" t="s">
        <v>82</v>
      </c>
      <c r="AS144" s="18" t="s">
        <v>83</v>
      </c>
      <c r="AT144" s="23" t="s">
        <v>86</v>
      </c>
      <c r="AU144" s="18" t="str">
        <f>VLOOKUP(AT144,grades4,2,TRUE)</f>
        <v>Sangat baik</v>
      </c>
      <c r="AV144" s="23">
        <v>2</v>
      </c>
      <c r="AW144" s="18" t="s">
        <v>108</v>
      </c>
      <c r="AX144" s="18" t="s">
        <v>83</v>
      </c>
      <c r="AY144" s="23" t="s">
        <v>86</v>
      </c>
      <c r="AZ144" s="18" t="str">
        <f>VLOOKUP(AY144,grades4,2,TRUE)</f>
        <v>Sangat baik</v>
      </c>
      <c r="BA144" s="23"/>
      <c r="BB144" s="23"/>
      <c r="BC144" s="23"/>
      <c r="BD144" s="23"/>
      <c r="BE144" s="18"/>
      <c r="BG144" s="20"/>
      <c r="BH144" s="20"/>
      <c r="BN144" s="22">
        <f t="shared" si="34"/>
        <v>0</v>
      </c>
      <c r="BP144" s="115">
        <f t="shared" si="36"/>
        <v>78.65384615384616</v>
      </c>
      <c r="BQ144" s="22">
        <f t="shared" si="31"/>
        <v>13</v>
      </c>
    </row>
    <row r="145" spans="1:69" ht="24.95" customHeight="1" thickTop="1" thickBot="1" x14ac:dyDescent="0.3">
      <c r="A145" s="23">
        <v>144</v>
      </c>
      <c r="B145" s="23">
        <v>2525725</v>
      </c>
      <c r="C145" s="23" t="s">
        <v>1142</v>
      </c>
      <c r="D145" s="18" t="s">
        <v>1143</v>
      </c>
      <c r="E145" s="23" t="s">
        <v>1070</v>
      </c>
      <c r="F145" s="23" t="s">
        <v>845</v>
      </c>
      <c r="G145" s="24" t="s">
        <v>1071</v>
      </c>
      <c r="H145" s="24" t="s">
        <v>1072</v>
      </c>
      <c r="I145" s="60" t="s">
        <v>76</v>
      </c>
      <c r="J145" s="61" t="s">
        <v>77</v>
      </c>
      <c r="K145" s="23">
        <v>80</v>
      </c>
      <c r="L145" s="23" t="str">
        <f t="shared" si="51"/>
        <v>Mencapai kompetensi dengan baik dalam hal</v>
      </c>
      <c r="M145" s="23">
        <v>76</v>
      </c>
      <c r="N145" s="23" t="str">
        <f t="shared" si="52"/>
        <v>Mencapai kompetensi dengan baik dalam hal</v>
      </c>
      <c r="O145" s="23">
        <v>75</v>
      </c>
      <c r="P145" s="23" t="str">
        <f t="shared" si="53"/>
        <v>Mencapai kompetensi dengan baik dalam hal</v>
      </c>
      <c r="Q145" s="23">
        <v>79</v>
      </c>
      <c r="R145" s="23" t="str">
        <f t="shared" si="54"/>
        <v>Mencapai kompetensi dengan baik dalam hal</v>
      </c>
      <c r="S145" s="23">
        <v>79</v>
      </c>
      <c r="T145" s="23" t="str">
        <f t="shared" si="55"/>
        <v>Mencapai kompetensi dengan baik dalam hal</v>
      </c>
      <c r="U145" s="23">
        <v>75</v>
      </c>
      <c r="V145" s="23" t="str">
        <f t="shared" si="56"/>
        <v>Mencapai kompetensi dengan baik dalam hal</v>
      </c>
      <c r="W145" s="23">
        <v>76</v>
      </c>
      <c r="X145" s="23" t="str">
        <f t="shared" si="57"/>
        <v>Mencapai kompetensi dengan baik dalam hal</v>
      </c>
      <c r="Y145" s="23">
        <v>79</v>
      </c>
      <c r="Z145" s="23" t="str">
        <f t="shared" si="58"/>
        <v>Mencapai kompetensi dengan baik dalam hal</v>
      </c>
      <c r="AA145" s="23">
        <v>86</v>
      </c>
      <c r="AB145" s="23" t="str">
        <f t="shared" si="59"/>
        <v>Mencapai kompetensi dengan baik dalam hal</v>
      </c>
      <c r="AC145" s="23">
        <v>79</v>
      </c>
      <c r="AD145" s="23" t="str">
        <f t="shared" si="60"/>
        <v>Mencapai kompetensi dengan baik dalam hal</v>
      </c>
      <c r="AE145" s="23">
        <v>79</v>
      </c>
      <c r="AF145" s="23" t="str">
        <f t="shared" si="61"/>
        <v>Mencapai kompetensi dengan baik dalam hal</v>
      </c>
      <c r="AG145" s="23">
        <v>80</v>
      </c>
      <c r="AH145" s="23" t="str">
        <f t="shared" si="62"/>
        <v>Mencapai kompetensi dengan baik dalam hal</v>
      </c>
      <c r="AI145" s="62">
        <f t="shared" si="35"/>
        <v>79.5</v>
      </c>
      <c r="AJ145" s="23">
        <v>86</v>
      </c>
      <c r="AK145" s="23" t="str">
        <f t="shared" si="49"/>
        <v>Mencapai kompetensi dengan baik dalam hal</v>
      </c>
      <c r="AL145" s="23">
        <v>79</v>
      </c>
      <c r="AM145" s="18" t="str">
        <f t="shared" si="63"/>
        <v>Mencapai kompetensi dengan baik dalam hal</v>
      </c>
      <c r="AN145" s="23" t="s">
        <v>81</v>
      </c>
      <c r="AO145" s="23" t="s">
        <v>81</v>
      </c>
      <c r="AP145" s="23" t="s">
        <v>81</v>
      </c>
      <c r="AQ145" s="23">
        <v>1</v>
      </c>
      <c r="AR145" s="23" t="s">
        <v>82</v>
      </c>
      <c r="AS145" s="18" t="s">
        <v>83</v>
      </c>
      <c r="AT145" s="23" t="s">
        <v>84</v>
      </c>
      <c r="AU145" s="18" t="str">
        <f>VLOOKUP(AT145,grades4,2,TRUE)</f>
        <v>Baik</v>
      </c>
      <c r="AV145" s="23">
        <v>2</v>
      </c>
      <c r="AW145" s="18" t="s">
        <v>170</v>
      </c>
      <c r="AX145" s="18" t="s">
        <v>83</v>
      </c>
      <c r="AY145" s="23" t="s">
        <v>104</v>
      </c>
      <c r="AZ145" s="18" t="str">
        <f>VLOOKUP(AY145,grades4,2,TRUE)</f>
        <v>Cukup</v>
      </c>
      <c r="BA145" s="23">
        <v>3</v>
      </c>
      <c r="BB145" s="23" t="s">
        <v>87</v>
      </c>
      <c r="BC145" s="23" t="s">
        <v>83</v>
      </c>
      <c r="BD145" s="23" t="s">
        <v>84</v>
      </c>
      <c r="BE145" s="18" t="str">
        <f>VLOOKUP(BD145,grades4,2,TRUE)</f>
        <v>Baik</v>
      </c>
      <c r="BG145" s="20"/>
      <c r="BH145" s="20"/>
      <c r="BN145" s="22">
        <f t="shared" si="34"/>
        <v>0</v>
      </c>
      <c r="BP145" s="115">
        <f t="shared" si="36"/>
        <v>79.115384615384613</v>
      </c>
      <c r="BQ145" s="22">
        <f t="shared" si="31"/>
        <v>10</v>
      </c>
    </row>
    <row r="146" spans="1:69" ht="10.5" customHeight="1" thickTop="1" thickBot="1" x14ac:dyDescent="0.3">
      <c r="A146" s="38"/>
      <c r="B146" s="38"/>
      <c r="C146" s="38"/>
      <c r="D146" s="46"/>
      <c r="E146" s="38"/>
      <c r="F146" s="38"/>
      <c r="G146" s="40"/>
      <c r="H146" s="40"/>
      <c r="I146" s="63"/>
      <c r="J146" s="44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38"/>
      <c r="AI146" s="38"/>
      <c r="AJ146" s="38"/>
      <c r="AK146" s="38"/>
      <c r="AL146" s="38"/>
      <c r="AM146" s="46"/>
      <c r="AN146" s="38"/>
      <c r="AO146" s="38"/>
      <c r="AP146" s="38"/>
      <c r="AQ146" s="38"/>
      <c r="AR146" s="40"/>
      <c r="AS146" s="46"/>
      <c r="AT146" s="40"/>
      <c r="AU146" s="46"/>
      <c r="AV146" s="38"/>
      <c r="AW146" s="46"/>
      <c r="AX146" s="46"/>
      <c r="AY146" s="38"/>
      <c r="AZ146" s="46"/>
      <c r="BA146" s="38"/>
      <c r="BB146" s="38"/>
      <c r="BC146" s="38"/>
      <c r="BD146" s="38"/>
      <c r="BE146" s="38"/>
      <c r="BG146" s="20"/>
      <c r="BH146" s="20"/>
      <c r="BN146" s="22"/>
      <c r="BP146" s="115"/>
      <c r="BQ146" s="22"/>
    </row>
    <row r="147" spans="1:69" ht="15.75" thickTop="1" x14ac:dyDescent="0.25"/>
  </sheetData>
  <conditionalFormatting sqref="AZ3:AZ146 AU3:AU146 L2:L146 AM2:AM146 AF2:AF146 AD2:AD146 AB2:AB146 Z2:Z146 X2:X146 V2:V146 T2:T146 R2:R146 P2:P146 N2:N146 AH2:AI146">
    <cfRule type="cellIs" dxfId="50" priority="14" operator="lessThan">
      <formula>70</formula>
    </cfRule>
  </conditionalFormatting>
  <conditionalFormatting sqref="L2:L146 AF2:AF146 AD2:AD146 AB2:AB146 Z2:Z146 X2:X146 V2:V146 T2:T146 R2:R146 P2:P146 N2:N146 AH2:AI146">
    <cfRule type="cellIs" dxfId="49" priority="13" operator="lessThan">
      <formula>75</formula>
    </cfRule>
  </conditionalFormatting>
  <conditionalFormatting sqref="BQ2:BQ146">
    <cfRule type="cellIs" dxfId="48" priority="12" operator="lessThan">
      <formula>10</formula>
    </cfRule>
  </conditionalFormatting>
  <conditionalFormatting sqref="BN2:BN146">
    <cfRule type="cellIs" dxfId="47" priority="11" operator="greaterThan">
      <formula>0</formula>
    </cfRule>
  </conditionalFormatting>
  <conditionalFormatting sqref="AK2:AK146">
    <cfRule type="cellIs" dxfId="46" priority="10" operator="lessThan">
      <formula>70</formula>
    </cfRule>
  </conditionalFormatting>
  <conditionalFormatting sqref="AK2:AK146">
    <cfRule type="cellIs" dxfId="45" priority="9" operator="lessThan">
      <formula>75</formula>
    </cfRule>
  </conditionalFormatting>
  <conditionalFormatting sqref="K2:AL37 AI38:AI145">
    <cfRule type="cellIs" dxfId="44" priority="8" operator="lessThan">
      <formula>75</formula>
    </cfRule>
  </conditionalFormatting>
  <conditionalFormatting sqref="K2:AL145">
    <cfRule type="cellIs" dxfId="43" priority="7" operator="lessThan">
      <formula>75</formula>
    </cfRule>
  </conditionalFormatting>
  <conditionalFormatting sqref="AU2:AU145 AZ2:AZ145">
    <cfRule type="cellIs" dxfId="42" priority="6" operator="lessThan">
      <formula>70</formula>
    </cfRule>
  </conditionalFormatting>
  <conditionalFormatting sqref="AT2:AT145">
    <cfRule type="cellIs" dxfId="41" priority="3" operator="lessThan">
      <formula>70</formula>
    </cfRule>
  </conditionalFormatting>
  <conditionalFormatting sqref="AT2:AT145">
    <cfRule type="cellIs" dxfId="40" priority="2" operator="lessThan">
      <formula>75</formula>
    </cfRule>
  </conditionalFormatting>
  <conditionalFormatting sqref="AR2:AR145">
    <cfRule type="cellIs" dxfId="39" priority="5" operator="lessThan">
      <formula>70</formula>
    </cfRule>
  </conditionalFormatting>
  <conditionalFormatting sqref="AR2:AR145">
    <cfRule type="cellIs" dxfId="38" priority="4" operator="lessThan">
      <formula>75</formula>
    </cfRule>
  </conditionalFormatting>
  <conditionalFormatting sqref="BE2:BE145">
    <cfRule type="cellIs" dxfId="37" priority="1" operator="lessThan">
      <formula>70</formula>
    </cfRule>
  </conditionalFormatting>
  <printOptions horizontalCentered="1"/>
  <pageMargins left="0.19685039370078741" right="0.19685039370078741" top="0.39370078740157483" bottom="0.39370078740157483" header="0.31496062992125984" footer="0.31496062992125984"/>
  <pageSetup paperSize="8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09"/>
  <sheetViews>
    <sheetView zoomScale="80" zoomScaleNormal="80" workbookViewId="0">
      <pane xSplit="10" ySplit="1" topLeftCell="K2" activePane="bottomRight" state="frozen"/>
      <selection pane="topRight" activeCell="K1" sqref="K1"/>
      <selection pane="bottomLeft" activeCell="A2" sqref="A2"/>
      <selection pane="bottomRight" activeCell="F1" sqref="F1:I1048576"/>
    </sheetView>
  </sheetViews>
  <sheetFormatPr defaultColWidth="9.140625" defaultRowHeight="15" x14ac:dyDescent="0.25"/>
  <cols>
    <col min="1" max="1" width="5" style="22" bestFit="1" customWidth="1"/>
    <col min="2" max="2" width="12" style="22" customWidth="1"/>
    <col min="3" max="3" width="13.5703125" style="22" bestFit="1" customWidth="1"/>
    <col min="4" max="4" width="40.7109375" style="65" customWidth="1"/>
    <col min="5" max="5" width="9.140625" style="22" customWidth="1"/>
    <col min="6" max="6" width="19.5703125" style="22" customWidth="1"/>
    <col min="7" max="7" width="32.140625" style="19" bestFit="1" customWidth="1"/>
    <col min="8" max="8" width="21.42578125" style="19" bestFit="1" customWidth="1"/>
    <col min="9" max="9" width="7.28515625" style="22" bestFit="1" customWidth="1"/>
    <col min="10" max="10" width="9.85546875" style="19" customWidth="1"/>
    <col min="11" max="11" width="9.140625" style="22"/>
    <col min="12" max="12" width="36.85546875" style="22" hidden="1" customWidth="1"/>
    <col min="13" max="13" width="9.140625" style="22"/>
    <col min="14" max="14" width="28" style="22" hidden="1" customWidth="1"/>
    <col min="15" max="15" width="9.140625" style="22"/>
    <col min="16" max="16" width="28" style="22" hidden="1" customWidth="1"/>
    <col min="17" max="17" width="9.140625" style="22"/>
    <col min="18" max="18" width="28" style="22" hidden="1" customWidth="1"/>
    <col min="19" max="19" width="9.140625" style="22"/>
    <col min="20" max="20" width="28" style="22" hidden="1" customWidth="1"/>
    <col min="21" max="21" width="9.140625" style="22"/>
    <col min="22" max="22" width="28" style="22" hidden="1" customWidth="1"/>
    <col min="23" max="23" width="9.140625" style="22"/>
    <col min="24" max="24" width="28" style="22" hidden="1" customWidth="1"/>
    <col min="25" max="25" width="9.140625" style="22"/>
    <col min="26" max="26" width="28" style="22" hidden="1" customWidth="1"/>
    <col min="27" max="27" width="9.140625" style="22"/>
    <col min="28" max="28" width="28" style="22" hidden="1" customWidth="1"/>
    <col min="29" max="29" width="9.140625" style="22"/>
    <col min="30" max="30" width="28" style="22" hidden="1" customWidth="1"/>
    <col min="31" max="31" width="0" style="22" hidden="1" customWidth="1"/>
    <col min="32" max="32" width="28" style="22" hidden="1" customWidth="1"/>
    <col min="33" max="33" width="0" style="22" hidden="1" customWidth="1"/>
    <col min="34" max="34" width="28" style="22" hidden="1" customWidth="1"/>
    <col min="35" max="35" width="0" style="22" hidden="1" customWidth="1"/>
    <col min="36" max="36" width="28" style="22" hidden="1" customWidth="1"/>
    <col min="37" max="37" width="0" style="22" hidden="1" customWidth="1"/>
    <col min="38" max="38" width="28" style="22" hidden="1" customWidth="1"/>
    <col min="39" max="39" width="0" style="22" hidden="1" customWidth="1"/>
    <col min="40" max="40" width="28" style="22" hidden="1" customWidth="1"/>
    <col min="41" max="41" width="11" style="22" bestFit="1" customWidth="1"/>
    <col min="42" max="42" width="9.140625" style="22"/>
    <col min="43" max="43" width="28" style="22" hidden="1" customWidth="1"/>
    <col min="44" max="44" width="9.140625" style="22"/>
    <col min="45" max="45" width="28" style="22" hidden="1" customWidth="1"/>
    <col min="46" max="48" width="9.140625" style="19"/>
    <col min="49" max="49" width="0" style="19" hidden="1" customWidth="1"/>
    <col min="50" max="50" width="9" style="19" bestFit="1" customWidth="1"/>
    <col min="51" max="51" width="19.28515625" style="19" hidden="1" customWidth="1"/>
    <col min="52" max="52" width="4.7109375" style="22" bestFit="1" customWidth="1"/>
    <col min="53" max="53" width="18.5703125" style="19" bestFit="1" customWidth="1"/>
    <col min="54" max="54" width="0" style="19" hidden="1" customWidth="1"/>
    <col min="55" max="55" width="16.42578125" style="19" bestFit="1" customWidth="1"/>
    <col min="56" max="56" width="19.28515625" style="19" hidden="1" customWidth="1"/>
    <col min="57" max="57" width="4.7109375" style="22" bestFit="1" customWidth="1"/>
    <col min="58" max="58" width="18.5703125" style="19" bestFit="1" customWidth="1"/>
    <col min="59" max="65" width="0" style="19" hidden="1" customWidth="1"/>
    <col min="66" max="66" width="36.5703125" style="19" hidden="1" customWidth="1"/>
    <col min="67" max="68" width="0" style="19" hidden="1" customWidth="1"/>
    <col min="69" max="69" width="31.7109375" style="19" hidden="1" customWidth="1"/>
    <col min="70" max="72" width="0" style="19" hidden="1" customWidth="1"/>
    <col min="73" max="16384" width="9.140625" style="19"/>
  </cols>
  <sheetData>
    <row r="1" spans="1:70" s="6" customFormat="1" ht="33.75" customHeight="1" thickTop="1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182</v>
      </c>
      <c r="AF1" s="2" t="s">
        <v>183</v>
      </c>
      <c r="AG1" s="2" t="s">
        <v>184</v>
      </c>
      <c r="AH1" s="2" t="s">
        <v>185</v>
      </c>
      <c r="AI1" s="2" t="s">
        <v>1144</v>
      </c>
      <c r="AJ1" s="2" t="s">
        <v>1145</v>
      </c>
      <c r="AK1" s="2" t="s">
        <v>1146</v>
      </c>
      <c r="AL1" s="2" t="s">
        <v>1147</v>
      </c>
      <c r="AM1" s="2" t="s">
        <v>40</v>
      </c>
      <c r="AN1" s="2" t="s">
        <v>186</v>
      </c>
      <c r="AO1" s="2" t="s">
        <v>287</v>
      </c>
      <c r="AP1" s="2" t="s">
        <v>43</v>
      </c>
      <c r="AQ1" s="2" t="s">
        <v>192</v>
      </c>
      <c r="AR1" s="2" t="s">
        <v>45</v>
      </c>
      <c r="AS1" s="2" t="s">
        <v>46</v>
      </c>
      <c r="AT1" s="2" t="s">
        <v>50</v>
      </c>
      <c r="AU1" s="2" t="s">
        <v>51</v>
      </c>
      <c r="AV1" s="2" t="s">
        <v>52</v>
      </c>
      <c r="AW1" s="2" t="s">
        <v>53</v>
      </c>
      <c r="AX1" s="2" t="s">
        <v>54</v>
      </c>
      <c r="AY1" s="2" t="s">
        <v>55</v>
      </c>
      <c r="AZ1" s="2" t="s">
        <v>56</v>
      </c>
      <c r="BA1" s="2" t="s">
        <v>57</v>
      </c>
      <c r="BB1" s="2" t="s">
        <v>58</v>
      </c>
      <c r="BC1" s="2" t="s">
        <v>59</v>
      </c>
      <c r="BD1" s="2" t="s">
        <v>60</v>
      </c>
      <c r="BE1" s="2" t="s">
        <v>61</v>
      </c>
      <c r="BF1" s="2" t="s">
        <v>62</v>
      </c>
      <c r="BG1" s="2" t="s">
        <v>63</v>
      </c>
      <c r="BH1" s="2" t="s">
        <v>64</v>
      </c>
      <c r="BI1" s="2" t="s">
        <v>65</v>
      </c>
      <c r="BJ1" s="2" t="s">
        <v>66</v>
      </c>
      <c r="BK1" s="2" t="s">
        <v>67</v>
      </c>
      <c r="BM1" s="52" t="s">
        <v>68</v>
      </c>
      <c r="BN1" s="52"/>
      <c r="BO1" s="109"/>
      <c r="BP1" s="109" t="s">
        <v>69</v>
      </c>
      <c r="BQ1" s="109"/>
      <c r="BR1" s="109"/>
    </row>
    <row r="2" spans="1:70" ht="24.95" customHeight="1" thickTop="1" thickBot="1" x14ac:dyDescent="0.3">
      <c r="A2" s="12">
        <v>1</v>
      </c>
      <c r="B2" s="12">
        <v>2525475</v>
      </c>
      <c r="C2" s="12" t="s">
        <v>1148</v>
      </c>
      <c r="D2" s="15" t="s">
        <v>1149</v>
      </c>
      <c r="E2" s="12" t="s">
        <v>1150</v>
      </c>
      <c r="F2" s="12" t="s">
        <v>1151</v>
      </c>
      <c r="G2" s="12" t="s">
        <v>1152</v>
      </c>
      <c r="H2" s="12" t="s">
        <v>1153</v>
      </c>
      <c r="I2" s="116" t="s">
        <v>76</v>
      </c>
      <c r="J2" s="117" t="s">
        <v>77</v>
      </c>
      <c r="K2" s="12">
        <v>80</v>
      </c>
      <c r="L2" s="15" t="str">
        <f t="shared" ref="L2:L102" si="0">VLOOKUP(K2,grades1,2,TRUE)</f>
        <v>Mencapai kompetensi dengan baik dalam hal</v>
      </c>
      <c r="M2" s="12">
        <v>78</v>
      </c>
      <c r="N2" s="15" t="str">
        <f t="shared" ref="N2:N102" si="1">VLOOKUP(M2,grades1,2,TRUE)</f>
        <v>Mencapai kompetensi dengan baik dalam hal</v>
      </c>
      <c r="O2" s="12">
        <v>82</v>
      </c>
      <c r="P2" s="15" t="str">
        <f t="shared" ref="P2:P102" si="2">VLOOKUP(O2,grades1,2,TRUE)</f>
        <v>Mencapai kompetensi dengan baik dalam hal</v>
      </c>
      <c r="Q2" s="12">
        <v>79</v>
      </c>
      <c r="R2" s="15" t="str">
        <f t="shared" ref="R2:R102" si="3">VLOOKUP(Q2,grades1,2,TRUE)</f>
        <v>Mencapai kompetensi dengan baik dalam hal</v>
      </c>
      <c r="S2" s="12">
        <v>80</v>
      </c>
      <c r="T2" s="15" t="str">
        <f t="shared" ref="T2:T102" si="4">VLOOKUP(S2,grades1,2,TRUE)</f>
        <v>Mencapai kompetensi dengan baik dalam hal</v>
      </c>
      <c r="U2" s="12">
        <v>81</v>
      </c>
      <c r="V2" s="15" t="str">
        <f t="shared" ref="V2:V102" si="5">VLOOKUP(U2,grades1,2,TRUE)</f>
        <v>Mencapai kompetensi dengan baik dalam hal</v>
      </c>
      <c r="W2" s="12">
        <v>78</v>
      </c>
      <c r="X2" s="15" t="str">
        <f t="shared" ref="X2:X102" si="6">VLOOKUP(W2,grades1,2,TRUE)</f>
        <v>Mencapai kompetensi dengan baik dalam hal</v>
      </c>
      <c r="Y2" s="12">
        <v>79</v>
      </c>
      <c r="Z2" s="15" t="str">
        <f t="shared" ref="Z2:Z102" si="7">VLOOKUP(Y2,grades1,2,TRUE)</f>
        <v>Mencapai kompetensi dengan baik dalam hal</v>
      </c>
      <c r="AA2" s="12">
        <v>78</v>
      </c>
      <c r="AB2" s="15" t="str">
        <f t="shared" ref="AB2:AB102" si="8">VLOOKUP(AA2,grades1,2,TRUE)</f>
        <v>Mencapai kompetensi dengan baik dalam hal</v>
      </c>
      <c r="AC2" s="12">
        <v>77</v>
      </c>
      <c r="AD2" s="15" t="str">
        <f t="shared" ref="AD2:AF40" si="9">VLOOKUP(AC2,grades1,2,TRUE)</f>
        <v>Mencapai kompetensi dengan baik dalam hal</v>
      </c>
      <c r="AE2" s="12">
        <v>76</v>
      </c>
      <c r="AF2" s="15" t="str">
        <f t="shared" si="9"/>
        <v>Mencapai kompetensi dengan baik dalam hal</v>
      </c>
      <c r="AG2" s="12">
        <v>82</v>
      </c>
      <c r="AH2" s="15" t="str">
        <f t="shared" ref="AH2:AH102" si="10">VLOOKUP(AG2,grades1,2,TRUE)</f>
        <v>Mencapai kompetensi dengan baik dalam hal</v>
      </c>
      <c r="AI2" s="12">
        <v>76</v>
      </c>
      <c r="AJ2" s="15" t="str">
        <f t="shared" ref="AJ2:AJ102" si="11">VLOOKUP(AI2,grades1,2,TRUE)</f>
        <v>Mencapai kompetensi dengan baik dalam hal</v>
      </c>
      <c r="AK2" s="12">
        <v>79</v>
      </c>
      <c r="AL2" s="15" t="str">
        <f t="shared" ref="AL2:AL102" si="12">VLOOKUP(AK2,grades1,2,TRUE)</f>
        <v>Mencapai kompetensi dengan baik dalam hal</v>
      </c>
      <c r="AM2" s="12">
        <v>75</v>
      </c>
      <c r="AN2" s="15" t="str">
        <f t="shared" ref="AN2:AN102" si="13">VLOOKUP(AM2,grades1,2,TRUE)</f>
        <v>Mencapai kompetensi dengan baik dalam hal</v>
      </c>
      <c r="AO2" s="118">
        <f>AVERAGE(AM2,AK2,AI2,AG2,AE2)</f>
        <v>77.599999999999994</v>
      </c>
      <c r="AP2" s="12">
        <v>78</v>
      </c>
      <c r="AQ2" s="15" t="str">
        <f t="shared" ref="AQ2:AQ102" si="14">VLOOKUP(AP2,grades1,2,TRUE)</f>
        <v>Mencapai kompetensi dengan baik dalam hal</v>
      </c>
      <c r="AR2" s="12">
        <v>79</v>
      </c>
      <c r="AS2" s="15" t="str">
        <f t="shared" ref="AS2:AS102" si="15">VLOOKUP(AR2,grades1,2,TRUE)</f>
        <v>Mencapai kompetensi dengan baik dalam hal</v>
      </c>
      <c r="AT2" s="119">
        <v>2</v>
      </c>
      <c r="AU2" s="119" t="s">
        <v>81</v>
      </c>
      <c r="AV2" s="119">
        <v>1</v>
      </c>
      <c r="AW2" s="7">
        <v>1</v>
      </c>
      <c r="AX2" s="12" t="s">
        <v>82</v>
      </c>
      <c r="AY2" s="17" t="s">
        <v>83</v>
      </c>
      <c r="AZ2" s="12" t="s">
        <v>86</v>
      </c>
      <c r="BA2" s="15" t="str">
        <f t="shared" ref="BA2:BA33" si="16">VLOOKUP(AZ2,grades4,2,TRUE)</f>
        <v>Sangat baik</v>
      </c>
      <c r="BB2" s="7">
        <v>2</v>
      </c>
      <c r="BC2" s="17" t="s">
        <v>579</v>
      </c>
      <c r="BD2" s="18" t="s">
        <v>83</v>
      </c>
      <c r="BE2" s="7" t="s">
        <v>84</v>
      </c>
      <c r="BF2" s="15" t="str">
        <f t="shared" ref="BF2:BF33" si="17">VLOOKUP(BE2,grades4,2,TRUE)</f>
        <v>Baik</v>
      </c>
      <c r="BG2" s="7"/>
      <c r="BH2" s="7"/>
      <c r="BI2" s="7"/>
      <c r="BJ2" s="7"/>
      <c r="BK2" s="15"/>
      <c r="BM2" s="55" t="s">
        <v>88</v>
      </c>
      <c r="BN2" s="55" t="s">
        <v>89</v>
      </c>
      <c r="BO2" s="110"/>
      <c r="BP2" s="111" t="s">
        <v>90</v>
      </c>
      <c r="BQ2" s="111" t="s">
        <v>91</v>
      </c>
      <c r="BR2" s="112"/>
    </row>
    <row r="3" spans="1:70" ht="24.95" customHeight="1" thickTop="1" thickBot="1" x14ac:dyDescent="0.3">
      <c r="A3" s="23">
        <v>2</v>
      </c>
      <c r="B3" s="23">
        <v>2525476</v>
      </c>
      <c r="C3" s="23" t="s">
        <v>1154</v>
      </c>
      <c r="D3" s="18" t="s">
        <v>1155</v>
      </c>
      <c r="E3" s="23" t="s">
        <v>1150</v>
      </c>
      <c r="F3" s="23" t="s">
        <v>1151</v>
      </c>
      <c r="G3" s="23" t="s">
        <v>1152</v>
      </c>
      <c r="H3" s="23" t="s">
        <v>1153</v>
      </c>
      <c r="I3" s="60" t="s">
        <v>76</v>
      </c>
      <c r="J3" s="61" t="s">
        <v>77</v>
      </c>
      <c r="K3" s="23">
        <v>82</v>
      </c>
      <c r="L3" s="18" t="str">
        <f t="shared" si="0"/>
        <v>Mencapai kompetensi dengan baik dalam hal</v>
      </c>
      <c r="M3" s="23">
        <v>78</v>
      </c>
      <c r="N3" s="18" t="str">
        <f t="shared" si="1"/>
        <v>Mencapai kompetensi dengan baik dalam hal</v>
      </c>
      <c r="O3" s="23">
        <v>81</v>
      </c>
      <c r="P3" s="18" t="str">
        <f t="shared" si="2"/>
        <v>Mencapai kompetensi dengan baik dalam hal</v>
      </c>
      <c r="Q3" s="23">
        <v>80</v>
      </c>
      <c r="R3" s="18" t="str">
        <f t="shared" si="3"/>
        <v>Mencapai kompetensi dengan baik dalam hal</v>
      </c>
      <c r="S3" s="23">
        <v>82</v>
      </c>
      <c r="T3" s="18" t="str">
        <f t="shared" si="4"/>
        <v>Mencapai kompetensi dengan baik dalam hal</v>
      </c>
      <c r="U3" s="23">
        <v>82</v>
      </c>
      <c r="V3" s="18" t="str">
        <f t="shared" si="5"/>
        <v>Mencapai kompetensi dengan baik dalam hal</v>
      </c>
      <c r="W3" s="23">
        <v>78</v>
      </c>
      <c r="X3" s="18" t="str">
        <f t="shared" si="6"/>
        <v>Mencapai kompetensi dengan baik dalam hal</v>
      </c>
      <c r="Y3" s="23">
        <v>79</v>
      </c>
      <c r="Z3" s="18" t="str">
        <f t="shared" si="7"/>
        <v>Mencapai kompetensi dengan baik dalam hal</v>
      </c>
      <c r="AA3" s="23">
        <v>78</v>
      </c>
      <c r="AB3" s="18" t="str">
        <f t="shared" si="8"/>
        <v>Mencapai kompetensi dengan baik dalam hal</v>
      </c>
      <c r="AC3" s="23">
        <v>76</v>
      </c>
      <c r="AD3" s="18" t="str">
        <f t="shared" ref="AD3:AD60" si="18">VLOOKUP(AC3,grades1,2,TRUE)</f>
        <v>Mencapai kompetensi dengan baik dalam hal</v>
      </c>
      <c r="AE3" s="23">
        <v>77</v>
      </c>
      <c r="AF3" s="18" t="str">
        <f t="shared" si="9"/>
        <v>Mencapai kompetensi dengan baik dalam hal</v>
      </c>
      <c r="AG3" s="23">
        <v>85</v>
      </c>
      <c r="AH3" s="18" t="str">
        <f t="shared" si="10"/>
        <v>Mencapai kompetensi dengan baik dalam hal</v>
      </c>
      <c r="AI3" s="23">
        <v>75</v>
      </c>
      <c r="AJ3" s="18" t="str">
        <f t="shared" si="11"/>
        <v>Mencapai kompetensi dengan baik dalam hal</v>
      </c>
      <c r="AK3" s="23">
        <v>78</v>
      </c>
      <c r="AL3" s="18" t="str">
        <f t="shared" si="12"/>
        <v>Mencapai kompetensi dengan baik dalam hal</v>
      </c>
      <c r="AM3" s="23">
        <v>76</v>
      </c>
      <c r="AN3" s="18" t="str">
        <f t="shared" si="13"/>
        <v>Mencapai kompetensi dengan baik dalam hal</v>
      </c>
      <c r="AO3" s="118">
        <f t="shared" ref="AO3:AO66" si="19">AVERAGE(AM3,AK3,AI3,AG3,AE3)</f>
        <v>78.2</v>
      </c>
      <c r="AP3" s="23">
        <v>78</v>
      </c>
      <c r="AQ3" s="18" t="str">
        <f t="shared" si="14"/>
        <v>Mencapai kompetensi dengan baik dalam hal</v>
      </c>
      <c r="AR3" s="23">
        <v>80</v>
      </c>
      <c r="AS3" s="18" t="str">
        <f t="shared" si="15"/>
        <v>Mencapai kompetensi dengan baik dalam hal</v>
      </c>
      <c r="AT3" s="113" t="s">
        <v>81</v>
      </c>
      <c r="AU3" s="113" t="s">
        <v>81</v>
      </c>
      <c r="AV3" s="113" t="s">
        <v>81</v>
      </c>
      <c r="AW3" s="7">
        <v>1</v>
      </c>
      <c r="AX3" s="12" t="s">
        <v>82</v>
      </c>
      <c r="AY3" s="17" t="s">
        <v>83</v>
      </c>
      <c r="AZ3" s="12" t="s">
        <v>86</v>
      </c>
      <c r="BA3" s="15" t="str">
        <f t="shared" si="16"/>
        <v>Sangat baik</v>
      </c>
      <c r="BB3" s="7">
        <v>2</v>
      </c>
      <c r="BC3" s="17" t="s">
        <v>1156</v>
      </c>
      <c r="BD3" s="18" t="s">
        <v>83</v>
      </c>
      <c r="BE3" s="7" t="s">
        <v>104</v>
      </c>
      <c r="BF3" s="15" t="str">
        <f t="shared" si="17"/>
        <v>Cukup</v>
      </c>
      <c r="BG3" s="7"/>
      <c r="BH3" s="7"/>
      <c r="BI3" s="7"/>
      <c r="BJ3" s="7"/>
      <c r="BK3" s="15"/>
      <c r="BM3" s="55">
        <v>0</v>
      </c>
      <c r="BN3" s="56" t="s">
        <v>95</v>
      </c>
      <c r="BO3" s="110"/>
      <c r="BP3" s="111" t="s">
        <v>86</v>
      </c>
      <c r="BQ3" s="111" t="s">
        <v>96</v>
      </c>
      <c r="BR3" s="112"/>
    </row>
    <row r="4" spans="1:70" ht="24.95" customHeight="1" thickTop="1" thickBot="1" x14ac:dyDescent="0.3">
      <c r="A4" s="23">
        <v>3</v>
      </c>
      <c r="B4" s="23">
        <v>2525477</v>
      </c>
      <c r="C4" s="23" t="s">
        <v>1157</v>
      </c>
      <c r="D4" s="18" t="s">
        <v>1158</v>
      </c>
      <c r="E4" s="23" t="s">
        <v>1150</v>
      </c>
      <c r="F4" s="23" t="s">
        <v>1151</v>
      </c>
      <c r="G4" s="23" t="s">
        <v>1152</v>
      </c>
      <c r="H4" s="23" t="s">
        <v>1153</v>
      </c>
      <c r="I4" s="60" t="s">
        <v>76</v>
      </c>
      <c r="J4" s="61" t="s">
        <v>77</v>
      </c>
      <c r="K4" s="23">
        <v>80</v>
      </c>
      <c r="L4" s="18" t="str">
        <f t="shared" si="0"/>
        <v>Mencapai kompetensi dengan baik dalam hal</v>
      </c>
      <c r="M4" s="23">
        <v>78</v>
      </c>
      <c r="N4" s="18" t="str">
        <f t="shared" si="1"/>
        <v>Mencapai kompetensi dengan baik dalam hal</v>
      </c>
      <c r="O4" s="23">
        <v>82</v>
      </c>
      <c r="P4" s="18" t="str">
        <f t="shared" si="2"/>
        <v>Mencapai kompetensi dengan baik dalam hal</v>
      </c>
      <c r="Q4" s="23">
        <v>80</v>
      </c>
      <c r="R4" s="18" t="str">
        <f t="shared" si="3"/>
        <v>Mencapai kompetensi dengan baik dalam hal</v>
      </c>
      <c r="S4" s="23">
        <v>79</v>
      </c>
      <c r="T4" s="18" t="str">
        <f t="shared" si="4"/>
        <v>Mencapai kompetensi dengan baik dalam hal</v>
      </c>
      <c r="U4" s="23">
        <v>81</v>
      </c>
      <c r="V4" s="18" t="str">
        <f t="shared" si="5"/>
        <v>Mencapai kompetensi dengan baik dalam hal</v>
      </c>
      <c r="W4" s="23">
        <v>79</v>
      </c>
      <c r="X4" s="18" t="str">
        <f t="shared" si="6"/>
        <v>Mencapai kompetensi dengan baik dalam hal</v>
      </c>
      <c r="Y4" s="23">
        <v>79</v>
      </c>
      <c r="Z4" s="18" t="str">
        <f t="shared" si="7"/>
        <v>Mencapai kompetensi dengan baik dalam hal</v>
      </c>
      <c r="AA4" s="23">
        <v>78</v>
      </c>
      <c r="AB4" s="18" t="str">
        <f t="shared" si="8"/>
        <v>Mencapai kompetensi dengan baik dalam hal</v>
      </c>
      <c r="AC4" s="23">
        <v>79</v>
      </c>
      <c r="AD4" s="18" t="str">
        <f t="shared" si="18"/>
        <v>Mencapai kompetensi dengan baik dalam hal</v>
      </c>
      <c r="AE4" s="23">
        <v>81</v>
      </c>
      <c r="AF4" s="18" t="str">
        <f t="shared" si="9"/>
        <v>Mencapai kompetensi dengan baik dalam hal</v>
      </c>
      <c r="AG4" s="23">
        <v>86</v>
      </c>
      <c r="AH4" s="18" t="str">
        <f t="shared" si="10"/>
        <v>Mencapai kompetensi dengan baik dalam hal</v>
      </c>
      <c r="AI4" s="23">
        <v>75</v>
      </c>
      <c r="AJ4" s="18" t="str">
        <f t="shared" si="11"/>
        <v>Mencapai kompetensi dengan baik dalam hal</v>
      </c>
      <c r="AK4" s="23">
        <v>80</v>
      </c>
      <c r="AL4" s="18" t="str">
        <f t="shared" si="12"/>
        <v>Mencapai kompetensi dengan baik dalam hal</v>
      </c>
      <c r="AM4" s="23">
        <v>74</v>
      </c>
      <c r="AN4" s="18" t="str">
        <f t="shared" si="13"/>
        <v>Perlu peningkatan dalam hal</v>
      </c>
      <c r="AO4" s="118">
        <f t="shared" si="19"/>
        <v>79.2</v>
      </c>
      <c r="AP4" s="23">
        <v>78</v>
      </c>
      <c r="AQ4" s="18" t="str">
        <f t="shared" si="14"/>
        <v>Mencapai kompetensi dengan baik dalam hal</v>
      </c>
      <c r="AR4" s="23">
        <v>79</v>
      </c>
      <c r="AS4" s="18" t="str">
        <f t="shared" si="15"/>
        <v>Mencapai kompetensi dengan baik dalam hal</v>
      </c>
      <c r="AT4" s="113" t="s">
        <v>81</v>
      </c>
      <c r="AU4" s="113" t="s">
        <v>81</v>
      </c>
      <c r="AV4" s="113" t="s">
        <v>81</v>
      </c>
      <c r="AW4" s="7">
        <v>1</v>
      </c>
      <c r="AX4" s="12" t="s">
        <v>82</v>
      </c>
      <c r="AY4" s="17" t="s">
        <v>83</v>
      </c>
      <c r="AZ4" s="12" t="s">
        <v>86</v>
      </c>
      <c r="BA4" s="15" t="str">
        <f t="shared" si="16"/>
        <v>Sangat baik</v>
      </c>
      <c r="BB4" s="7">
        <v>2</v>
      </c>
      <c r="BC4" s="17" t="s">
        <v>1156</v>
      </c>
      <c r="BD4" s="18" t="s">
        <v>83</v>
      </c>
      <c r="BE4" s="7" t="s">
        <v>104</v>
      </c>
      <c r="BF4" s="15" t="str">
        <f t="shared" si="17"/>
        <v>Cukup</v>
      </c>
      <c r="BG4" s="7"/>
      <c r="BH4" s="7"/>
      <c r="BI4" s="7"/>
      <c r="BJ4" s="7"/>
      <c r="BK4" s="15"/>
      <c r="BM4" s="55">
        <v>60</v>
      </c>
      <c r="BN4" s="56" t="s">
        <v>95</v>
      </c>
      <c r="BO4" s="110"/>
      <c r="BP4" s="111" t="s">
        <v>84</v>
      </c>
      <c r="BQ4" s="111" t="s">
        <v>100</v>
      </c>
      <c r="BR4" s="112"/>
    </row>
    <row r="5" spans="1:70" ht="24.95" customHeight="1" thickTop="1" thickBot="1" x14ac:dyDescent="0.3">
      <c r="A5" s="23">
        <v>4</v>
      </c>
      <c r="B5" s="23">
        <v>2525478</v>
      </c>
      <c r="C5" s="23" t="s">
        <v>1159</v>
      </c>
      <c r="D5" s="18" t="s">
        <v>1160</v>
      </c>
      <c r="E5" s="23" t="s">
        <v>1150</v>
      </c>
      <c r="F5" s="23" t="s">
        <v>1151</v>
      </c>
      <c r="G5" s="23" t="s">
        <v>1152</v>
      </c>
      <c r="H5" s="23" t="s">
        <v>1153</v>
      </c>
      <c r="I5" s="60" t="s">
        <v>76</v>
      </c>
      <c r="J5" s="61" t="s">
        <v>77</v>
      </c>
      <c r="K5" s="23">
        <v>75</v>
      </c>
      <c r="L5" s="18" t="str">
        <f t="shared" si="0"/>
        <v>Mencapai kompetensi dengan baik dalam hal</v>
      </c>
      <c r="M5" s="23">
        <v>76</v>
      </c>
      <c r="N5" s="18" t="str">
        <f t="shared" si="1"/>
        <v>Mencapai kompetensi dengan baik dalam hal</v>
      </c>
      <c r="O5" s="23">
        <v>79</v>
      </c>
      <c r="P5" s="18" t="str">
        <f t="shared" si="2"/>
        <v>Mencapai kompetensi dengan baik dalam hal</v>
      </c>
      <c r="Q5" s="23">
        <v>80</v>
      </c>
      <c r="R5" s="18" t="str">
        <f t="shared" si="3"/>
        <v>Mencapai kompetensi dengan baik dalam hal</v>
      </c>
      <c r="S5" s="23">
        <v>77</v>
      </c>
      <c r="T5" s="18" t="str">
        <f t="shared" si="4"/>
        <v>Mencapai kompetensi dengan baik dalam hal</v>
      </c>
      <c r="U5" s="23">
        <v>80</v>
      </c>
      <c r="V5" s="18" t="str">
        <f t="shared" si="5"/>
        <v>Mencapai kompetensi dengan baik dalam hal</v>
      </c>
      <c r="W5" s="23">
        <v>79</v>
      </c>
      <c r="X5" s="18" t="str">
        <f t="shared" si="6"/>
        <v>Mencapai kompetensi dengan baik dalam hal</v>
      </c>
      <c r="Y5" s="23">
        <v>72</v>
      </c>
      <c r="Z5" s="18" t="str">
        <f t="shared" si="7"/>
        <v>Perlu peningkatan dalam hal</v>
      </c>
      <c r="AA5" s="23">
        <v>72</v>
      </c>
      <c r="AB5" s="18" t="str">
        <f t="shared" si="8"/>
        <v>Perlu peningkatan dalam hal</v>
      </c>
      <c r="AC5" s="23">
        <v>75</v>
      </c>
      <c r="AD5" s="18" t="str">
        <f t="shared" si="18"/>
        <v>Mencapai kompetensi dengan baik dalam hal</v>
      </c>
      <c r="AE5" s="23">
        <v>75</v>
      </c>
      <c r="AF5" s="18" t="str">
        <f t="shared" si="9"/>
        <v>Mencapai kompetensi dengan baik dalam hal</v>
      </c>
      <c r="AG5" s="23">
        <v>82</v>
      </c>
      <c r="AH5" s="18" t="str">
        <f t="shared" si="10"/>
        <v>Mencapai kompetensi dengan baik dalam hal</v>
      </c>
      <c r="AI5" s="23">
        <v>75</v>
      </c>
      <c r="AJ5" s="18" t="str">
        <f t="shared" si="11"/>
        <v>Mencapai kompetensi dengan baik dalam hal</v>
      </c>
      <c r="AK5" s="23">
        <v>76</v>
      </c>
      <c r="AL5" s="18" t="str">
        <f t="shared" si="12"/>
        <v>Mencapai kompetensi dengan baik dalam hal</v>
      </c>
      <c r="AM5" s="23">
        <v>74</v>
      </c>
      <c r="AN5" s="18" t="str">
        <f t="shared" si="13"/>
        <v>Perlu peningkatan dalam hal</v>
      </c>
      <c r="AO5" s="118">
        <f t="shared" si="19"/>
        <v>76.400000000000006</v>
      </c>
      <c r="AP5" s="23">
        <v>72</v>
      </c>
      <c r="AQ5" s="18" t="str">
        <f t="shared" si="14"/>
        <v>Perlu peningkatan dalam hal</v>
      </c>
      <c r="AR5" s="23">
        <v>79</v>
      </c>
      <c r="AS5" s="18" t="str">
        <f t="shared" si="15"/>
        <v>Mencapai kompetensi dengan baik dalam hal</v>
      </c>
      <c r="AT5" s="113">
        <v>2</v>
      </c>
      <c r="AU5" s="113" t="s">
        <v>81</v>
      </c>
      <c r="AV5" s="113" t="s">
        <v>81</v>
      </c>
      <c r="AW5" s="7">
        <v>1</v>
      </c>
      <c r="AX5" s="12" t="s">
        <v>82</v>
      </c>
      <c r="AY5" s="17" t="s">
        <v>83</v>
      </c>
      <c r="AZ5" s="12" t="s">
        <v>84</v>
      </c>
      <c r="BA5" s="15" t="str">
        <f t="shared" si="16"/>
        <v>Baik</v>
      </c>
      <c r="BB5" s="7">
        <v>2</v>
      </c>
      <c r="BC5" s="17" t="s">
        <v>125</v>
      </c>
      <c r="BD5" s="18" t="s">
        <v>83</v>
      </c>
      <c r="BE5" s="7" t="s">
        <v>110</v>
      </c>
      <c r="BF5" s="15" t="str">
        <f t="shared" si="17"/>
        <v>Kurang</v>
      </c>
      <c r="BG5" s="7"/>
      <c r="BH5" s="7"/>
      <c r="BI5" s="7"/>
      <c r="BJ5" s="7"/>
      <c r="BK5" s="15"/>
      <c r="BM5" s="55">
        <v>70</v>
      </c>
      <c r="BN5" s="56" t="s">
        <v>95</v>
      </c>
      <c r="BO5" s="110"/>
      <c r="BP5" s="111" t="s">
        <v>104</v>
      </c>
      <c r="BQ5" s="111" t="s">
        <v>105</v>
      </c>
      <c r="BR5" s="112"/>
    </row>
    <row r="6" spans="1:70" ht="24.95" customHeight="1" thickTop="1" thickBot="1" x14ac:dyDescent="0.3">
      <c r="A6" s="23">
        <v>5</v>
      </c>
      <c r="B6" s="23">
        <v>2525479</v>
      </c>
      <c r="C6" s="23"/>
      <c r="D6" s="18" t="s">
        <v>1161</v>
      </c>
      <c r="E6" s="23" t="s">
        <v>1150</v>
      </c>
      <c r="F6" s="23" t="s">
        <v>1151</v>
      </c>
      <c r="G6" s="23" t="s">
        <v>1152</v>
      </c>
      <c r="H6" s="23" t="s">
        <v>1153</v>
      </c>
      <c r="I6" s="60" t="s">
        <v>76</v>
      </c>
      <c r="J6" s="61" t="s">
        <v>77</v>
      </c>
      <c r="K6" s="23">
        <v>83</v>
      </c>
      <c r="L6" s="18" t="str">
        <f t="shared" si="0"/>
        <v>Mencapai kompetensi dengan baik dalam hal</v>
      </c>
      <c r="M6" s="23">
        <v>78</v>
      </c>
      <c r="N6" s="18" t="str">
        <f t="shared" si="1"/>
        <v>Mencapai kompetensi dengan baik dalam hal</v>
      </c>
      <c r="O6" s="23">
        <v>81</v>
      </c>
      <c r="P6" s="18" t="str">
        <f t="shared" si="2"/>
        <v>Mencapai kompetensi dengan baik dalam hal</v>
      </c>
      <c r="Q6" s="23">
        <v>80</v>
      </c>
      <c r="R6" s="18" t="str">
        <f t="shared" si="3"/>
        <v>Mencapai kompetensi dengan baik dalam hal</v>
      </c>
      <c r="S6" s="23">
        <v>79</v>
      </c>
      <c r="T6" s="18" t="str">
        <f t="shared" si="4"/>
        <v>Mencapai kompetensi dengan baik dalam hal</v>
      </c>
      <c r="U6" s="23">
        <v>80</v>
      </c>
      <c r="V6" s="18" t="str">
        <f t="shared" si="5"/>
        <v>Mencapai kompetensi dengan baik dalam hal</v>
      </c>
      <c r="W6" s="23">
        <v>82</v>
      </c>
      <c r="X6" s="18" t="str">
        <f t="shared" si="6"/>
        <v>Mencapai kompetensi dengan baik dalam hal</v>
      </c>
      <c r="Y6" s="23">
        <v>77</v>
      </c>
      <c r="Z6" s="18" t="str">
        <f t="shared" si="7"/>
        <v>Mencapai kompetensi dengan baik dalam hal</v>
      </c>
      <c r="AA6" s="23">
        <v>78</v>
      </c>
      <c r="AB6" s="18" t="str">
        <f t="shared" si="8"/>
        <v>Mencapai kompetensi dengan baik dalam hal</v>
      </c>
      <c r="AC6" s="23">
        <v>77</v>
      </c>
      <c r="AD6" s="18" t="str">
        <f t="shared" si="18"/>
        <v>Mencapai kompetensi dengan baik dalam hal</v>
      </c>
      <c r="AE6" s="23">
        <v>75</v>
      </c>
      <c r="AF6" s="18" t="str">
        <f t="shared" si="9"/>
        <v>Mencapai kompetensi dengan baik dalam hal</v>
      </c>
      <c r="AG6" s="23">
        <v>86</v>
      </c>
      <c r="AH6" s="18" t="str">
        <f t="shared" si="10"/>
        <v>Mencapai kompetensi dengan baik dalam hal</v>
      </c>
      <c r="AI6" s="23">
        <v>76</v>
      </c>
      <c r="AJ6" s="18" t="str">
        <f t="shared" si="11"/>
        <v>Mencapai kompetensi dengan baik dalam hal</v>
      </c>
      <c r="AK6" s="23">
        <v>80</v>
      </c>
      <c r="AL6" s="18" t="str">
        <f t="shared" si="12"/>
        <v>Mencapai kompetensi dengan baik dalam hal</v>
      </c>
      <c r="AM6" s="23">
        <v>73</v>
      </c>
      <c r="AN6" s="18" t="str">
        <f t="shared" si="13"/>
        <v>Perlu peningkatan dalam hal</v>
      </c>
      <c r="AO6" s="118">
        <f t="shared" si="19"/>
        <v>78</v>
      </c>
      <c r="AP6" s="23">
        <v>78</v>
      </c>
      <c r="AQ6" s="18" t="str">
        <f t="shared" si="14"/>
        <v>Mencapai kompetensi dengan baik dalam hal</v>
      </c>
      <c r="AR6" s="23">
        <v>80</v>
      </c>
      <c r="AS6" s="18" t="str">
        <f t="shared" si="15"/>
        <v>Mencapai kompetensi dengan baik dalam hal</v>
      </c>
      <c r="AT6" s="23" t="s">
        <v>81</v>
      </c>
      <c r="AU6" s="113" t="s">
        <v>81</v>
      </c>
      <c r="AV6" s="113" t="s">
        <v>81</v>
      </c>
      <c r="AW6" s="7">
        <v>1</v>
      </c>
      <c r="AX6" s="12" t="s">
        <v>82</v>
      </c>
      <c r="AY6" s="17" t="s">
        <v>83</v>
      </c>
      <c r="AZ6" s="12" t="s">
        <v>84</v>
      </c>
      <c r="BA6" s="15" t="str">
        <f t="shared" si="16"/>
        <v>Baik</v>
      </c>
      <c r="BB6" s="7">
        <v>2</v>
      </c>
      <c r="BC6" s="17" t="s">
        <v>1162</v>
      </c>
      <c r="BD6" s="18" t="s">
        <v>83</v>
      </c>
      <c r="BE6" s="7" t="s">
        <v>86</v>
      </c>
      <c r="BF6" s="15" t="str">
        <f t="shared" si="17"/>
        <v>Sangat baik</v>
      </c>
      <c r="BG6" s="7"/>
      <c r="BH6" s="7"/>
      <c r="BI6" s="7"/>
      <c r="BJ6" s="7"/>
      <c r="BK6" s="15"/>
      <c r="BM6" s="55">
        <v>75</v>
      </c>
      <c r="BN6" s="56" t="s">
        <v>109</v>
      </c>
      <c r="BO6" s="110"/>
      <c r="BP6" s="111" t="s">
        <v>110</v>
      </c>
      <c r="BQ6" s="111" t="s">
        <v>111</v>
      </c>
      <c r="BR6" s="112"/>
    </row>
    <row r="7" spans="1:70" ht="24.95" customHeight="1" thickTop="1" thickBot="1" x14ac:dyDescent="0.3">
      <c r="A7" s="23">
        <v>6</v>
      </c>
      <c r="B7" s="23">
        <v>2525480</v>
      </c>
      <c r="C7" s="23" t="s">
        <v>1163</v>
      </c>
      <c r="D7" s="18" t="s">
        <v>1164</v>
      </c>
      <c r="E7" s="23" t="s">
        <v>1150</v>
      </c>
      <c r="F7" s="23" t="s">
        <v>1151</v>
      </c>
      <c r="G7" s="23" t="s">
        <v>1152</v>
      </c>
      <c r="H7" s="23" t="s">
        <v>1153</v>
      </c>
      <c r="I7" s="60" t="s">
        <v>76</v>
      </c>
      <c r="J7" s="61" t="s">
        <v>77</v>
      </c>
      <c r="K7" s="23">
        <v>83</v>
      </c>
      <c r="L7" s="18" t="str">
        <f t="shared" si="0"/>
        <v>Mencapai kompetensi dengan baik dalam hal</v>
      </c>
      <c r="M7" s="23">
        <v>81</v>
      </c>
      <c r="N7" s="18" t="str">
        <f t="shared" si="1"/>
        <v>Mencapai kompetensi dengan baik dalam hal</v>
      </c>
      <c r="O7" s="23">
        <v>82</v>
      </c>
      <c r="P7" s="18" t="str">
        <f t="shared" si="2"/>
        <v>Mencapai kompetensi dengan baik dalam hal</v>
      </c>
      <c r="Q7" s="23">
        <v>79</v>
      </c>
      <c r="R7" s="18" t="str">
        <f t="shared" si="3"/>
        <v>Mencapai kompetensi dengan baik dalam hal</v>
      </c>
      <c r="S7" s="23">
        <v>80</v>
      </c>
      <c r="T7" s="18" t="str">
        <f t="shared" si="4"/>
        <v>Mencapai kompetensi dengan baik dalam hal</v>
      </c>
      <c r="U7" s="23">
        <v>83</v>
      </c>
      <c r="V7" s="18" t="str">
        <f t="shared" si="5"/>
        <v>Mencapai kompetensi dengan baik dalam hal</v>
      </c>
      <c r="W7" s="23">
        <v>82</v>
      </c>
      <c r="X7" s="18" t="str">
        <f t="shared" si="6"/>
        <v>Mencapai kompetensi dengan baik dalam hal</v>
      </c>
      <c r="Y7" s="23">
        <v>79</v>
      </c>
      <c r="Z7" s="18" t="str">
        <f t="shared" si="7"/>
        <v>Mencapai kompetensi dengan baik dalam hal</v>
      </c>
      <c r="AA7" s="23">
        <v>86</v>
      </c>
      <c r="AB7" s="18" t="str">
        <f t="shared" si="8"/>
        <v>Mencapai kompetensi dengan baik dalam hal</v>
      </c>
      <c r="AC7" s="23">
        <v>78</v>
      </c>
      <c r="AD7" s="18" t="str">
        <f t="shared" si="18"/>
        <v>Mencapai kompetensi dengan baik dalam hal</v>
      </c>
      <c r="AE7" s="23">
        <v>80</v>
      </c>
      <c r="AF7" s="18" t="str">
        <f t="shared" si="9"/>
        <v>Mencapai kompetensi dengan baik dalam hal</v>
      </c>
      <c r="AG7" s="23">
        <v>86</v>
      </c>
      <c r="AH7" s="18" t="str">
        <f t="shared" si="10"/>
        <v>Mencapai kompetensi dengan baik dalam hal</v>
      </c>
      <c r="AI7" s="23">
        <v>79</v>
      </c>
      <c r="AJ7" s="18" t="str">
        <f t="shared" si="11"/>
        <v>Mencapai kompetensi dengan baik dalam hal</v>
      </c>
      <c r="AK7" s="23">
        <v>81</v>
      </c>
      <c r="AL7" s="18" t="str">
        <f t="shared" si="12"/>
        <v>Mencapai kompetensi dengan baik dalam hal</v>
      </c>
      <c r="AM7" s="23">
        <v>74</v>
      </c>
      <c r="AN7" s="18" t="str">
        <f t="shared" si="13"/>
        <v>Perlu peningkatan dalam hal</v>
      </c>
      <c r="AO7" s="118">
        <f t="shared" si="19"/>
        <v>80</v>
      </c>
      <c r="AP7" s="23">
        <v>86</v>
      </c>
      <c r="AQ7" s="18" t="str">
        <f t="shared" si="14"/>
        <v>Mencapai kompetensi dengan baik dalam hal</v>
      </c>
      <c r="AR7" s="23">
        <v>80</v>
      </c>
      <c r="AS7" s="18" t="str">
        <f t="shared" si="15"/>
        <v>Mencapai kompetensi dengan baik dalam hal</v>
      </c>
      <c r="AT7" s="113" t="s">
        <v>81</v>
      </c>
      <c r="AU7" s="113" t="s">
        <v>81</v>
      </c>
      <c r="AV7" s="113" t="s">
        <v>81</v>
      </c>
      <c r="AW7" s="7">
        <v>1</v>
      </c>
      <c r="AX7" s="12" t="s">
        <v>82</v>
      </c>
      <c r="AY7" s="17" t="s">
        <v>83</v>
      </c>
      <c r="AZ7" s="12" t="s">
        <v>84</v>
      </c>
      <c r="BA7" s="15" t="str">
        <f t="shared" si="16"/>
        <v>Baik</v>
      </c>
      <c r="BB7" s="7">
        <v>2</v>
      </c>
      <c r="BC7" s="17" t="s">
        <v>162</v>
      </c>
      <c r="BD7" s="18" t="s">
        <v>83</v>
      </c>
      <c r="BE7" s="7" t="s">
        <v>86</v>
      </c>
      <c r="BF7" s="15" t="str">
        <f t="shared" si="17"/>
        <v>Sangat baik</v>
      </c>
      <c r="BG7" s="7"/>
      <c r="BH7" s="7"/>
      <c r="BI7" s="7"/>
      <c r="BJ7" s="7"/>
      <c r="BK7" s="15"/>
      <c r="BM7" s="55">
        <v>80</v>
      </c>
      <c r="BN7" s="56" t="s">
        <v>109</v>
      </c>
      <c r="BO7" s="110"/>
      <c r="BP7" s="111"/>
      <c r="BQ7" s="111"/>
      <c r="BR7" s="112"/>
    </row>
    <row r="8" spans="1:70" ht="24.95" customHeight="1" thickTop="1" thickBot="1" x14ac:dyDescent="0.3">
      <c r="A8" s="23">
        <v>7</v>
      </c>
      <c r="B8" s="23">
        <v>2525481</v>
      </c>
      <c r="C8" s="23" t="s">
        <v>1165</v>
      </c>
      <c r="D8" s="18" t="s">
        <v>1166</v>
      </c>
      <c r="E8" s="23" t="s">
        <v>1150</v>
      </c>
      <c r="F8" s="23" t="s">
        <v>1151</v>
      </c>
      <c r="G8" s="23" t="s">
        <v>1152</v>
      </c>
      <c r="H8" s="23" t="s">
        <v>1153</v>
      </c>
      <c r="I8" s="60" t="s">
        <v>76</v>
      </c>
      <c r="J8" s="61" t="s">
        <v>77</v>
      </c>
      <c r="K8" s="23">
        <v>80</v>
      </c>
      <c r="L8" s="18" t="str">
        <f t="shared" si="0"/>
        <v>Mencapai kompetensi dengan baik dalam hal</v>
      </c>
      <c r="M8" s="23">
        <v>77</v>
      </c>
      <c r="N8" s="18" t="str">
        <f t="shared" si="1"/>
        <v>Mencapai kompetensi dengan baik dalam hal</v>
      </c>
      <c r="O8" s="23">
        <v>82</v>
      </c>
      <c r="P8" s="18" t="str">
        <f t="shared" si="2"/>
        <v>Mencapai kompetensi dengan baik dalam hal</v>
      </c>
      <c r="Q8" s="23">
        <v>80</v>
      </c>
      <c r="R8" s="18" t="str">
        <f t="shared" si="3"/>
        <v>Mencapai kompetensi dengan baik dalam hal</v>
      </c>
      <c r="S8" s="23">
        <v>81</v>
      </c>
      <c r="T8" s="18" t="str">
        <f t="shared" si="4"/>
        <v>Mencapai kompetensi dengan baik dalam hal</v>
      </c>
      <c r="U8" s="23">
        <v>81</v>
      </c>
      <c r="V8" s="18" t="str">
        <f t="shared" si="5"/>
        <v>Mencapai kompetensi dengan baik dalam hal</v>
      </c>
      <c r="W8" s="23">
        <v>84</v>
      </c>
      <c r="X8" s="18" t="str">
        <f t="shared" si="6"/>
        <v>Mencapai kompetensi dengan baik dalam hal</v>
      </c>
      <c r="Y8" s="23">
        <v>80</v>
      </c>
      <c r="Z8" s="18" t="str">
        <f t="shared" si="7"/>
        <v>Mencapai kompetensi dengan baik dalam hal</v>
      </c>
      <c r="AA8" s="23">
        <v>82</v>
      </c>
      <c r="AB8" s="18" t="str">
        <f t="shared" si="8"/>
        <v>Mencapai kompetensi dengan baik dalam hal</v>
      </c>
      <c r="AC8" s="23">
        <v>75</v>
      </c>
      <c r="AD8" s="18" t="str">
        <f t="shared" si="18"/>
        <v>Mencapai kompetensi dengan baik dalam hal</v>
      </c>
      <c r="AE8" s="23">
        <v>81</v>
      </c>
      <c r="AF8" s="18" t="str">
        <f t="shared" si="9"/>
        <v>Mencapai kompetensi dengan baik dalam hal</v>
      </c>
      <c r="AG8" s="23">
        <v>83</v>
      </c>
      <c r="AH8" s="18" t="str">
        <f t="shared" si="10"/>
        <v>Mencapai kompetensi dengan baik dalam hal</v>
      </c>
      <c r="AI8" s="23">
        <v>76</v>
      </c>
      <c r="AJ8" s="18" t="str">
        <f t="shared" si="11"/>
        <v>Mencapai kompetensi dengan baik dalam hal</v>
      </c>
      <c r="AK8" s="23">
        <v>81</v>
      </c>
      <c r="AL8" s="18" t="str">
        <f t="shared" si="12"/>
        <v>Mencapai kompetensi dengan baik dalam hal</v>
      </c>
      <c r="AM8" s="23">
        <v>79</v>
      </c>
      <c r="AN8" s="18" t="str">
        <f t="shared" si="13"/>
        <v>Mencapai kompetensi dengan baik dalam hal</v>
      </c>
      <c r="AO8" s="118">
        <f t="shared" si="19"/>
        <v>80</v>
      </c>
      <c r="AP8" s="23">
        <v>82</v>
      </c>
      <c r="AQ8" s="18" t="str">
        <f t="shared" si="14"/>
        <v>Mencapai kompetensi dengan baik dalam hal</v>
      </c>
      <c r="AR8" s="23">
        <v>80</v>
      </c>
      <c r="AS8" s="18" t="str">
        <f t="shared" si="15"/>
        <v>Mencapai kompetensi dengan baik dalam hal</v>
      </c>
      <c r="AT8" s="113" t="s">
        <v>81</v>
      </c>
      <c r="AU8" s="113" t="s">
        <v>81</v>
      </c>
      <c r="AV8" s="113" t="s">
        <v>81</v>
      </c>
      <c r="AW8" s="7">
        <v>1</v>
      </c>
      <c r="AX8" s="12" t="s">
        <v>82</v>
      </c>
      <c r="AY8" s="17" t="s">
        <v>83</v>
      </c>
      <c r="AZ8" s="12" t="s">
        <v>86</v>
      </c>
      <c r="BA8" s="15" t="str">
        <f t="shared" si="16"/>
        <v>Sangat baik</v>
      </c>
      <c r="BB8" s="7">
        <v>2</v>
      </c>
      <c r="BC8" s="17" t="s">
        <v>108</v>
      </c>
      <c r="BD8" s="18" t="s">
        <v>83</v>
      </c>
      <c r="BE8" s="7" t="s">
        <v>86</v>
      </c>
      <c r="BF8" s="15" t="str">
        <f t="shared" si="17"/>
        <v>Sangat baik</v>
      </c>
      <c r="BG8" s="7"/>
      <c r="BH8" s="7"/>
      <c r="BI8" s="7"/>
      <c r="BJ8" s="7"/>
      <c r="BK8" s="15"/>
      <c r="BM8" s="55">
        <v>85</v>
      </c>
      <c r="BN8" s="56" t="s">
        <v>109</v>
      </c>
      <c r="BO8" s="110"/>
      <c r="BP8" s="112"/>
      <c r="BQ8" s="112"/>
      <c r="BR8" s="112"/>
    </row>
    <row r="9" spans="1:70" ht="24.95" customHeight="1" thickTop="1" thickBot="1" x14ac:dyDescent="0.3">
      <c r="A9" s="23">
        <v>8</v>
      </c>
      <c r="B9" s="23">
        <v>2525482</v>
      </c>
      <c r="C9" s="23" t="s">
        <v>1167</v>
      </c>
      <c r="D9" s="18" t="s">
        <v>1168</v>
      </c>
      <c r="E9" s="23" t="s">
        <v>1150</v>
      </c>
      <c r="F9" s="23" t="s">
        <v>1151</v>
      </c>
      <c r="G9" s="23" t="s">
        <v>1152</v>
      </c>
      <c r="H9" s="23" t="s">
        <v>1153</v>
      </c>
      <c r="I9" s="60" t="s">
        <v>76</v>
      </c>
      <c r="J9" s="61" t="s">
        <v>77</v>
      </c>
      <c r="K9" s="23">
        <v>80</v>
      </c>
      <c r="L9" s="18" t="str">
        <f t="shared" si="0"/>
        <v>Mencapai kompetensi dengan baik dalam hal</v>
      </c>
      <c r="M9" s="23">
        <v>77</v>
      </c>
      <c r="N9" s="18" t="str">
        <f t="shared" si="1"/>
        <v>Mencapai kompetensi dengan baik dalam hal</v>
      </c>
      <c r="O9" s="23">
        <v>82</v>
      </c>
      <c r="P9" s="18" t="str">
        <f t="shared" si="2"/>
        <v>Mencapai kompetensi dengan baik dalam hal</v>
      </c>
      <c r="Q9" s="23">
        <v>79</v>
      </c>
      <c r="R9" s="18" t="str">
        <f t="shared" si="3"/>
        <v>Mencapai kompetensi dengan baik dalam hal</v>
      </c>
      <c r="S9" s="23">
        <v>84</v>
      </c>
      <c r="T9" s="18" t="str">
        <f t="shared" si="4"/>
        <v>Mencapai kompetensi dengan baik dalam hal</v>
      </c>
      <c r="U9" s="23">
        <v>83</v>
      </c>
      <c r="V9" s="18" t="str">
        <f t="shared" si="5"/>
        <v>Mencapai kompetensi dengan baik dalam hal</v>
      </c>
      <c r="W9" s="23">
        <v>77</v>
      </c>
      <c r="X9" s="18" t="str">
        <f t="shared" si="6"/>
        <v>Mencapai kompetensi dengan baik dalam hal</v>
      </c>
      <c r="Y9" s="23">
        <v>79</v>
      </c>
      <c r="Z9" s="18" t="str">
        <f t="shared" si="7"/>
        <v>Mencapai kompetensi dengan baik dalam hal</v>
      </c>
      <c r="AA9" s="23">
        <v>78</v>
      </c>
      <c r="AB9" s="18" t="str">
        <f t="shared" si="8"/>
        <v>Mencapai kompetensi dengan baik dalam hal</v>
      </c>
      <c r="AC9" s="23">
        <v>79</v>
      </c>
      <c r="AD9" s="18" t="str">
        <f t="shared" si="18"/>
        <v>Mencapai kompetensi dengan baik dalam hal</v>
      </c>
      <c r="AE9" s="23">
        <v>76</v>
      </c>
      <c r="AF9" s="18" t="str">
        <f t="shared" si="9"/>
        <v>Mencapai kompetensi dengan baik dalam hal</v>
      </c>
      <c r="AG9" s="23">
        <v>84</v>
      </c>
      <c r="AH9" s="18" t="str">
        <f t="shared" si="10"/>
        <v>Mencapai kompetensi dengan baik dalam hal</v>
      </c>
      <c r="AI9" s="23">
        <v>75</v>
      </c>
      <c r="AJ9" s="18" t="str">
        <f t="shared" si="11"/>
        <v>Mencapai kompetensi dengan baik dalam hal</v>
      </c>
      <c r="AK9" s="23">
        <v>80</v>
      </c>
      <c r="AL9" s="18" t="str">
        <f t="shared" si="12"/>
        <v>Mencapai kompetensi dengan baik dalam hal</v>
      </c>
      <c r="AM9" s="23">
        <v>74</v>
      </c>
      <c r="AN9" s="18" t="str">
        <f t="shared" si="13"/>
        <v>Perlu peningkatan dalam hal</v>
      </c>
      <c r="AO9" s="118">
        <f t="shared" si="19"/>
        <v>77.8</v>
      </c>
      <c r="AP9" s="23">
        <v>78</v>
      </c>
      <c r="AQ9" s="18" t="str">
        <f t="shared" si="14"/>
        <v>Mencapai kompetensi dengan baik dalam hal</v>
      </c>
      <c r="AR9" s="23">
        <v>79</v>
      </c>
      <c r="AS9" s="18" t="str">
        <f t="shared" si="15"/>
        <v>Mencapai kompetensi dengan baik dalam hal</v>
      </c>
      <c r="AT9" s="113" t="s">
        <v>81</v>
      </c>
      <c r="AU9" s="113" t="s">
        <v>81</v>
      </c>
      <c r="AV9" s="113" t="s">
        <v>81</v>
      </c>
      <c r="AW9" s="7">
        <v>1</v>
      </c>
      <c r="AX9" s="12" t="s">
        <v>82</v>
      </c>
      <c r="AY9" s="17" t="s">
        <v>83</v>
      </c>
      <c r="AZ9" s="12" t="s">
        <v>86</v>
      </c>
      <c r="BA9" s="15" t="str">
        <f t="shared" si="16"/>
        <v>Sangat baik</v>
      </c>
      <c r="BB9" s="7">
        <v>2</v>
      </c>
      <c r="BC9" s="17" t="s">
        <v>1156</v>
      </c>
      <c r="BD9" s="18" t="s">
        <v>83</v>
      </c>
      <c r="BE9" s="7" t="s">
        <v>104</v>
      </c>
      <c r="BF9" s="15" t="str">
        <f t="shared" si="17"/>
        <v>Cukup</v>
      </c>
      <c r="BG9" s="7"/>
      <c r="BH9" s="7"/>
      <c r="BI9" s="7"/>
      <c r="BJ9" s="7"/>
      <c r="BK9" s="15"/>
      <c r="BM9" s="55">
        <v>90</v>
      </c>
      <c r="BN9" s="56" t="s">
        <v>120</v>
      </c>
      <c r="BO9" s="110"/>
      <c r="BP9" s="112"/>
      <c r="BQ9" s="112"/>
      <c r="BR9" s="112"/>
    </row>
    <row r="10" spans="1:70" ht="24.95" customHeight="1" thickTop="1" thickBot="1" x14ac:dyDescent="0.3">
      <c r="A10" s="23">
        <v>9</v>
      </c>
      <c r="B10" s="23">
        <v>2525483</v>
      </c>
      <c r="C10" s="23" t="s">
        <v>1169</v>
      </c>
      <c r="D10" s="18" t="s">
        <v>1170</v>
      </c>
      <c r="E10" s="23" t="s">
        <v>1150</v>
      </c>
      <c r="F10" s="23" t="s">
        <v>1151</v>
      </c>
      <c r="G10" s="23" t="s">
        <v>1152</v>
      </c>
      <c r="H10" s="23" t="s">
        <v>1153</v>
      </c>
      <c r="I10" s="60" t="s">
        <v>76</v>
      </c>
      <c r="J10" s="61" t="s">
        <v>77</v>
      </c>
      <c r="K10" s="23">
        <v>82</v>
      </c>
      <c r="L10" s="18" t="str">
        <f t="shared" si="0"/>
        <v>Mencapai kompetensi dengan baik dalam hal</v>
      </c>
      <c r="M10" s="23">
        <v>76</v>
      </c>
      <c r="N10" s="18" t="str">
        <f t="shared" si="1"/>
        <v>Mencapai kompetensi dengan baik dalam hal</v>
      </c>
      <c r="O10" s="23">
        <v>81</v>
      </c>
      <c r="P10" s="18" t="str">
        <f t="shared" si="2"/>
        <v>Mencapai kompetensi dengan baik dalam hal</v>
      </c>
      <c r="Q10" s="23">
        <v>79</v>
      </c>
      <c r="R10" s="18" t="str">
        <f t="shared" si="3"/>
        <v>Mencapai kompetensi dengan baik dalam hal</v>
      </c>
      <c r="S10" s="23">
        <v>77</v>
      </c>
      <c r="T10" s="18" t="str">
        <f t="shared" si="4"/>
        <v>Mencapai kompetensi dengan baik dalam hal</v>
      </c>
      <c r="U10" s="23">
        <v>81</v>
      </c>
      <c r="V10" s="18" t="str">
        <f t="shared" si="5"/>
        <v>Mencapai kompetensi dengan baik dalam hal</v>
      </c>
      <c r="W10" s="23">
        <v>78</v>
      </c>
      <c r="X10" s="18" t="str">
        <f t="shared" si="6"/>
        <v>Mencapai kompetensi dengan baik dalam hal</v>
      </c>
      <c r="Y10" s="23">
        <v>79</v>
      </c>
      <c r="Z10" s="18" t="str">
        <f t="shared" si="7"/>
        <v>Mencapai kompetensi dengan baik dalam hal</v>
      </c>
      <c r="AA10" s="23">
        <v>78</v>
      </c>
      <c r="AB10" s="18" t="str">
        <f t="shared" si="8"/>
        <v>Mencapai kompetensi dengan baik dalam hal</v>
      </c>
      <c r="AC10" s="23">
        <v>75</v>
      </c>
      <c r="AD10" s="18" t="str">
        <f t="shared" si="18"/>
        <v>Mencapai kompetensi dengan baik dalam hal</v>
      </c>
      <c r="AE10" s="23">
        <v>77</v>
      </c>
      <c r="AF10" s="18" t="str">
        <f t="shared" si="9"/>
        <v>Mencapai kompetensi dengan baik dalam hal</v>
      </c>
      <c r="AG10" s="23">
        <v>84</v>
      </c>
      <c r="AH10" s="18" t="str">
        <f t="shared" si="10"/>
        <v>Mencapai kompetensi dengan baik dalam hal</v>
      </c>
      <c r="AI10" s="23">
        <v>78</v>
      </c>
      <c r="AJ10" s="18" t="str">
        <f t="shared" si="11"/>
        <v>Mencapai kompetensi dengan baik dalam hal</v>
      </c>
      <c r="AK10" s="23">
        <v>79</v>
      </c>
      <c r="AL10" s="18" t="str">
        <f t="shared" si="12"/>
        <v>Mencapai kompetensi dengan baik dalam hal</v>
      </c>
      <c r="AM10" s="23">
        <v>75</v>
      </c>
      <c r="AN10" s="18" t="str">
        <f t="shared" si="13"/>
        <v>Mencapai kompetensi dengan baik dalam hal</v>
      </c>
      <c r="AO10" s="118">
        <f t="shared" si="19"/>
        <v>78.599999999999994</v>
      </c>
      <c r="AP10" s="23">
        <v>78</v>
      </c>
      <c r="AQ10" s="18" t="str">
        <f t="shared" si="14"/>
        <v>Mencapai kompetensi dengan baik dalam hal</v>
      </c>
      <c r="AR10" s="23">
        <v>80</v>
      </c>
      <c r="AS10" s="18" t="str">
        <f t="shared" si="15"/>
        <v>Mencapai kompetensi dengan baik dalam hal</v>
      </c>
      <c r="AT10" s="113">
        <v>1</v>
      </c>
      <c r="AU10" s="113" t="s">
        <v>81</v>
      </c>
      <c r="AV10" s="113" t="s">
        <v>81</v>
      </c>
      <c r="AW10" s="7">
        <v>1</v>
      </c>
      <c r="AX10" s="12" t="s">
        <v>82</v>
      </c>
      <c r="AY10" s="17" t="s">
        <v>83</v>
      </c>
      <c r="AZ10" s="12" t="s">
        <v>84</v>
      </c>
      <c r="BA10" s="15" t="str">
        <f t="shared" si="16"/>
        <v>Baik</v>
      </c>
      <c r="BB10" s="7">
        <v>2</v>
      </c>
      <c r="BC10" s="17" t="s">
        <v>167</v>
      </c>
      <c r="BD10" s="18" t="s">
        <v>83</v>
      </c>
      <c r="BE10" s="7" t="s">
        <v>84</v>
      </c>
      <c r="BF10" s="15" t="str">
        <f t="shared" si="17"/>
        <v>Baik</v>
      </c>
      <c r="BG10" s="7"/>
      <c r="BH10" s="7"/>
      <c r="BI10" s="7"/>
      <c r="BJ10" s="7"/>
      <c r="BK10" s="15"/>
      <c r="BM10" s="55">
        <v>95</v>
      </c>
      <c r="BN10" s="56" t="s">
        <v>120</v>
      </c>
      <c r="BO10" s="110"/>
      <c r="BP10" s="112"/>
      <c r="BQ10" s="112"/>
      <c r="BR10" s="112"/>
    </row>
    <row r="11" spans="1:70" ht="24.95" customHeight="1" thickTop="1" thickBot="1" x14ac:dyDescent="0.3">
      <c r="A11" s="23">
        <v>10</v>
      </c>
      <c r="B11" s="23">
        <v>2525484</v>
      </c>
      <c r="C11" s="23"/>
      <c r="D11" s="18" t="s">
        <v>1171</v>
      </c>
      <c r="E11" s="23" t="s">
        <v>1150</v>
      </c>
      <c r="F11" s="23" t="s">
        <v>1151</v>
      </c>
      <c r="G11" s="23" t="s">
        <v>1152</v>
      </c>
      <c r="H11" s="23" t="s">
        <v>1153</v>
      </c>
      <c r="I11" s="60" t="s">
        <v>76</v>
      </c>
      <c r="J11" s="61" t="s">
        <v>77</v>
      </c>
      <c r="K11" s="23">
        <v>79</v>
      </c>
      <c r="L11" s="18" t="str">
        <f t="shared" si="0"/>
        <v>Mencapai kompetensi dengan baik dalam hal</v>
      </c>
      <c r="M11" s="23">
        <v>76</v>
      </c>
      <c r="N11" s="18" t="str">
        <f t="shared" si="1"/>
        <v>Mencapai kompetensi dengan baik dalam hal</v>
      </c>
      <c r="O11" s="23">
        <v>79</v>
      </c>
      <c r="P11" s="18" t="str">
        <f t="shared" si="2"/>
        <v>Mencapai kompetensi dengan baik dalam hal</v>
      </c>
      <c r="Q11" s="23">
        <v>78</v>
      </c>
      <c r="R11" s="18" t="str">
        <f t="shared" si="3"/>
        <v>Mencapai kompetensi dengan baik dalam hal</v>
      </c>
      <c r="S11" s="23">
        <v>70</v>
      </c>
      <c r="T11" s="18" t="str">
        <f t="shared" si="4"/>
        <v>Perlu peningkatan dalam hal</v>
      </c>
      <c r="U11" s="23">
        <v>78</v>
      </c>
      <c r="V11" s="18" t="str">
        <f t="shared" si="5"/>
        <v>Mencapai kompetensi dengan baik dalam hal</v>
      </c>
      <c r="W11" s="23">
        <v>76</v>
      </c>
      <c r="X11" s="18" t="str">
        <f t="shared" si="6"/>
        <v>Mencapai kompetensi dengan baik dalam hal</v>
      </c>
      <c r="Y11" s="23">
        <v>70</v>
      </c>
      <c r="Z11" s="18" t="str">
        <f t="shared" si="7"/>
        <v>Perlu peningkatan dalam hal</v>
      </c>
      <c r="AA11" s="23">
        <v>72</v>
      </c>
      <c r="AB11" s="18" t="str">
        <f t="shared" si="8"/>
        <v>Perlu peningkatan dalam hal</v>
      </c>
      <c r="AC11" s="23">
        <v>75</v>
      </c>
      <c r="AD11" s="18" t="str">
        <f t="shared" si="18"/>
        <v>Mencapai kompetensi dengan baik dalam hal</v>
      </c>
      <c r="AE11" s="23">
        <v>72</v>
      </c>
      <c r="AF11" s="18" t="str">
        <f t="shared" si="9"/>
        <v>Perlu peningkatan dalam hal</v>
      </c>
      <c r="AG11" s="23">
        <v>79</v>
      </c>
      <c r="AH11" s="18" t="str">
        <f t="shared" si="10"/>
        <v>Mencapai kompetensi dengan baik dalam hal</v>
      </c>
      <c r="AI11" s="23">
        <v>75</v>
      </c>
      <c r="AJ11" s="18" t="str">
        <f t="shared" si="11"/>
        <v>Mencapai kompetensi dengan baik dalam hal</v>
      </c>
      <c r="AK11" s="23">
        <v>69</v>
      </c>
      <c r="AL11" s="18" t="str">
        <f t="shared" si="12"/>
        <v>Perlu peningkatan dalam hal</v>
      </c>
      <c r="AM11" s="23">
        <v>73</v>
      </c>
      <c r="AN11" s="18" t="str">
        <f t="shared" si="13"/>
        <v>Perlu peningkatan dalam hal</v>
      </c>
      <c r="AO11" s="118">
        <f t="shared" si="19"/>
        <v>73.599999999999994</v>
      </c>
      <c r="AP11" s="23">
        <v>72</v>
      </c>
      <c r="AQ11" s="18" t="str">
        <f t="shared" si="14"/>
        <v>Perlu peningkatan dalam hal</v>
      </c>
      <c r="AR11" s="23">
        <v>78</v>
      </c>
      <c r="AS11" s="18" t="str">
        <f t="shared" si="15"/>
        <v>Mencapai kompetensi dengan baik dalam hal</v>
      </c>
      <c r="AT11" s="113">
        <v>1</v>
      </c>
      <c r="AU11" s="113" t="s">
        <v>81</v>
      </c>
      <c r="AV11" s="113" t="s">
        <v>81</v>
      </c>
      <c r="AW11" s="7">
        <v>1</v>
      </c>
      <c r="AX11" s="12" t="s">
        <v>82</v>
      </c>
      <c r="AY11" s="17" t="s">
        <v>83</v>
      </c>
      <c r="AZ11" s="12" t="s">
        <v>84</v>
      </c>
      <c r="BA11" s="15" t="str">
        <f t="shared" si="16"/>
        <v>Baik</v>
      </c>
      <c r="BB11" s="7">
        <v>2</v>
      </c>
      <c r="BC11" s="17" t="s">
        <v>170</v>
      </c>
      <c r="BD11" s="18" t="s">
        <v>83</v>
      </c>
      <c r="BE11" s="7" t="s">
        <v>104</v>
      </c>
      <c r="BF11" s="15" t="str">
        <f t="shared" si="17"/>
        <v>Cukup</v>
      </c>
      <c r="BG11" s="7"/>
      <c r="BH11" s="7"/>
      <c r="BI11" s="7"/>
      <c r="BJ11" s="7"/>
      <c r="BK11" s="15"/>
      <c r="BM11" s="55">
        <v>100</v>
      </c>
      <c r="BN11" s="56" t="s">
        <v>120</v>
      </c>
      <c r="BO11" s="110"/>
      <c r="BP11" s="112"/>
      <c r="BQ11" s="112"/>
      <c r="BR11" s="112"/>
    </row>
    <row r="12" spans="1:70" ht="24.95" customHeight="1" thickTop="1" thickBot="1" x14ac:dyDescent="0.3">
      <c r="A12" s="23">
        <v>11</v>
      </c>
      <c r="B12" s="23">
        <v>2525485</v>
      </c>
      <c r="C12" s="23" t="s">
        <v>1172</v>
      </c>
      <c r="D12" s="18" t="s">
        <v>1173</v>
      </c>
      <c r="E12" s="23" t="s">
        <v>1150</v>
      </c>
      <c r="F12" s="23" t="s">
        <v>1151</v>
      </c>
      <c r="G12" s="23" t="s">
        <v>1152</v>
      </c>
      <c r="H12" s="23" t="s">
        <v>1153</v>
      </c>
      <c r="I12" s="60" t="s">
        <v>76</v>
      </c>
      <c r="J12" s="61" t="s">
        <v>77</v>
      </c>
      <c r="K12" s="23">
        <v>82</v>
      </c>
      <c r="L12" s="18" t="str">
        <f t="shared" si="0"/>
        <v>Mencapai kompetensi dengan baik dalam hal</v>
      </c>
      <c r="M12" s="23">
        <v>77</v>
      </c>
      <c r="N12" s="18" t="str">
        <f t="shared" si="1"/>
        <v>Mencapai kompetensi dengan baik dalam hal</v>
      </c>
      <c r="O12" s="23">
        <v>82</v>
      </c>
      <c r="P12" s="18" t="str">
        <f t="shared" si="2"/>
        <v>Mencapai kompetensi dengan baik dalam hal</v>
      </c>
      <c r="Q12" s="23">
        <v>78</v>
      </c>
      <c r="R12" s="18" t="str">
        <f t="shared" si="3"/>
        <v>Mencapai kompetensi dengan baik dalam hal</v>
      </c>
      <c r="S12" s="23">
        <v>81</v>
      </c>
      <c r="T12" s="18" t="str">
        <f t="shared" si="4"/>
        <v>Mencapai kompetensi dengan baik dalam hal</v>
      </c>
      <c r="U12" s="23">
        <v>80</v>
      </c>
      <c r="V12" s="18" t="str">
        <f t="shared" si="5"/>
        <v>Mencapai kompetensi dengan baik dalam hal</v>
      </c>
      <c r="W12" s="23">
        <v>80</v>
      </c>
      <c r="X12" s="18" t="str">
        <f t="shared" si="6"/>
        <v>Mencapai kompetensi dengan baik dalam hal</v>
      </c>
      <c r="Y12" s="23">
        <v>77</v>
      </c>
      <c r="Z12" s="18" t="str">
        <f t="shared" si="7"/>
        <v>Mencapai kompetensi dengan baik dalam hal</v>
      </c>
      <c r="AA12" s="23">
        <v>84</v>
      </c>
      <c r="AB12" s="18" t="str">
        <f t="shared" si="8"/>
        <v>Mencapai kompetensi dengan baik dalam hal</v>
      </c>
      <c r="AC12" s="23">
        <v>77</v>
      </c>
      <c r="AD12" s="18" t="str">
        <f t="shared" si="18"/>
        <v>Mencapai kompetensi dengan baik dalam hal</v>
      </c>
      <c r="AE12" s="23">
        <v>77</v>
      </c>
      <c r="AF12" s="18" t="str">
        <f t="shared" si="9"/>
        <v>Mencapai kompetensi dengan baik dalam hal</v>
      </c>
      <c r="AG12" s="23">
        <v>83</v>
      </c>
      <c r="AH12" s="18" t="str">
        <f t="shared" si="10"/>
        <v>Mencapai kompetensi dengan baik dalam hal</v>
      </c>
      <c r="AI12" s="23">
        <v>79</v>
      </c>
      <c r="AJ12" s="18" t="str">
        <f t="shared" si="11"/>
        <v>Mencapai kompetensi dengan baik dalam hal</v>
      </c>
      <c r="AK12" s="23">
        <v>80</v>
      </c>
      <c r="AL12" s="18" t="str">
        <f t="shared" si="12"/>
        <v>Mencapai kompetensi dengan baik dalam hal</v>
      </c>
      <c r="AM12" s="23">
        <v>77</v>
      </c>
      <c r="AN12" s="18" t="str">
        <f t="shared" si="13"/>
        <v>Mencapai kompetensi dengan baik dalam hal</v>
      </c>
      <c r="AO12" s="118">
        <f t="shared" si="19"/>
        <v>79.2</v>
      </c>
      <c r="AP12" s="23">
        <v>84</v>
      </c>
      <c r="AQ12" s="18" t="str">
        <f t="shared" si="14"/>
        <v>Mencapai kompetensi dengan baik dalam hal</v>
      </c>
      <c r="AR12" s="23">
        <v>78</v>
      </c>
      <c r="AS12" s="18" t="str">
        <f t="shared" si="15"/>
        <v>Mencapai kompetensi dengan baik dalam hal</v>
      </c>
      <c r="AT12" s="23" t="s">
        <v>81</v>
      </c>
      <c r="AU12" s="113" t="s">
        <v>81</v>
      </c>
      <c r="AV12" s="113">
        <v>1</v>
      </c>
      <c r="AW12" s="7">
        <v>1</v>
      </c>
      <c r="AX12" s="12" t="s">
        <v>82</v>
      </c>
      <c r="AY12" s="17" t="s">
        <v>83</v>
      </c>
      <c r="AZ12" s="12" t="s">
        <v>86</v>
      </c>
      <c r="BA12" s="15" t="str">
        <f t="shared" si="16"/>
        <v>Sangat baik</v>
      </c>
      <c r="BB12" s="7">
        <v>2</v>
      </c>
      <c r="BC12" s="17" t="s">
        <v>119</v>
      </c>
      <c r="BD12" s="18" t="s">
        <v>83</v>
      </c>
      <c r="BE12" s="7" t="s">
        <v>104</v>
      </c>
      <c r="BF12" s="15" t="str">
        <f t="shared" si="17"/>
        <v>Cukup</v>
      </c>
      <c r="BG12" s="7"/>
      <c r="BH12" s="7"/>
      <c r="BI12" s="7"/>
      <c r="BJ12" s="7"/>
      <c r="BK12" s="15"/>
      <c r="BM12" s="20"/>
      <c r="BN12" s="20"/>
    </row>
    <row r="13" spans="1:70" ht="24.95" customHeight="1" thickTop="1" thickBot="1" x14ac:dyDescent="0.3">
      <c r="A13" s="23">
        <v>12</v>
      </c>
      <c r="B13" s="23">
        <v>2525486</v>
      </c>
      <c r="C13" s="23" t="s">
        <v>1174</v>
      </c>
      <c r="D13" s="18" t="s">
        <v>1175</v>
      </c>
      <c r="E13" s="23" t="s">
        <v>1150</v>
      </c>
      <c r="F13" s="23" t="s">
        <v>1151</v>
      </c>
      <c r="G13" s="23" t="s">
        <v>1152</v>
      </c>
      <c r="H13" s="23" t="s">
        <v>1153</v>
      </c>
      <c r="I13" s="60" t="s">
        <v>76</v>
      </c>
      <c r="J13" s="61" t="s">
        <v>77</v>
      </c>
      <c r="K13" s="23">
        <v>75</v>
      </c>
      <c r="L13" s="18" t="str">
        <f t="shared" si="0"/>
        <v>Mencapai kompetensi dengan baik dalam hal</v>
      </c>
      <c r="M13" s="23">
        <v>76</v>
      </c>
      <c r="N13" s="18" t="str">
        <f t="shared" si="1"/>
        <v>Mencapai kompetensi dengan baik dalam hal</v>
      </c>
      <c r="O13" s="23">
        <v>77</v>
      </c>
      <c r="P13" s="18" t="str">
        <f t="shared" si="2"/>
        <v>Mencapai kompetensi dengan baik dalam hal</v>
      </c>
      <c r="Q13" s="23">
        <v>78</v>
      </c>
      <c r="R13" s="18" t="str">
        <f t="shared" si="3"/>
        <v>Mencapai kompetensi dengan baik dalam hal</v>
      </c>
      <c r="S13" s="23">
        <v>72</v>
      </c>
      <c r="T13" s="18" t="str">
        <f t="shared" si="4"/>
        <v>Perlu peningkatan dalam hal</v>
      </c>
      <c r="U13" s="23">
        <v>70</v>
      </c>
      <c r="V13" s="18" t="str">
        <f t="shared" si="5"/>
        <v>Perlu peningkatan dalam hal</v>
      </c>
      <c r="W13" s="23">
        <v>75</v>
      </c>
      <c r="X13" s="18" t="str">
        <f t="shared" si="6"/>
        <v>Mencapai kompetensi dengan baik dalam hal</v>
      </c>
      <c r="Y13" s="23">
        <v>71</v>
      </c>
      <c r="Z13" s="18" t="str">
        <f t="shared" si="7"/>
        <v>Perlu peningkatan dalam hal</v>
      </c>
      <c r="AA13" s="23">
        <v>72</v>
      </c>
      <c r="AB13" s="18" t="str">
        <f t="shared" si="8"/>
        <v>Perlu peningkatan dalam hal</v>
      </c>
      <c r="AC13" s="23">
        <v>74</v>
      </c>
      <c r="AD13" s="18" t="str">
        <f t="shared" si="18"/>
        <v>Perlu peningkatan dalam hal</v>
      </c>
      <c r="AE13" s="23">
        <v>72</v>
      </c>
      <c r="AF13" s="18" t="str">
        <f t="shared" si="9"/>
        <v>Perlu peningkatan dalam hal</v>
      </c>
      <c r="AG13" s="23">
        <v>72</v>
      </c>
      <c r="AH13" s="18" t="str">
        <f t="shared" si="10"/>
        <v>Perlu peningkatan dalam hal</v>
      </c>
      <c r="AI13" s="23">
        <v>70</v>
      </c>
      <c r="AJ13" s="18" t="str">
        <f t="shared" si="11"/>
        <v>Perlu peningkatan dalam hal</v>
      </c>
      <c r="AK13" s="23">
        <v>68</v>
      </c>
      <c r="AL13" s="18" t="str">
        <f t="shared" si="12"/>
        <v>Perlu peningkatan dalam hal</v>
      </c>
      <c r="AM13" s="23">
        <v>72</v>
      </c>
      <c r="AN13" s="18" t="str">
        <f t="shared" si="13"/>
        <v>Perlu peningkatan dalam hal</v>
      </c>
      <c r="AO13" s="118">
        <f t="shared" si="19"/>
        <v>70.8</v>
      </c>
      <c r="AP13" s="23">
        <v>72</v>
      </c>
      <c r="AQ13" s="18" t="str">
        <f t="shared" si="14"/>
        <v>Perlu peningkatan dalam hal</v>
      </c>
      <c r="AR13" s="23">
        <v>77</v>
      </c>
      <c r="AS13" s="18" t="str">
        <f t="shared" si="15"/>
        <v>Mencapai kompetensi dengan baik dalam hal</v>
      </c>
      <c r="AT13" s="113">
        <v>1</v>
      </c>
      <c r="AU13" s="113" t="s">
        <v>81</v>
      </c>
      <c r="AV13" s="113">
        <v>2</v>
      </c>
      <c r="AW13" s="7">
        <v>1</v>
      </c>
      <c r="AX13" s="12" t="s">
        <v>82</v>
      </c>
      <c r="AY13" s="17" t="s">
        <v>83</v>
      </c>
      <c r="AZ13" s="12" t="s">
        <v>84</v>
      </c>
      <c r="BA13" s="15" t="str">
        <f t="shared" si="16"/>
        <v>Baik</v>
      </c>
      <c r="BB13" s="7">
        <v>2</v>
      </c>
      <c r="BC13" s="17" t="s">
        <v>103</v>
      </c>
      <c r="BD13" s="18" t="s">
        <v>83</v>
      </c>
      <c r="BE13" s="7" t="s">
        <v>104</v>
      </c>
      <c r="BF13" s="15" t="str">
        <f t="shared" si="17"/>
        <v>Cukup</v>
      </c>
      <c r="BG13" s="7"/>
      <c r="BH13" s="7"/>
      <c r="BI13" s="7"/>
      <c r="BJ13" s="7"/>
      <c r="BK13" s="15"/>
      <c r="BM13" s="20"/>
      <c r="BN13" s="20"/>
    </row>
    <row r="14" spans="1:70" ht="24.95" customHeight="1" thickTop="1" thickBot="1" x14ac:dyDescent="0.3">
      <c r="A14" s="23">
        <v>13</v>
      </c>
      <c r="B14" s="23">
        <v>2525487</v>
      </c>
      <c r="C14" s="23" t="s">
        <v>1176</v>
      </c>
      <c r="D14" s="18" t="s">
        <v>1177</v>
      </c>
      <c r="E14" s="23" t="s">
        <v>1150</v>
      </c>
      <c r="F14" s="23" t="s">
        <v>1151</v>
      </c>
      <c r="G14" s="23" t="s">
        <v>1152</v>
      </c>
      <c r="H14" s="23" t="s">
        <v>1153</v>
      </c>
      <c r="I14" s="60" t="s">
        <v>76</v>
      </c>
      <c r="J14" s="61" t="s">
        <v>77</v>
      </c>
      <c r="K14" s="23">
        <v>80</v>
      </c>
      <c r="L14" s="18" t="str">
        <f t="shared" si="0"/>
        <v>Mencapai kompetensi dengan baik dalam hal</v>
      </c>
      <c r="M14" s="23">
        <v>79</v>
      </c>
      <c r="N14" s="18" t="str">
        <f t="shared" si="1"/>
        <v>Mencapai kompetensi dengan baik dalam hal</v>
      </c>
      <c r="O14" s="23">
        <v>80</v>
      </c>
      <c r="P14" s="18" t="str">
        <f t="shared" si="2"/>
        <v>Mencapai kompetensi dengan baik dalam hal</v>
      </c>
      <c r="Q14" s="23">
        <v>79</v>
      </c>
      <c r="R14" s="18" t="str">
        <f t="shared" si="3"/>
        <v>Mencapai kompetensi dengan baik dalam hal</v>
      </c>
      <c r="S14" s="23">
        <v>81</v>
      </c>
      <c r="T14" s="18" t="str">
        <f t="shared" si="4"/>
        <v>Mencapai kompetensi dengan baik dalam hal</v>
      </c>
      <c r="U14" s="23">
        <v>82</v>
      </c>
      <c r="V14" s="18" t="str">
        <f t="shared" si="5"/>
        <v>Mencapai kompetensi dengan baik dalam hal</v>
      </c>
      <c r="W14" s="23">
        <v>77</v>
      </c>
      <c r="X14" s="18" t="str">
        <f t="shared" si="6"/>
        <v>Mencapai kompetensi dengan baik dalam hal</v>
      </c>
      <c r="Y14" s="23">
        <v>74</v>
      </c>
      <c r="Z14" s="18" t="str">
        <f t="shared" si="7"/>
        <v>Perlu peningkatan dalam hal</v>
      </c>
      <c r="AA14" s="23">
        <v>78</v>
      </c>
      <c r="AB14" s="18" t="str">
        <f t="shared" si="8"/>
        <v>Mencapai kompetensi dengan baik dalam hal</v>
      </c>
      <c r="AC14" s="23">
        <v>81</v>
      </c>
      <c r="AD14" s="18" t="str">
        <f t="shared" si="18"/>
        <v>Mencapai kompetensi dengan baik dalam hal</v>
      </c>
      <c r="AE14" s="23">
        <v>75</v>
      </c>
      <c r="AF14" s="18" t="str">
        <f t="shared" si="9"/>
        <v>Mencapai kompetensi dengan baik dalam hal</v>
      </c>
      <c r="AG14" s="23">
        <v>85</v>
      </c>
      <c r="AH14" s="18" t="str">
        <f t="shared" si="10"/>
        <v>Mencapai kompetensi dengan baik dalam hal</v>
      </c>
      <c r="AI14" s="23">
        <v>79</v>
      </c>
      <c r="AJ14" s="18" t="str">
        <f t="shared" si="11"/>
        <v>Mencapai kompetensi dengan baik dalam hal</v>
      </c>
      <c r="AK14" s="23">
        <v>79</v>
      </c>
      <c r="AL14" s="18" t="str">
        <f t="shared" si="12"/>
        <v>Mencapai kompetensi dengan baik dalam hal</v>
      </c>
      <c r="AM14" s="23">
        <v>73</v>
      </c>
      <c r="AN14" s="18" t="str">
        <f t="shared" si="13"/>
        <v>Perlu peningkatan dalam hal</v>
      </c>
      <c r="AO14" s="118">
        <f t="shared" si="19"/>
        <v>78.2</v>
      </c>
      <c r="AP14" s="23">
        <v>78</v>
      </c>
      <c r="AQ14" s="18" t="str">
        <f t="shared" si="14"/>
        <v>Mencapai kompetensi dengan baik dalam hal</v>
      </c>
      <c r="AR14" s="23">
        <v>79</v>
      </c>
      <c r="AS14" s="18" t="str">
        <f t="shared" si="15"/>
        <v>Mencapai kompetensi dengan baik dalam hal</v>
      </c>
      <c r="AT14" s="113">
        <v>2</v>
      </c>
      <c r="AU14" s="113" t="s">
        <v>81</v>
      </c>
      <c r="AV14" s="113" t="s">
        <v>81</v>
      </c>
      <c r="AW14" s="7">
        <v>1</v>
      </c>
      <c r="AX14" s="12" t="s">
        <v>82</v>
      </c>
      <c r="AY14" s="17" t="s">
        <v>83</v>
      </c>
      <c r="AZ14" s="12" t="s">
        <v>86</v>
      </c>
      <c r="BA14" s="15" t="str">
        <f t="shared" si="16"/>
        <v>Sangat baik</v>
      </c>
      <c r="BB14" s="7">
        <v>2</v>
      </c>
      <c r="BC14" s="17" t="s">
        <v>170</v>
      </c>
      <c r="BD14" s="18" t="s">
        <v>83</v>
      </c>
      <c r="BE14" s="7" t="s">
        <v>84</v>
      </c>
      <c r="BF14" s="15" t="str">
        <f t="shared" si="17"/>
        <v>Baik</v>
      </c>
      <c r="BG14" s="7"/>
      <c r="BH14" s="7"/>
      <c r="BI14" s="7"/>
      <c r="BJ14" s="7"/>
      <c r="BK14" s="15"/>
      <c r="BM14" s="20"/>
      <c r="BN14" s="20"/>
    </row>
    <row r="15" spans="1:70" ht="24.95" customHeight="1" thickTop="1" thickBot="1" x14ac:dyDescent="0.3">
      <c r="A15" s="23">
        <v>14</v>
      </c>
      <c r="B15" s="23">
        <v>2525488</v>
      </c>
      <c r="C15" s="23" t="s">
        <v>1178</v>
      </c>
      <c r="D15" s="18" t="s">
        <v>1179</v>
      </c>
      <c r="E15" s="23" t="s">
        <v>1150</v>
      </c>
      <c r="F15" s="23" t="s">
        <v>1151</v>
      </c>
      <c r="G15" s="23" t="s">
        <v>1152</v>
      </c>
      <c r="H15" s="23" t="s">
        <v>1153</v>
      </c>
      <c r="I15" s="60" t="s">
        <v>76</v>
      </c>
      <c r="J15" s="61" t="s">
        <v>77</v>
      </c>
      <c r="K15" s="23">
        <v>80</v>
      </c>
      <c r="L15" s="18" t="str">
        <f t="shared" si="0"/>
        <v>Mencapai kompetensi dengan baik dalam hal</v>
      </c>
      <c r="M15" s="23">
        <v>78</v>
      </c>
      <c r="N15" s="18" t="str">
        <f t="shared" si="1"/>
        <v>Mencapai kompetensi dengan baik dalam hal</v>
      </c>
      <c r="O15" s="23">
        <v>82</v>
      </c>
      <c r="P15" s="18" t="str">
        <f t="shared" si="2"/>
        <v>Mencapai kompetensi dengan baik dalam hal</v>
      </c>
      <c r="Q15" s="23">
        <v>79</v>
      </c>
      <c r="R15" s="18" t="str">
        <f t="shared" si="3"/>
        <v>Mencapai kompetensi dengan baik dalam hal</v>
      </c>
      <c r="S15" s="23">
        <v>80</v>
      </c>
      <c r="T15" s="18" t="str">
        <f t="shared" si="4"/>
        <v>Mencapai kompetensi dengan baik dalam hal</v>
      </c>
      <c r="U15" s="23">
        <v>83</v>
      </c>
      <c r="V15" s="18" t="str">
        <f t="shared" si="5"/>
        <v>Mencapai kompetensi dengan baik dalam hal</v>
      </c>
      <c r="W15" s="23">
        <v>77</v>
      </c>
      <c r="X15" s="18" t="str">
        <f t="shared" si="6"/>
        <v>Mencapai kompetensi dengan baik dalam hal</v>
      </c>
      <c r="Y15" s="23">
        <v>81</v>
      </c>
      <c r="Z15" s="18" t="str">
        <f t="shared" si="7"/>
        <v>Mencapai kompetensi dengan baik dalam hal</v>
      </c>
      <c r="AA15" s="23">
        <v>78</v>
      </c>
      <c r="AB15" s="18" t="str">
        <f t="shared" si="8"/>
        <v>Mencapai kompetensi dengan baik dalam hal</v>
      </c>
      <c r="AC15" s="23">
        <v>80</v>
      </c>
      <c r="AD15" s="18" t="str">
        <f t="shared" si="18"/>
        <v>Mencapai kompetensi dengan baik dalam hal</v>
      </c>
      <c r="AE15" s="23">
        <v>80</v>
      </c>
      <c r="AF15" s="18" t="str">
        <f t="shared" si="9"/>
        <v>Mencapai kompetensi dengan baik dalam hal</v>
      </c>
      <c r="AG15" s="23">
        <v>83</v>
      </c>
      <c r="AH15" s="18" t="str">
        <f t="shared" si="10"/>
        <v>Mencapai kompetensi dengan baik dalam hal</v>
      </c>
      <c r="AI15" s="23">
        <v>75</v>
      </c>
      <c r="AJ15" s="18" t="str">
        <f t="shared" si="11"/>
        <v>Mencapai kompetensi dengan baik dalam hal</v>
      </c>
      <c r="AK15" s="23">
        <v>81</v>
      </c>
      <c r="AL15" s="18" t="str">
        <f t="shared" si="12"/>
        <v>Mencapai kompetensi dengan baik dalam hal</v>
      </c>
      <c r="AM15" s="23">
        <v>74</v>
      </c>
      <c r="AN15" s="18" t="str">
        <f t="shared" si="13"/>
        <v>Perlu peningkatan dalam hal</v>
      </c>
      <c r="AO15" s="118">
        <f t="shared" si="19"/>
        <v>78.599999999999994</v>
      </c>
      <c r="AP15" s="23">
        <v>78</v>
      </c>
      <c r="AQ15" s="18" t="str">
        <f t="shared" si="14"/>
        <v>Mencapai kompetensi dengan baik dalam hal</v>
      </c>
      <c r="AR15" s="23">
        <v>80</v>
      </c>
      <c r="AS15" s="18" t="str">
        <f t="shared" si="15"/>
        <v>Mencapai kompetensi dengan baik dalam hal</v>
      </c>
      <c r="AT15" s="113" t="s">
        <v>81</v>
      </c>
      <c r="AU15" s="113" t="s">
        <v>81</v>
      </c>
      <c r="AV15" s="113" t="s">
        <v>81</v>
      </c>
      <c r="AW15" s="7">
        <v>1</v>
      </c>
      <c r="AX15" s="12" t="s">
        <v>82</v>
      </c>
      <c r="AY15" s="17" t="s">
        <v>83</v>
      </c>
      <c r="AZ15" s="12" t="s">
        <v>86</v>
      </c>
      <c r="BA15" s="15" t="str">
        <f t="shared" si="16"/>
        <v>Sangat baik</v>
      </c>
      <c r="BB15" s="7">
        <v>2</v>
      </c>
      <c r="BC15" s="17" t="s">
        <v>85</v>
      </c>
      <c r="BD15" s="18" t="s">
        <v>83</v>
      </c>
      <c r="BE15" s="7" t="s">
        <v>84</v>
      </c>
      <c r="BF15" s="15" t="str">
        <f t="shared" si="17"/>
        <v>Baik</v>
      </c>
      <c r="BG15" s="7"/>
      <c r="BH15" s="7"/>
      <c r="BI15" s="7"/>
      <c r="BJ15" s="7"/>
      <c r="BK15" s="15"/>
      <c r="BM15" s="20"/>
      <c r="BN15" s="20"/>
    </row>
    <row r="16" spans="1:70" ht="24.95" customHeight="1" thickTop="1" thickBot="1" x14ac:dyDescent="0.3">
      <c r="A16" s="23">
        <v>15</v>
      </c>
      <c r="B16" s="23">
        <v>2525489</v>
      </c>
      <c r="C16" s="23" t="s">
        <v>1180</v>
      </c>
      <c r="D16" s="18" t="s">
        <v>1181</v>
      </c>
      <c r="E16" s="23" t="s">
        <v>1150</v>
      </c>
      <c r="F16" s="23" t="s">
        <v>1151</v>
      </c>
      <c r="G16" s="23" t="s">
        <v>1152</v>
      </c>
      <c r="H16" s="23" t="s">
        <v>1153</v>
      </c>
      <c r="I16" s="60" t="s">
        <v>76</v>
      </c>
      <c r="J16" s="61" t="s">
        <v>77</v>
      </c>
      <c r="K16" s="23">
        <v>80</v>
      </c>
      <c r="L16" s="18" t="str">
        <f t="shared" si="0"/>
        <v>Mencapai kompetensi dengan baik dalam hal</v>
      </c>
      <c r="M16" s="23">
        <v>76</v>
      </c>
      <c r="N16" s="18" t="str">
        <f t="shared" si="1"/>
        <v>Mencapai kompetensi dengan baik dalam hal</v>
      </c>
      <c r="O16" s="23">
        <v>81</v>
      </c>
      <c r="P16" s="18" t="str">
        <f t="shared" si="2"/>
        <v>Mencapai kompetensi dengan baik dalam hal</v>
      </c>
      <c r="Q16" s="23">
        <v>80</v>
      </c>
      <c r="R16" s="18" t="str">
        <f t="shared" si="3"/>
        <v>Mencapai kompetensi dengan baik dalam hal</v>
      </c>
      <c r="S16" s="23">
        <v>75</v>
      </c>
      <c r="T16" s="18" t="str">
        <f t="shared" si="4"/>
        <v>Mencapai kompetensi dengan baik dalam hal</v>
      </c>
      <c r="U16" s="23">
        <v>78</v>
      </c>
      <c r="V16" s="18" t="str">
        <f t="shared" si="5"/>
        <v>Mencapai kompetensi dengan baik dalam hal</v>
      </c>
      <c r="W16" s="23">
        <v>77</v>
      </c>
      <c r="X16" s="18" t="str">
        <f t="shared" si="6"/>
        <v>Mencapai kompetensi dengan baik dalam hal</v>
      </c>
      <c r="Y16" s="23">
        <v>78</v>
      </c>
      <c r="Z16" s="18" t="str">
        <f t="shared" si="7"/>
        <v>Mencapai kompetensi dengan baik dalam hal</v>
      </c>
      <c r="AA16" s="23">
        <v>79</v>
      </c>
      <c r="AB16" s="18" t="str">
        <f t="shared" si="8"/>
        <v>Mencapai kompetensi dengan baik dalam hal</v>
      </c>
      <c r="AC16" s="23">
        <v>79</v>
      </c>
      <c r="AD16" s="18" t="str">
        <f t="shared" si="18"/>
        <v>Mencapai kompetensi dengan baik dalam hal</v>
      </c>
      <c r="AE16" s="23">
        <v>81</v>
      </c>
      <c r="AF16" s="18" t="str">
        <f t="shared" si="9"/>
        <v>Mencapai kompetensi dengan baik dalam hal</v>
      </c>
      <c r="AG16" s="23">
        <v>85</v>
      </c>
      <c r="AH16" s="18" t="str">
        <f t="shared" si="10"/>
        <v>Mencapai kompetensi dengan baik dalam hal</v>
      </c>
      <c r="AI16" s="23">
        <v>76</v>
      </c>
      <c r="AJ16" s="18" t="str">
        <f t="shared" si="11"/>
        <v>Mencapai kompetensi dengan baik dalam hal</v>
      </c>
      <c r="AK16" s="23">
        <v>80</v>
      </c>
      <c r="AL16" s="18" t="str">
        <f t="shared" si="12"/>
        <v>Mencapai kompetensi dengan baik dalam hal</v>
      </c>
      <c r="AM16" s="23">
        <v>75</v>
      </c>
      <c r="AN16" s="18" t="str">
        <f t="shared" si="13"/>
        <v>Mencapai kompetensi dengan baik dalam hal</v>
      </c>
      <c r="AO16" s="118">
        <f t="shared" si="19"/>
        <v>79.400000000000006</v>
      </c>
      <c r="AP16" s="23">
        <v>79</v>
      </c>
      <c r="AQ16" s="18" t="str">
        <f t="shared" si="14"/>
        <v>Mencapai kompetensi dengan baik dalam hal</v>
      </c>
      <c r="AR16" s="23">
        <v>79</v>
      </c>
      <c r="AS16" s="18" t="str">
        <f t="shared" si="15"/>
        <v>Mencapai kompetensi dengan baik dalam hal</v>
      </c>
      <c r="AT16" s="113">
        <v>1</v>
      </c>
      <c r="AU16" s="113" t="s">
        <v>81</v>
      </c>
      <c r="AV16" s="113">
        <v>1</v>
      </c>
      <c r="AW16" s="7">
        <v>1</v>
      </c>
      <c r="AX16" s="12" t="s">
        <v>82</v>
      </c>
      <c r="AY16" s="17" t="s">
        <v>83</v>
      </c>
      <c r="AZ16" s="12" t="s">
        <v>84</v>
      </c>
      <c r="BA16" s="15" t="str">
        <f t="shared" si="16"/>
        <v>Baik</v>
      </c>
      <c r="BB16" s="7">
        <v>2</v>
      </c>
      <c r="BC16" s="17" t="s">
        <v>170</v>
      </c>
      <c r="BD16" s="18" t="s">
        <v>83</v>
      </c>
      <c r="BE16" s="7" t="s">
        <v>84</v>
      </c>
      <c r="BF16" s="15" t="str">
        <f t="shared" si="17"/>
        <v>Baik</v>
      </c>
      <c r="BG16" s="7"/>
      <c r="BH16" s="7"/>
      <c r="BI16" s="7"/>
      <c r="BJ16" s="7"/>
      <c r="BK16" s="15"/>
      <c r="BM16" s="20"/>
      <c r="BN16" s="20"/>
    </row>
    <row r="17" spans="1:66" ht="24.95" customHeight="1" thickTop="1" thickBot="1" x14ac:dyDescent="0.3">
      <c r="A17" s="23">
        <v>16</v>
      </c>
      <c r="B17" s="23">
        <v>2525490</v>
      </c>
      <c r="C17" s="23" t="s">
        <v>1182</v>
      </c>
      <c r="D17" s="18" t="s">
        <v>1183</v>
      </c>
      <c r="E17" s="23" t="s">
        <v>1150</v>
      </c>
      <c r="F17" s="23" t="s">
        <v>1151</v>
      </c>
      <c r="G17" s="23" t="s">
        <v>1152</v>
      </c>
      <c r="H17" s="23" t="s">
        <v>1153</v>
      </c>
      <c r="I17" s="60" t="s">
        <v>76</v>
      </c>
      <c r="J17" s="61" t="s">
        <v>77</v>
      </c>
      <c r="K17" s="23">
        <v>80</v>
      </c>
      <c r="L17" s="18" t="str">
        <f t="shared" si="0"/>
        <v>Mencapai kompetensi dengan baik dalam hal</v>
      </c>
      <c r="M17" s="23">
        <v>78</v>
      </c>
      <c r="N17" s="18" t="str">
        <f t="shared" si="1"/>
        <v>Mencapai kompetensi dengan baik dalam hal</v>
      </c>
      <c r="O17" s="23">
        <v>81</v>
      </c>
      <c r="P17" s="18" t="str">
        <f t="shared" si="2"/>
        <v>Mencapai kompetensi dengan baik dalam hal</v>
      </c>
      <c r="Q17" s="23">
        <v>80</v>
      </c>
      <c r="R17" s="18" t="str">
        <f t="shared" si="3"/>
        <v>Mencapai kompetensi dengan baik dalam hal</v>
      </c>
      <c r="S17" s="23">
        <v>78</v>
      </c>
      <c r="T17" s="18" t="str">
        <f t="shared" si="4"/>
        <v>Mencapai kompetensi dengan baik dalam hal</v>
      </c>
      <c r="U17" s="23">
        <v>78</v>
      </c>
      <c r="V17" s="18" t="str">
        <f t="shared" si="5"/>
        <v>Mencapai kompetensi dengan baik dalam hal</v>
      </c>
      <c r="W17" s="23">
        <v>83</v>
      </c>
      <c r="X17" s="18" t="str">
        <f t="shared" si="6"/>
        <v>Mencapai kompetensi dengan baik dalam hal</v>
      </c>
      <c r="Y17" s="23">
        <v>78</v>
      </c>
      <c r="Z17" s="18" t="str">
        <f t="shared" si="7"/>
        <v>Mencapai kompetensi dengan baik dalam hal</v>
      </c>
      <c r="AA17" s="23">
        <v>88</v>
      </c>
      <c r="AB17" s="18" t="str">
        <f t="shared" si="8"/>
        <v>Mencapai kompetensi dengan baik dalam hal</v>
      </c>
      <c r="AC17" s="23">
        <v>75</v>
      </c>
      <c r="AD17" s="18" t="str">
        <f t="shared" si="18"/>
        <v>Mencapai kompetensi dengan baik dalam hal</v>
      </c>
      <c r="AE17" s="23">
        <v>75</v>
      </c>
      <c r="AF17" s="18" t="str">
        <f t="shared" si="9"/>
        <v>Mencapai kompetensi dengan baik dalam hal</v>
      </c>
      <c r="AG17" s="23">
        <v>86</v>
      </c>
      <c r="AH17" s="18" t="str">
        <f t="shared" si="10"/>
        <v>Mencapai kompetensi dengan baik dalam hal</v>
      </c>
      <c r="AI17" s="23">
        <v>76</v>
      </c>
      <c r="AJ17" s="18" t="str">
        <f t="shared" si="11"/>
        <v>Mencapai kompetensi dengan baik dalam hal</v>
      </c>
      <c r="AK17" s="23">
        <v>79</v>
      </c>
      <c r="AL17" s="18" t="str">
        <f t="shared" si="12"/>
        <v>Mencapai kompetensi dengan baik dalam hal</v>
      </c>
      <c r="AM17" s="23">
        <v>76</v>
      </c>
      <c r="AN17" s="18" t="str">
        <f t="shared" si="13"/>
        <v>Mencapai kompetensi dengan baik dalam hal</v>
      </c>
      <c r="AO17" s="118">
        <f t="shared" si="19"/>
        <v>78.400000000000006</v>
      </c>
      <c r="AP17" s="23">
        <v>88</v>
      </c>
      <c r="AQ17" s="18" t="str">
        <f t="shared" si="14"/>
        <v>Mencapai kompetensi dengan baik dalam hal</v>
      </c>
      <c r="AR17" s="23">
        <v>80</v>
      </c>
      <c r="AS17" s="18" t="str">
        <f t="shared" si="15"/>
        <v>Mencapai kompetensi dengan baik dalam hal</v>
      </c>
      <c r="AT17" s="113" t="s">
        <v>81</v>
      </c>
      <c r="AU17" s="113" t="s">
        <v>81</v>
      </c>
      <c r="AV17" s="113" t="s">
        <v>81</v>
      </c>
      <c r="AW17" s="7">
        <v>1</v>
      </c>
      <c r="AX17" s="12" t="s">
        <v>82</v>
      </c>
      <c r="AY17" s="17" t="s">
        <v>83</v>
      </c>
      <c r="AZ17" s="12" t="s">
        <v>84</v>
      </c>
      <c r="BA17" s="15" t="str">
        <f t="shared" si="16"/>
        <v>Baik</v>
      </c>
      <c r="BB17" s="7">
        <v>2</v>
      </c>
      <c r="BC17" s="17" t="s">
        <v>579</v>
      </c>
      <c r="BD17" s="18" t="s">
        <v>83</v>
      </c>
      <c r="BE17" s="7" t="s">
        <v>86</v>
      </c>
      <c r="BF17" s="15" t="str">
        <f t="shared" si="17"/>
        <v>Sangat baik</v>
      </c>
      <c r="BG17" s="7"/>
      <c r="BH17" s="7"/>
      <c r="BI17" s="7"/>
      <c r="BJ17" s="7"/>
      <c r="BK17" s="15"/>
      <c r="BM17" s="20"/>
      <c r="BN17" s="20"/>
    </row>
    <row r="18" spans="1:66" ht="24.95" customHeight="1" thickTop="1" thickBot="1" x14ac:dyDescent="0.3">
      <c r="A18" s="23">
        <v>17</v>
      </c>
      <c r="B18" s="23">
        <v>2525491</v>
      </c>
      <c r="C18" s="23" t="s">
        <v>1184</v>
      </c>
      <c r="D18" s="18" t="s">
        <v>1185</v>
      </c>
      <c r="E18" s="23" t="s">
        <v>1150</v>
      </c>
      <c r="F18" s="23" t="s">
        <v>1151</v>
      </c>
      <c r="G18" s="23" t="s">
        <v>1152</v>
      </c>
      <c r="H18" s="23" t="s">
        <v>1153</v>
      </c>
      <c r="I18" s="60" t="s">
        <v>76</v>
      </c>
      <c r="J18" s="61" t="s">
        <v>77</v>
      </c>
      <c r="K18" s="23">
        <v>80</v>
      </c>
      <c r="L18" s="18" t="str">
        <f t="shared" si="0"/>
        <v>Mencapai kompetensi dengan baik dalam hal</v>
      </c>
      <c r="M18" s="23">
        <v>76</v>
      </c>
      <c r="N18" s="18" t="str">
        <f t="shared" si="1"/>
        <v>Mencapai kompetensi dengan baik dalam hal</v>
      </c>
      <c r="O18" s="23">
        <v>81</v>
      </c>
      <c r="P18" s="18" t="str">
        <f t="shared" si="2"/>
        <v>Mencapai kompetensi dengan baik dalam hal</v>
      </c>
      <c r="Q18" s="23">
        <v>79</v>
      </c>
      <c r="R18" s="18" t="str">
        <f t="shared" si="3"/>
        <v>Mencapai kompetensi dengan baik dalam hal</v>
      </c>
      <c r="S18" s="23">
        <v>71</v>
      </c>
      <c r="T18" s="18" t="str">
        <f t="shared" si="4"/>
        <v>Perlu peningkatan dalam hal</v>
      </c>
      <c r="U18" s="23">
        <v>78</v>
      </c>
      <c r="V18" s="18" t="str">
        <f t="shared" si="5"/>
        <v>Mencapai kompetensi dengan baik dalam hal</v>
      </c>
      <c r="W18" s="23">
        <v>77</v>
      </c>
      <c r="X18" s="18" t="str">
        <f t="shared" si="6"/>
        <v>Mencapai kompetensi dengan baik dalam hal</v>
      </c>
      <c r="Y18" s="23">
        <v>80</v>
      </c>
      <c r="Z18" s="18" t="str">
        <f t="shared" si="7"/>
        <v>Mencapai kompetensi dengan baik dalam hal</v>
      </c>
      <c r="AA18" s="23">
        <v>78</v>
      </c>
      <c r="AB18" s="18" t="str">
        <f t="shared" si="8"/>
        <v>Mencapai kompetensi dengan baik dalam hal</v>
      </c>
      <c r="AC18" s="23">
        <v>75</v>
      </c>
      <c r="AD18" s="18" t="str">
        <f t="shared" si="18"/>
        <v>Mencapai kompetensi dengan baik dalam hal</v>
      </c>
      <c r="AE18" s="23">
        <v>75</v>
      </c>
      <c r="AF18" s="18" t="str">
        <f t="shared" si="9"/>
        <v>Mencapai kompetensi dengan baik dalam hal</v>
      </c>
      <c r="AG18" s="23">
        <v>82</v>
      </c>
      <c r="AH18" s="18" t="str">
        <f t="shared" si="10"/>
        <v>Mencapai kompetensi dengan baik dalam hal</v>
      </c>
      <c r="AI18" s="23">
        <v>76</v>
      </c>
      <c r="AJ18" s="18" t="str">
        <f t="shared" si="11"/>
        <v>Mencapai kompetensi dengan baik dalam hal</v>
      </c>
      <c r="AK18" s="23">
        <v>80</v>
      </c>
      <c r="AL18" s="18" t="str">
        <f t="shared" si="12"/>
        <v>Mencapai kompetensi dengan baik dalam hal</v>
      </c>
      <c r="AM18" s="23">
        <v>73</v>
      </c>
      <c r="AN18" s="18" t="str">
        <f t="shared" si="13"/>
        <v>Perlu peningkatan dalam hal</v>
      </c>
      <c r="AO18" s="118">
        <f t="shared" si="19"/>
        <v>77.2</v>
      </c>
      <c r="AP18" s="23">
        <v>78</v>
      </c>
      <c r="AQ18" s="18" t="str">
        <f t="shared" si="14"/>
        <v>Mencapai kompetensi dengan baik dalam hal</v>
      </c>
      <c r="AR18" s="23">
        <v>79</v>
      </c>
      <c r="AS18" s="18" t="str">
        <f t="shared" si="15"/>
        <v>Mencapai kompetensi dengan baik dalam hal</v>
      </c>
      <c r="AT18" s="113">
        <v>2</v>
      </c>
      <c r="AU18" s="113" t="s">
        <v>81</v>
      </c>
      <c r="AV18" s="113">
        <v>3</v>
      </c>
      <c r="AW18" s="7">
        <v>1</v>
      </c>
      <c r="AX18" s="12" t="s">
        <v>82</v>
      </c>
      <c r="AY18" s="17" t="s">
        <v>83</v>
      </c>
      <c r="AZ18" s="12" t="s">
        <v>86</v>
      </c>
      <c r="BA18" s="15" t="str">
        <f t="shared" si="16"/>
        <v>Sangat baik</v>
      </c>
      <c r="BB18" s="7">
        <v>2</v>
      </c>
      <c r="BC18" s="17" t="s">
        <v>170</v>
      </c>
      <c r="BD18" s="18" t="s">
        <v>83</v>
      </c>
      <c r="BE18" s="7" t="s">
        <v>104</v>
      </c>
      <c r="BF18" s="15" t="str">
        <f t="shared" si="17"/>
        <v>Cukup</v>
      </c>
      <c r="BG18" s="7"/>
      <c r="BH18" s="7"/>
      <c r="BI18" s="7"/>
      <c r="BJ18" s="7"/>
      <c r="BK18" s="15"/>
      <c r="BM18" s="20"/>
      <c r="BN18" s="20"/>
    </row>
    <row r="19" spans="1:66" ht="24.95" customHeight="1" thickTop="1" thickBot="1" x14ac:dyDescent="0.3">
      <c r="A19" s="23">
        <v>18</v>
      </c>
      <c r="B19" s="23">
        <v>2525492</v>
      </c>
      <c r="C19" s="23" t="s">
        <v>1186</v>
      </c>
      <c r="D19" s="18" t="s">
        <v>1187</v>
      </c>
      <c r="E19" s="23" t="s">
        <v>1150</v>
      </c>
      <c r="F19" s="23" t="s">
        <v>1151</v>
      </c>
      <c r="G19" s="23" t="s">
        <v>1152</v>
      </c>
      <c r="H19" s="23" t="s">
        <v>1153</v>
      </c>
      <c r="I19" s="60" t="s">
        <v>76</v>
      </c>
      <c r="J19" s="61" t="s">
        <v>77</v>
      </c>
      <c r="K19" s="23">
        <v>75</v>
      </c>
      <c r="L19" s="18" t="str">
        <f t="shared" si="0"/>
        <v>Mencapai kompetensi dengan baik dalam hal</v>
      </c>
      <c r="M19" s="23">
        <v>75</v>
      </c>
      <c r="N19" s="18" t="str">
        <f t="shared" si="1"/>
        <v>Mencapai kompetensi dengan baik dalam hal</v>
      </c>
      <c r="O19" s="23">
        <v>76</v>
      </c>
      <c r="P19" s="18" t="str">
        <f t="shared" si="2"/>
        <v>Mencapai kompetensi dengan baik dalam hal</v>
      </c>
      <c r="Q19" s="23">
        <v>78</v>
      </c>
      <c r="R19" s="18" t="str">
        <f t="shared" si="3"/>
        <v>Mencapai kompetensi dengan baik dalam hal</v>
      </c>
      <c r="S19" s="23">
        <v>70</v>
      </c>
      <c r="T19" s="18" t="str">
        <f t="shared" si="4"/>
        <v>Perlu peningkatan dalam hal</v>
      </c>
      <c r="U19" s="23">
        <v>70</v>
      </c>
      <c r="V19" s="18" t="str">
        <f t="shared" si="5"/>
        <v>Perlu peningkatan dalam hal</v>
      </c>
      <c r="W19" s="23">
        <v>75</v>
      </c>
      <c r="X19" s="18" t="str">
        <f t="shared" si="6"/>
        <v>Mencapai kompetensi dengan baik dalam hal</v>
      </c>
      <c r="Y19" s="23">
        <v>70</v>
      </c>
      <c r="Z19" s="18" t="str">
        <f t="shared" si="7"/>
        <v>Perlu peningkatan dalam hal</v>
      </c>
      <c r="AA19" s="23">
        <v>70</v>
      </c>
      <c r="AB19" s="18" t="str">
        <f t="shared" si="8"/>
        <v>Perlu peningkatan dalam hal</v>
      </c>
      <c r="AC19" s="23">
        <v>70</v>
      </c>
      <c r="AD19" s="18" t="str">
        <f t="shared" si="18"/>
        <v>Perlu peningkatan dalam hal</v>
      </c>
      <c r="AE19" s="23">
        <v>70</v>
      </c>
      <c r="AF19" s="18" t="str">
        <f t="shared" si="9"/>
        <v>Perlu peningkatan dalam hal</v>
      </c>
      <c r="AG19" s="23">
        <v>75</v>
      </c>
      <c r="AH19" s="18" t="str">
        <f t="shared" si="10"/>
        <v>Mencapai kompetensi dengan baik dalam hal</v>
      </c>
      <c r="AI19" s="23">
        <v>72</v>
      </c>
      <c r="AJ19" s="18" t="str">
        <f t="shared" si="11"/>
        <v>Perlu peningkatan dalam hal</v>
      </c>
      <c r="AK19" s="23">
        <v>68</v>
      </c>
      <c r="AL19" s="18" t="str">
        <f t="shared" si="12"/>
        <v>Perlu peningkatan dalam hal</v>
      </c>
      <c r="AM19" s="23">
        <v>70</v>
      </c>
      <c r="AN19" s="18" t="str">
        <f t="shared" si="13"/>
        <v>Perlu peningkatan dalam hal</v>
      </c>
      <c r="AO19" s="118">
        <f t="shared" si="19"/>
        <v>71</v>
      </c>
      <c r="AP19" s="23">
        <v>70</v>
      </c>
      <c r="AQ19" s="18" t="str">
        <f t="shared" si="14"/>
        <v>Perlu peningkatan dalam hal</v>
      </c>
      <c r="AR19" s="23">
        <v>76</v>
      </c>
      <c r="AS19" s="18" t="str">
        <f t="shared" si="15"/>
        <v>Mencapai kompetensi dengan baik dalam hal</v>
      </c>
      <c r="AT19" s="113" t="s">
        <v>81</v>
      </c>
      <c r="AU19" s="113" t="s">
        <v>81</v>
      </c>
      <c r="AV19" s="113" t="s">
        <v>81</v>
      </c>
      <c r="AW19" s="7">
        <v>1</v>
      </c>
      <c r="AX19" s="12" t="s">
        <v>82</v>
      </c>
      <c r="AY19" s="17" t="s">
        <v>83</v>
      </c>
      <c r="AZ19" s="12" t="s">
        <v>104</v>
      </c>
      <c r="BA19" s="15" t="str">
        <f t="shared" si="16"/>
        <v>Cukup</v>
      </c>
      <c r="BB19" s="7">
        <v>2</v>
      </c>
      <c r="BC19" s="17" t="s">
        <v>108</v>
      </c>
      <c r="BD19" s="18" t="s">
        <v>83</v>
      </c>
      <c r="BE19" s="7" t="s">
        <v>86</v>
      </c>
      <c r="BF19" s="15" t="str">
        <f t="shared" si="17"/>
        <v>Sangat baik</v>
      </c>
      <c r="BG19" s="7"/>
      <c r="BH19" s="7"/>
      <c r="BI19" s="7"/>
      <c r="BJ19" s="7"/>
      <c r="BK19" s="15"/>
      <c r="BM19" s="20"/>
      <c r="BN19" s="20"/>
    </row>
    <row r="20" spans="1:66" ht="24.95" customHeight="1" thickTop="1" thickBot="1" x14ac:dyDescent="0.3">
      <c r="A20" s="23">
        <v>19</v>
      </c>
      <c r="B20" s="23">
        <v>2525493</v>
      </c>
      <c r="C20" s="23" t="s">
        <v>1188</v>
      </c>
      <c r="D20" s="18" t="s">
        <v>1189</v>
      </c>
      <c r="E20" s="23" t="s">
        <v>1150</v>
      </c>
      <c r="F20" s="23" t="s">
        <v>1151</v>
      </c>
      <c r="G20" s="23" t="s">
        <v>1152</v>
      </c>
      <c r="H20" s="23" t="s">
        <v>1153</v>
      </c>
      <c r="I20" s="60" t="s">
        <v>76</v>
      </c>
      <c r="J20" s="61" t="s">
        <v>77</v>
      </c>
      <c r="K20" s="23">
        <v>82</v>
      </c>
      <c r="L20" s="18" t="str">
        <f t="shared" si="0"/>
        <v>Mencapai kompetensi dengan baik dalam hal</v>
      </c>
      <c r="M20" s="23">
        <v>76</v>
      </c>
      <c r="N20" s="18" t="str">
        <f t="shared" si="1"/>
        <v>Mencapai kompetensi dengan baik dalam hal</v>
      </c>
      <c r="O20" s="23">
        <v>82</v>
      </c>
      <c r="P20" s="18" t="str">
        <f t="shared" si="2"/>
        <v>Mencapai kompetensi dengan baik dalam hal</v>
      </c>
      <c r="Q20" s="23">
        <v>80</v>
      </c>
      <c r="R20" s="18" t="str">
        <f t="shared" si="3"/>
        <v>Mencapai kompetensi dengan baik dalam hal</v>
      </c>
      <c r="S20" s="23">
        <v>82</v>
      </c>
      <c r="T20" s="18" t="str">
        <f t="shared" si="4"/>
        <v>Mencapai kompetensi dengan baik dalam hal</v>
      </c>
      <c r="U20" s="23">
        <v>90</v>
      </c>
      <c r="V20" s="18" t="str">
        <f t="shared" si="5"/>
        <v>Mencapai kompetensi dengan sangat baik dalam hal</v>
      </c>
      <c r="W20" s="23">
        <v>77</v>
      </c>
      <c r="X20" s="18" t="str">
        <f t="shared" si="6"/>
        <v>Mencapai kompetensi dengan baik dalam hal</v>
      </c>
      <c r="Y20" s="23">
        <v>79</v>
      </c>
      <c r="Z20" s="18" t="str">
        <f t="shared" si="7"/>
        <v>Mencapai kompetensi dengan baik dalam hal</v>
      </c>
      <c r="AA20" s="23">
        <v>78</v>
      </c>
      <c r="AB20" s="18" t="str">
        <f t="shared" si="8"/>
        <v>Mencapai kompetensi dengan baik dalam hal</v>
      </c>
      <c r="AC20" s="23">
        <v>75</v>
      </c>
      <c r="AD20" s="18" t="str">
        <f t="shared" si="18"/>
        <v>Mencapai kompetensi dengan baik dalam hal</v>
      </c>
      <c r="AE20" s="23">
        <v>76</v>
      </c>
      <c r="AF20" s="18" t="str">
        <f t="shared" si="9"/>
        <v>Mencapai kompetensi dengan baik dalam hal</v>
      </c>
      <c r="AG20" s="23">
        <v>76</v>
      </c>
      <c r="AH20" s="18" t="str">
        <f t="shared" si="10"/>
        <v>Mencapai kompetensi dengan baik dalam hal</v>
      </c>
      <c r="AI20" s="23">
        <v>75</v>
      </c>
      <c r="AJ20" s="18" t="str">
        <f t="shared" si="11"/>
        <v>Mencapai kompetensi dengan baik dalam hal</v>
      </c>
      <c r="AK20" s="23">
        <v>81</v>
      </c>
      <c r="AL20" s="18" t="str">
        <f t="shared" si="12"/>
        <v>Mencapai kompetensi dengan baik dalam hal</v>
      </c>
      <c r="AM20" s="23">
        <v>80</v>
      </c>
      <c r="AN20" s="18" t="str">
        <f t="shared" si="13"/>
        <v>Mencapai kompetensi dengan baik dalam hal</v>
      </c>
      <c r="AO20" s="118">
        <f t="shared" si="19"/>
        <v>77.599999999999994</v>
      </c>
      <c r="AP20" s="23">
        <v>78</v>
      </c>
      <c r="AQ20" s="18" t="str">
        <f t="shared" si="14"/>
        <v>Mencapai kompetensi dengan baik dalam hal</v>
      </c>
      <c r="AR20" s="23">
        <v>79</v>
      </c>
      <c r="AS20" s="18" t="str">
        <f t="shared" si="15"/>
        <v>Mencapai kompetensi dengan baik dalam hal</v>
      </c>
      <c r="AT20" s="113" t="s">
        <v>81</v>
      </c>
      <c r="AU20" s="113" t="s">
        <v>81</v>
      </c>
      <c r="AV20" s="113">
        <v>1</v>
      </c>
      <c r="AW20" s="7">
        <v>1</v>
      </c>
      <c r="AX20" s="12" t="s">
        <v>82</v>
      </c>
      <c r="AY20" s="17" t="s">
        <v>83</v>
      </c>
      <c r="AZ20" s="12" t="s">
        <v>86</v>
      </c>
      <c r="BA20" s="15" t="str">
        <f t="shared" si="16"/>
        <v>Sangat baik</v>
      </c>
      <c r="BB20" s="7">
        <v>2</v>
      </c>
      <c r="BC20" s="17" t="s">
        <v>108</v>
      </c>
      <c r="BD20" s="18" t="s">
        <v>83</v>
      </c>
      <c r="BE20" s="7" t="s">
        <v>86</v>
      </c>
      <c r="BF20" s="15" t="str">
        <f t="shared" si="17"/>
        <v>Sangat baik</v>
      </c>
      <c r="BG20" s="7"/>
      <c r="BH20" s="7"/>
      <c r="BI20" s="7"/>
      <c r="BJ20" s="7"/>
      <c r="BK20" s="15"/>
      <c r="BM20" s="20"/>
      <c r="BN20" s="20"/>
    </row>
    <row r="21" spans="1:66" ht="24.95" customHeight="1" thickTop="1" thickBot="1" x14ac:dyDescent="0.3">
      <c r="A21" s="23">
        <v>20</v>
      </c>
      <c r="B21" s="23">
        <v>2525494</v>
      </c>
      <c r="C21" s="23" t="s">
        <v>1190</v>
      </c>
      <c r="D21" s="18" t="s">
        <v>1191</v>
      </c>
      <c r="E21" s="23" t="s">
        <v>1150</v>
      </c>
      <c r="F21" s="23" t="s">
        <v>1151</v>
      </c>
      <c r="G21" s="23" t="s">
        <v>1152</v>
      </c>
      <c r="H21" s="23" t="s">
        <v>1153</v>
      </c>
      <c r="I21" s="60" t="s">
        <v>76</v>
      </c>
      <c r="J21" s="61" t="s">
        <v>77</v>
      </c>
      <c r="K21" s="23">
        <v>80</v>
      </c>
      <c r="L21" s="18" t="str">
        <f t="shared" si="0"/>
        <v>Mencapai kompetensi dengan baik dalam hal</v>
      </c>
      <c r="M21" s="23">
        <v>76</v>
      </c>
      <c r="N21" s="18" t="str">
        <f t="shared" si="1"/>
        <v>Mencapai kompetensi dengan baik dalam hal</v>
      </c>
      <c r="O21" s="23">
        <v>81</v>
      </c>
      <c r="P21" s="18" t="str">
        <f t="shared" si="2"/>
        <v>Mencapai kompetensi dengan baik dalam hal</v>
      </c>
      <c r="Q21" s="23">
        <v>79</v>
      </c>
      <c r="R21" s="18" t="str">
        <f t="shared" si="3"/>
        <v>Mencapai kompetensi dengan baik dalam hal</v>
      </c>
      <c r="S21" s="23">
        <v>79</v>
      </c>
      <c r="T21" s="18" t="str">
        <f t="shared" si="4"/>
        <v>Mencapai kompetensi dengan baik dalam hal</v>
      </c>
      <c r="U21" s="23">
        <v>83</v>
      </c>
      <c r="V21" s="18" t="str">
        <f t="shared" si="5"/>
        <v>Mencapai kompetensi dengan baik dalam hal</v>
      </c>
      <c r="W21" s="23">
        <v>77</v>
      </c>
      <c r="X21" s="18" t="str">
        <f t="shared" si="6"/>
        <v>Mencapai kompetensi dengan baik dalam hal</v>
      </c>
      <c r="Y21" s="23">
        <v>78</v>
      </c>
      <c r="Z21" s="18" t="str">
        <f t="shared" si="7"/>
        <v>Mencapai kompetensi dengan baik dalam hal</v>
      </c>
      <c r="AA21" s="23">
        <v>78</v>
      </c>
      <c r="AB21" s="18" t="str">
        <f t="shared" si="8"/>
        <v>Mencapai kompetensi dengan baik dalam hal</v>
      </c>
      <c r="AC21" s="23">
        <v>76</v>
      </c>
      <c r="AD21" s="18" t="str">
        <f t="shared" si="18"/>
        <v>Mencapai kompetensi dengan baik dalam hal</v>
      </c>
      <c r="AE21" s="23">
        <v>80</v>
      </c>
      <c r="AF21" s="18" t="str">
        <f t="shared" si="9"/>
        <v>Mencapai kompetensi dengan baik dalam hal</v>
      </c>
      <c r="AG21" s="23">
        <v>85</v>
      </c>
      <c r="AH21" s="18" t="str">
        <f t="shared" si="10"/>
        <v>Mencapai kompetensi dengan baik dalam hal</v>
      </c>
      <c r="AI21" s="23">
        <v>77</v>
      </c>
      <c r="AJ21" s="18" t="str">
        <f t="shared" si="11"/>
        <v>Mencapai kompetensi dengan baik dalam hal</v>
      </c>
      <c r="AK21" s="23">
        <v>79</v>
      </c>
      <c r="AL21" s="18" t="str">
        <f t="shared" si="12"/>
        <v>Mencapai kompetensi dengan baik dalam hal</v>
      </c>
      <c r="AM21" s="23">
        <v>75</v>
      </c>
      <c r="AN21" s="18" t="str">
        <f t="shared" si="13"/>
        <v>Mencapai kompetensi dengan baik dalam hal</v>
      </c>
      <c r="AO21" s="118">
        <f t="shared" si="19"/>
        <v>79.2</v>
      </c>
      <c r="AP21" s="23">
        <v>78</v>
      </c>
      <c r="AQ21" s="18" t="str">
        <f t="shared" si="14"/>
        <v>Mencapai kompetensi dengan baik dalam hal</v>
      </c>
      <c r="AR21" s="23">
        <v>79</v>
      </c>
      <c r="AS21" s="18" t="str">
        <f t="shared" si="15"/>
        <v>Mencapai kompetensi dengan baik dalam hal</v>
      </c>
      <c r="AT21" s="113" t="s">
        <v>81</v>
      </c>
      <c r="AU21" s="113" t="s">
        <v>81</v>
      </c>
      <c r="AV21" s="113">
        <v>1</v>
      </c>
      <c r="AW21" s="7">
        <v>1</v>
      </c>
      <c r="AX21" s="12" t="s">
        <v>82</v>
      </c>
      <c r="AY21" s="17" t="s">
        <v>83</v>
      </c>
      <c r="AZ21" s="12" t="s">
        <v>86</v>
      </c>
      <c r="BA21" s="15" t="str">
        <f t="shared" si="16"/>
        <v>Sangat baik</v>
      </c>
      <c r="BB21" s="7">
        <v>2</v>
      </c>
      <c r="BC21" s="17" t="s">
        <v>212</v>
      </c>
      <c r="BD21" s="18" t="s">
        <v>83</v>
      </c>
      <c r="BE21" s="7" t="s">
        <v>86</v>
      </c>
      <c r="BF21" s="15" t="str">
        <f t="shared" si="17"/>
        <v>Sangat baik</v>
      </c>
      <c r="BG21" s="7"/>
      <c r="BH21" s="7"/>
      <c r="BI21" s="7"/>
      <c r="BJ21" s="7"/>
      <c r="BK21" s="15"/>
      <c r="BM21" s="20"/>
      <c r="BN21" s="20"/>
    </row>
    <row r="22" spans="1:66" ht="24.95" customHeight="1" thickTop="1" thickBot="1" x14ac:dyDescent="0.3">
      <c r="A22" s="23">
        <v>21</v>
      </c>
      <c r="B22" s="23">
        <v>2525495</v>
      </c>
      <c r="C22" s="23" t="s">
        <v>1192</v>
      </c>
      <c r="D22" s="18" t="s">
        <v>1193</v>
      </c>
      <c r="E22" s="23" t="s">
        <v>1150</v>
      </c>
      <c r="F22" s="23" t="s">
        <v>1151</v>
      </c>
      <c r="G22" s="23" t="s">
        <v>1152</v>
      </c>
      <c r="H22" s="23" t="s">
        <v>1153</v>
      </c>
      <c r="I22" s="60" t="s">
        <v>76</v>
      </c>
      <c r="J22" s="61" t="s">
        <v>77</v>
      </c>
      <c r="K22" s="23">
        <v>80</v>
      </c>
      <c r="L22" s="18" t="str">
        <f t="shared" si="0"/>
        <v>Mencapai kompetensi dengan baik dalam hal</v>
      </c>
      <c r="M22" s="23">
        <v>79</v>
      </c>
      <c r="N22" s="18" t="str">
        <f t="shared" si="1"/>
        <v>Mencapai kompetensi dengan baik dalam hal</v>
      </c>
      <c r="O22" s="23">
        <v>81</v>
      </c>
      <c r="P22" s="18" t="str">
        <f t="shared" si="2"/>
        <v>Mencapai kompetensi dengan baik dalam hal</v>
      </c>
      <c r="Q22" s="23">
        <v>80</v>
      </c>
      <c r="R22" s="18" t="str">
        <f t="shared" si="3"/>
        <v>Mencapai kompetensi dengan baik dalam hal</v>
      </c>
      <c r="S22" s="23">
        <v>78</v>
      </c>
      <c r="T22" s="18" t="str">
        <f t="shared" si="4"/>
        <v>Mencapai kompetensi dengan baik dalam hal</v>
      </c>
      <c r="U22" s="23">
        <v>80</v>
      </c>
      <c r="V22" s="18" t="str">
        <f t="shared" si="5"/>
        <v>Mencapai kompetensi dengan baik dalam hal</v>
      </c>
      <c r="W22" s="23">
        <v>80</v>
      </c>
      <c r="X22" s="18" t="str">
        <f t="shared" si="6"/>
        <v>Mencapai kompetensi dengan baik dalam hal</v>
      </c>
      <c r="Y22" s="23">
        <v>78</v>
      </c>
      <c r="Z22" s="18" t="str">
        <f t="shared" si="7"/>
        <v>Mencapai kompetensi dengan baik dalam hal</v>
      </c>
      <c r="AA22" s="23">
        <v>87</v>
      </c>
      <c r="AB22" s="18" t="str">
        <f t="shared" si="8"/>
        <v>Mencapai kompetensi dengan baik dalam hal</v>
      </c>
      <c r="AC22" s="23">
        <v>80</v>
      </c>
      <c r="AD22" s="18" t="str">
        <f t="shared" si="18"/>
        <v>Mencapai kompetensi dengan baik dalam hal</v>
      </c>
      <c r="AE22" s="23">
        <v>81</v>
      </c>
      <c r="AF22" s="18" t="str">
        <f t="shared" si="9"/>
        <v>Mencapai kompetensi dengan baik dalam hal</v>
      </c>
      <c r="AG22" s="23">
        <v>84</v>
      </c>
      <c r="AH22" s="18" t="str">
        <f t="shared" si="10"/>
        <v>Mencapai kompetensi dengan baik dalam hal</v>
      </c>
      <c r="AI22" s="23">
        <v>79</v>
      </c>
      <c r="AJ22" s="18" t="str">
        <f t="shared" si="11"/>
        <v>Mencapai kompetensi dengan baik dalam hal</v>
      </c>
      <c r="AK22" s="23">
        <v>81</v>
      </c>
      <c r="AL22" s="18" t="str">
        <f t="shared" si="12"/>
        <v>Mencapai kompetensi dengan baik dalam hal</v>
      </c>
      <c r="AM22" s="23">
        <v>78</v>
      </c>
      <c r="AN22" s="18" t="str">
        <f t="shared" si="13"/>
        <v>Mencapai kompetensi dengan baik dalam hal</v>
      </c>
      <c r="AO22" s="118">
        <f t="shared" si="19"/>
        <v>80.599999999999994</v>
      </c>
      <c r="AP22" s="23">
        <v>87</v>
      </c>
      <c r="AQ22" s="18" t="str">
        <f t="shared" si="14"/>
        <v>Mencapai kompetensi dengan baik dalam hal</v>
      </c>
      <c r="AR22" s="23">
        <v>80</v>
      </c>
      <c r="AS22" s="18" t="str">
        <f t="shared" si="15"/>
        <v>Mencapai kompetensi dengan baik dalam hal</v>
      </c>
      <c r="AT22" s="113">
        <v>1</v>
      </c>
      <c r="AU22" s="113" t="s">
        <v>81</v>
      </c>
      <c r="AV22" s="113" t="s">
        <v>81</v>
      </c>
      <c r="AW22" s="7">
        <v>1</v>
      </c>
      <c r="AX22" s="12" t="s">
        <v>82</v>
      </c>
      <c r="AY22" s="17" t="s">
        <v>83</v>
      </c>
      <c r="AZ22" s="12" t="s">
        <v>84</v>
      </c>
      <c r="BA22" s="15" t="str">
        <f t="shared" si="16"/>
        <v>Baik</v>
      </c>
      <c r="BB22" s="7">
        <v>2</v>
      </c>
      <c r="BC22" s="17" t="s">
        <v>125</v>
      </c>
      <c r="BD22" s="18" t="s">
        <v>83</v>
      </c>
      <c r="BE22" s="7" t="s">
        <v>104</v>
      </c>
      <c r="BF22" s="15" t="str">
        <f t="shared" si="17"/>
        <v>Cukup</v>
      </c>
      <c r="BG22" s="7"/>
      <c r="BH22" s="7"/>
      <c r="BI22" s="7"/>
      <c r="BJ22" s="7"/>
      <c r="BK22" s="15"/>
      <c r="BM22" s="20"/>
      <c r="BN22" s="20"/>
    </row>
    <row r="23" spans="1:66" ht="24.95" customHeight="1" thickTop="1" thickBot="1" x14ac:dyDescent="0.3">
      <c r="A23" s="23">
        <v>22</v>
      </c>
      <c r="B23" s="23">
        <v>2525496</v>
      </c>
      <c r="C23" s="23" t="s">
        <v>1194</v>
      </c>
      <c r="D23" s="18" t="s">
        <v>1195</v>
      </c>
      <c r="E23" s="23" t="s">
        <v>1150</v>
      </c>
      <c r="F23" s="23" t="s">
        <v>1151</v>
      </c>
      <c r="G23" s="23" t="s">
        <v>1152</v>
      </c>
      <c r="H23" s="23" t="s">
        <v>1153</v>
      </c>
      <c r="I23" s="60" t="s">
        <v>76</v>
      </c>
      <c r="J23" s="61" t="s">
        <v>77</v>
      </c>
      <c r="K23" s="23">
        <v>80</v>
      </c>
      <c r="L23" s="18" t="str">
        <f t="shared" si="0"/>
        <v>Mencapai kompetensi dengan baik dalam hal</v>
      </c>
      <c r="M23" s="23">
        <v>76</v>
      </c>
      <c r="N23" s="18" t="str">
        <f t="shared" si="1"/>
        <v>Mencapai kompetensi dengan baik dalam hal</v>
      </c>
      <c r="O23" s="23">
        <v>81</v>
      </c>
      <c r="P23" s="18" t="str">
        <f t="shared" si="2"/>
        <v>Mencapai kompetensi dengan baik dalam hal</v>
      </c>
      <c r="Q23" s="23">
        <v>78</v>
      </c>
      <c r="R23" s="18" t="str">
        <f t="shared" si="3"/>
        <v>Mencapai kompetensi dengan baik dalam hal</v>
      </c>
      <c r="S23" s="23">
        <v>78</v>
      </c>
      <c r="T23" s="18" t="str">
        <f t="shared" si="4"/>
        <v>Mencapai kompetensi dengan baik dalam hal</v>
      </c>
      <c r="U23" s="23">
        <v>78</v>
      </c>
      <c r="V23" s="18" t="str">
        <f t="shared" si="5"/>
        <v>Mencapai kompetensi dengan baik dalam hal</v>
      </c>
      <c r="W23" s="23">
        <v>77</v>
      </c>
      <c r="X23" s="18" t="str">
        <f t="shared" si="6"/>
        <v>Mencapai kompetensi dengan baik dalam hal</v>
      </c>
      <c r="Y23" s="23">
        <v>77</v>
      </c>
      <c r="Z23" s="18" t="str">
        <f t="shared" si="7"/>
        <v>Mencapai kompetensi dengan baik dalam hal</v>
      </c>
      <c r="AA23" s="23">
        <v>78</v>
      </c>
      <c r="AB23" s="18" t="str">
        <f t="shared" si="8"/>
        <v>Mencapai kompetensi dengan baik dalam hal</v>
      </c>
      <c r="AC23" s="23">
        <v>75</v>
      </c>
      <c r="AD23" s="18" t="str">
        <f t="shared" si="18"/>
        <v>Mencapai kompetensi dengan baik dalam hal</v>
      </c>
      <c r="AE23" s="23">
        <v>75</v>
      </c>
      <c r="AF23" s="18" t="str">
        <f t="shared" si="9"/>
        <v>Mencapai kompetensi dengan baik dalam hal</v>
      </c>
      <c r="AG23" s="23">
        <v>81</v>
      </c>
      <c r="AH23" s="18" t="str">
        <f t="shared" si="10"/>
        <v>Mencapai kompetensi dengan baik dalam hal</v>
      </c>
      <c r="AI23" s="23">
        <v>75</v>
      </c>
      <c r="AJ23" s="18" t="str">
        <f t="shared" si="11"/>
        <v>Mencapai kompetensi dengan baik dalam hal</v>
      </c>
      <c r="AK23" s="23">
        <v>79</v>
      </c>
      <c r="AL23" s="18" t="str">
        <f t="shared" si="12"/>
        <v>Mencapai kompetensi dengan baik dalam hal</v>
      </c>
      <c r="AM23" s="23">
        <v>75</v>
      </c>
      <c r="AN23" s="18" t="str">
        <f t="shared" si="13"/>
        <v>Mencapai kompetensi dengan baik dalam hal</v>
      </c>
      <c r="AO23" s="118">
        <f t="shared" si="19"/>
        <v>77</v>
      </c>
      <c r="AP23" s="23">
        <v>78</v>
      </c>
      <c r="AQ23" s="18" t="str">
        <f t="shared" si="14"/>
        <v>Mencapai kompetensi dengan baik dalam hal</v>
      </c>
      <c r="AR23" s="23">
        <v>79</v>
      </c>
      <c r="AS23" s="18" t="str">
        <f t="shared" si="15"/>
        <v>Mencapai kompetensi dengan baik dalam hal</v>
      </c>
      <c r="AT23" s="113" t="s">
        <v>81</v>
      </c>
      <c r="AU23" s="113" t="s">
        <v>81</v>
      </c>
      <c r="AV23" s="113">
        <v>2</v>
      </c>
      <c r="AW23" s="7">
        <v>1</v>
      </c>
      <c r="AX23" s="12" t="s">
        <v>82</v>
      </c>
      <c r="AY23" s="17" t="s">
        <v>83</v>
      </c>
      <c r="AZ23" s="12" t="s">
        <v>84</v>
      </c>
      <c r="BA23" s="15" t="str">
        <f t="shared" si="16"/>
        <v>Baik</v>
      </c>
      <c r="BB23" s="7">
        <v>2</v>
      </c>
      <c r="BC23" s="17" t="s">
        <v>579</v>
      </c>
      <c r="BD23" s="18" t="s">
        <v>83</v>
      </c>
      <c r="BE23" s="7" t="s">
        <v>86</v>
      </c>
      <c r="BF23" s="15" t="str">
        <f t="shared" si="17"/>
        <v>Sangat baik</v>
      </c>
      <c r="BG23" s="7"/>
      <c r="BH23" s="7"/>
      <c r="BI23" s="7"/>
      <c r="BJ23" s="7"/>
      <c r="BK23" s="15"/>
      <c r="BM23" s="20"/>
      <c r="BN23" s="20"/>
    </row>
    <row r="24" spans="1:66" ht="24.95" customHeight="1" thickTop="1" thickBot="1" x14ac:dyDescent="0.3">
      <c r="A24" s="23">
        <v>23</v>
      </c>
      <c r="B24" s="23">
        <v>2525497</v>
      </c>
      <c r="C24" s="23" t="s">
        <v>1196</v>
      </c>
      <c r="D24" s="18" t="s">
        <v>1197</v>
      </c>
      <c r="E24" s="23" t="s">
        <v>1150</v>
      </c>
      <c r="F24" s="23" t="s">
        <v>1151</v>
      </c>
      <c r="G24" s="23" t="s">
        <v>1152</v>
      </c>
      <c r="H24" s="23" t="s">
        <v>1153</v>
      </c>
      <c r="I24" s="60" t="s">
        <v>76</v>
      </c>
      <c r="J24" s="61" t="s">
        <v>77</v>
      </c>
      <c r="K24" s="23">
        <v>75</v>
      </c>
      <c r="L24" s="18" t="str">
        <f t="shared" si="0"/>
        <v>Mencapai kompetensi dengan baik dalam hal</v>
      </c>
      <c r="M24" s="23">
        <v>75</v>
      </c>
      <c r="N24" s="18" t="str">
        <f t="shared" si="1"/>
        <v>Mencapai kompetensi dengan baik dalam hal</v>
      </c>
      <c r="O24" s="23">
        <v>78</v>
      </c>
      <c r="P24" s="18" t="str">
        <f t="shared" si="2"/>
        <v>Mencapai kompetensi dengan baik dalam hal</v>
      </c>
      <c r="Q24" s="23">
        <v>78</v>
      </c>
      <c r="R24" s="18" t="str">
        <f t="shared" si="3"/>
        <v>Mencapai kompetensi dengan baik dalam hal</v>
      </c>
      <c r="S24" s="23">
        <v>71</v>
      </c>
      <c r="T24" s="18" t="str">
        <f t="shared" si="4"/>
        <v>Perlu peningkatan dalam hal</v>
      </c>
      <c r="U24" s="23">
        <v>77</v>
      </c>
      <c r="V24" s="18" t="str">
        <f t="shared" si="5"/>
        <v>Mencapai kompetensi dengan baik dalam hal</v>
      </c>
      <c r="W24" s="23">
        <v>76</v>
      </c>
      <c r="X24" s="18" t="str">
        <f t="shared" si="6"/>
        <v>Mencapai kompetensi dengan baik dalam hal</v>
      </c>
      <c r="Y24" s="23">
        <v>70</v>
      </c>
      <c r="Z24" s="18" t="str">
        <f t="shared" si="7"/>
        <v>Perlu peningkatan dalam hal</v>
      </c>
      <c r="AA24" s="23">
        <v>72</v>
      </c>
      <c r="AB24" s="18" t="str">
        <f t="shared" si="8"/>
        <v>Perlu peningkatan dalam hal</v>
      </c>
      <c r="AC24" s="23">
        <v>70</v>
      </c>
      <c r="AD24" s="18" t="str">
        <f t="shared" si="18"/>
        <v>Perlu peningkatan dalam hal</v>
      </c>
      <c r="AE24" s="23">
        <v>70</v>
      </c>
      <c r="AF24" s="18" t="str">
        <f t="shared" si="9"/>
        <v>Perlu peningkatan dalam hal</v>
      </c>
      <c r="AG24" s="23">
        <v>72</v>
      </c>
      <c r="AH24" s="18" t="str">
        <f t="shared" si="10"/>
        <v>Perlu peningkatan dalam hal</v>
      </c>
      <c r="AI24" s="23">
        <v>70</v>
      </c>
      <c r="AJ24" s="18" t="str">
        <f t="shared" si="11"/>
        <v>Perlu peningkatan dalam hal</v>
      </c>
      <c r="AK24" s="23">
        <v>68</v>
      </c>
      <c r="AL24" s="18" t="str">
        <f t="shared" si="12"/>
        <v>Perlu peningkatan dalam hal</v>
      </c>
      <c r="AM24" s="23">
        <v>73</v>
      </c>
      <c r="AN24" s="18" t="str">
        <f t="shared" si="13"/>
        <v>Perlu peningkatan dalam hal</v>
      </c>
      <c r="AO24" s="118">
        <f t="shared" si="19"/>
        <v>70.599999999999994</v>
      </c>
      <c r="AP24" s="23">
        <v>72</v>
      </c>
      <c r="AQ24" s="18" t="str">
        <f t="shared" si="14"/>
        <v>Perlu peningkatan dalam hal</v>
      </c>
      <c r="AR24" s="23">
        <v>77</v>
      </c>
      <c r="AS24" s="18" t="str">
        <f t="shared" si="15"/>
        <v>Mencapai kompetensi dengan baik dalam hal</v>
      </c>
      <c r="AT24" s="113" t="s">
        <v>81</v>
      </c>
      <c r="AU24" s="113" t="s">
        <v>81</v>
      </c>
      <c r="AV24" s="113" t="s">
        <v>81</v>
      </c>
      <c r="AW24" s="7">
        <v>1</v>
      </c>
      <c r="AX24" s="12" t="s">
        <v>82</v>
      </c>
      <c r="AY24" s="17" t="s">
        <v>83</v>
      </c>
      <c r="AZ24" s="12" t="s">
        <v>84</v>
      </c>
      <c r="BA24" s="15" t="str">
        <f t="shared" si="16"/>
        <v>Baik</v>
      </c>
      <c r="BB24" s="7">
        <v>2</v>
      </c>
      <c r="BC24" s="17" t="s">
        <v>99</v>
      </c>
      <c r="BD24" s="18" t="s">
        <v>83</v>
      </c>
      <c r="BE24" s="7" t="s">
        <v>84</v>
      </c>
      <c r="BF24" s="15" t="str">
        <f t="shared" si="17"/>
        <v>Baik</v>
      </c>
      <c r="BG24" s="7"/>
      <c r="BH24" s="7"/>
      <c r="BI24" s="7"/>
      <c r="BJ24" s="7"/>
      <c r="BK24" s="15"/>
      <c r="BM24" s="20"/>
      <c r="BN24" s="20"/>
    </row>
    <row r="25" spans="1:66" ht="24.95" customHeight="1" thickTop="1" thickBot="1" x14ac:dyDescent="0.3">
      <c r="A25" s="23">
        <v>24</v>
      </c>
      <c r="B25" s="23">
        <v>2525498</v>
      </c>
      <c r="C25" s="23" t="s">
        <v>1198</v>
      </c>
      <c r="D25" s="18" t="s">
        <v>1199</v>
      </c>
      <c r="E25" s="23" t="s">
        <v>1150</v>
      </c>
      <c r="F25" s="23" t="s">
        <v>1151</v>
      </c>
      <c r="G25" s="23" t="s">
        <v>1152</v>
      </c>
      <c r="H25" s="23" t="s">
        <v>1153</v>
      </c>
      <c r="I25" s="60" t="s">
        <v>76</v>
      </c>
      <c r="J25" s="61" t="s">
        <v>77</v>
      </c>
      <c r="K25" s="23">
        <v>82</v>
      </c>
      <c r="L25" s="18" t="str">
        <f t="shared" si="0"/>
        <v>Mencapai kompetensi dengan baik dalam hal</v>
      </c>
      <c r="M25" s="23">
        <v>76</v>
      </c>
      <c r="N25" s="18" t="str">
        <f t="shared" si="1"/>
        <v>Mencapai kompetensi dengan baik dalam hal</v>
      </c>
      <c r="O25" s="23">
        <v>81</v>
      </c>
      <c r="P25" s="18" t="str">
        <f t="shared" si="2"/>
        <v>Mencapai kompetensi dengan baik dalam hal</v>
      </c>
      <c r="Q25" s="23">
        <v>79</v>
      </c>
      <c r="R25" s="18" t="str">
        <f t="shared" si="3"/>
        <v>Mencapai kompetensi dengan baik dalam hal</v>
      </c>
      <c r="S25" s="23">
        <v>76</v>
      </c>
      <c r="T25" s="18" t="str">
        <f t="shared" si="4"/>
        <v>Mencapai kompetensi dengan baik dalam hal</v>
      </c>
      <c r="U25" s="23">
        <v>78</v>
      </c>
      <c r="V25" s="18" t="str">
        <f t="shared" si="5"/>
        <v>Mencapai kompetensi dengan baik dalam hal</v>
      </c>
      <c r="W25" s="23">
        <v>81</v>
      </c>
      <c r="X25" s="18" t="str">
        <f t="shared" si="6"/>
        <v>Mencapai kompetensi dengan baik dalam hal</v>
      </c>
      <c r="Y25" s="23">
        <v>78</v>
      </c>
      <c r="Z25" s="18" t="str">
        <f t="shared" si="7"/>
        <v>Mencapai kompetensi dengan baik dalam hal</v>
      </c>
      <c r="AA25" s="23">
        <v>78</v>
      </c>
      <c r="AB25" s="18" t="str">
        <f t="shared" si="8"/>
        <v>Mencapai kompetensi dengan baik dalam hal</v>
      </c>
      <c r="AC25" s="23">
        <v>75</v>
      </c>
      <c r="AD25" s="18" t="str">
        <f t="shared" si="18"/>
        <v>Mencapai kompetensi dengan baik dalam hal</v>
      </c>
      <c r="AE25" s="23">
        <v>77</v>
      </c>
      <c r="AF25" s="18" t="str">
        <f t="shared" si="9"/>
        <v>Mencapai kompetensi dengan baik dalam hal</v>
      </c>
      <c r="AG25" s="23">
        <v>83</v>
      </c>
      <c r="AH25" s="18" t="str">
        <f t="shared" si="10"/>
        <v>Mencapai kompetensi dengan baik dalam hal</v>
      </c>
      <c r="AI25" s="23">
        <v>76</v>
      </c>
      <c r="AJ25" s="18" t="str">
        <f t="shared" si="11"/>
        <v>Mencapai kompetensi dengan baik dalam hal</v>
      </c>
      <c r="AK25" s="23">
        <v>79</v>
      </c>
      <c r="AL25" s="18" t="str">
        <f t="shared" si="12"/>
        <v>Mencapai kompetensi dengan baik dalam hal</v>
      </c>
      <c r="AM25" s="23">
        <v>73</v>
      </c>
      <c r="AN25" s="18" t="str">
        <f t="shared" si="13"/>
        <v>Perlu peningkatan dalam hal</v>
      </c>
      <c r="AO25" s="118">
        <f t="shared" si="19"/>
        <v>77.599999999999994</v>
      </c>
      <c r="AP25" s="23">
        <v>78</v>
      </c>
      <c r="AQ25" s="18" t="str">
        <f t="shared" si="14"/>
        <v>Mencapai kompetensi dengan baik dalam hal</v>
      </c>
      <c r="AR25" s="23">
        <v>78</v>
      </c>
      <c r="AS25" s="18" t="str">
        <f t="shared" si="15"/>
        <v>Mencapai kompetensi dengan baik dalam hal</v>
      </c>
      <c r="AT25" s="23" t="s">
        <v>81</v>
      </c>
      <c r="AU25" s="113" t="s">
        <v>81</v>
      </c>
      <c r="AV25" s="113" t="s">
        <v>81</v>
      </c>
      <c r="AW25" s="7">
        <v>1</v>
      </c>
      <c r="AX25" s="12" t="s">
        <v>82</v>
      </c>
      <c r="AY25" s="17" t="s">
        <v>83</v>
      </c>
      <c r="AZ25" s="12" t="s">
        <v>86</v>
      </c>
      <c r="BA25" s="15" t="str">
        <f t="shared" si="16"/>
        <v>Sangat baik</v>
      </c>
      <c r="BB25" s="7">
        <v>2</v>
      </c>
      <c r="BC25" s="17" t="s">
        <v>108</v>
      </c>
      <c r="BD25" s="18" t="s">
        <v>83</v>
      </c>
      <c r="BE25" s="7" t="s">
        <v>86</v>
      </c>
      <c r="BF25" s="15" t="str">
        <f t="shared" si="17"/>
        <v>Sangat baik</v>
      </c>
      <c r="BG25" s="7"/>
      <c r="BH25" s="7"/>
      <c r="BI25" s="7"/>
      <c r="BJ25" s="7"/>
      <c r="BK25" s="15"/>
      <c r="BM25" s="20"/>
      <c r="BN25" s="20"/>
    </row>
    <row r="26" spans="1:66" ht="24.95" customHeight="1" thickTop="1" thickBot="1" x14ac:dyDescent="0.3">
      <c r="A26" s="23">
        <v>25</v>
      </c>
      <c r="B26" s="23">
        <v>2525499</v>
      </c>
      <c r="C26" s="23" t="s">
        <v>1200</v>
      </c>
      <c r="D26" s="18" t="s">
        <v>1201</v>
      </c>
      <c r="E26" s="23" t="s">
        <v>1150</v>
      </c>
      <c r="F26" s="23" t="s">
        <v>1151</v>
      </c>
      <c r="G26" s="23" t="s">
        <v>1152</v>
      </c>
      <c r="H26" s="23" t="s">
        <v>1153</v>
      </c>
      <c r="I26" s="60" t="s">
        <v>76</v>
      </c>
      <c r="J26" s="61" t="s">
        <v>77</v>
      </c>
      <c r="K26" s="23">
        <v>82</v>
      </c>
      <c r="L26" s="18" t="str">
        <f t="shared" si="0"/>
        <v>Mencapai kompetensi dengan baik dalam hal</v>
      </c>
      <c r="M26" s="23">
        <v>78</v>
      </c>
      <c r="N26" s="18" t="str">
        <f t="shared" si="1"/>
        <v>Mencapai kompetensi dengan baik dalam hal</v>
      </c>
      <c r="O26" s="23">
        <v>80</v>
      </c>
      <c r="P26" s="18" t="str">
        <f t="shared" si="2"/>
        <v>Mencapai kompetensi dengan baik dalam hal</v>
      </c>
      <c r="Q26" s="23">
        <v>79</v>
      </c>
      <c r="R26" s="18" t="str">
        <f t="shared" si="3"/>
        <v>Mencapai kompetensi dengan baik dalam hal</v>
      </c>
      <c r="S26" s="23">
        <v>79</v>
      </c>
      <c r="T26" s="18" t="str">
        <f t="shared" si="4"/>
        <v>Mencapai kompetensi dengan baik dalam hal</v>
      </c>
      <c r="U26" s="23">
        <v>78</v>
      </c>
      <c r="V26" s="18" t="str">
        <f t="shared" si="5"/>
        <v>Mencapai kompetensi dengan baik dalam hal</v>
      </c>
      <c r="W26" s="23">
        <v>82</v>
      </c>
      <c r="X26" s="18" t="str">
        <f t="shared" si="6"/>
        <v>Mencapai kompetensi dengan baik dalam hal</v>
      </c>
      <c r="Y26" s="23">
        <v>78</v>
      </c>
      <c r="Z26" s="18" t="str">
        <f t="shared" si="7"/>
        <v>Mencapai kompetensi dengan baik dalam hal</v>
      </c>
      <c r="AA26" s="23">
        <v>89</v>
      </c>
      <c r="AB26" s="18" t="str">
        <f t="shared" si="8"/>
        <v>Mencapai kompetensi dengan baik dalam hal</v>
      </c>
      <c r="AC26" s="23">
        <v>75</v>
      </c>
      <c r="AD26" s="18" t="str">
        <f t="shared" si="18"/>
        <v>Mencapai kompetensi dengan baik dalam hal</v>
      </c>
      <c r="AE26" s="23">
        <v>77</v>
      </c>
      <c r="AF26" s="18" t="str">
        <f t="shared" si="9"/>
        <v>Mencapai kompetensi dengan baik dalam hal</v>
      </c>
      <c r="AG26" s="23">
        <v>84</v>
      </c>
      <c r="AH26" s="18" t="str">
        <f t="shared" si="10"/>
        <v>Mencapai kompetensi dengan baik dalam hal</v>
      </c>
      <c r="AI26" s="23">
        <v>75</v>
      </c>
      <c r="AJ26" s="18" t="str">
        <f t="shared" si="11"/>
        <v>Mencapai kompetensi dengan baik dalam hal</v>
      </c>
      <c r="AK26" s="23">
        <v>80</v>
      </c>
      <c r="AL26" s="18" t="str">
        <f t="shared" si="12"/>
        <v>Mencapai kompetensi dengan baik dalam hal</v>
      </c>
      <c r="AM26" s="23">
        <v>77</v>
      </c>
      <c r="AN26" s="18" t="str">
        <f t="shared" si="13"/>
        <v>Mencapai kompetensi dengan baik dalam hal</v>
      </c>
      <c r="AO26" s="118">
        <f t="shared" si="19"/>
        <v>78.599999999999994</v>
      </c>
      <c r="AP26" s="23">
        <v>89</v>
      </c>
      <c r="AQ26" s="18" t="str">
        <f t="shared" si="14"/>
        <v>Mencapai kompetensi dengan baik dalam hal</v>
      </c>
      <c r="AR26" s="23">
        <v>80</v>
      </c>
      <c r="AS26" s="18" t="str">
        <f t="shared" si="15"/>
        <v>Mencapai kompetensi dengan baik dalam hal</v>
      </c>
      <c r="AT26" s="113" t="s">
        <v>81</v>
      </c>
      <c r="AU26" s="113" t="s">
        <v>81</v>
      </c>
      <c r="AV26" s="113" t="s">
        <v>81</v>
      </c>
      <c r="AW26" s="7">
        <v>1</v>
      </c>
      <c r="AX26" s="12" t="s">
        <v>82</v>
      </c>
      <c r="AY26" s="17" t="s">
        <v>83</v>
      </c>
      <c r="AZ26" s="12" t="s">
        <v>84</v>
      </c>
      <c r="BA26" s="15" t="str">
        <f t="shared" si="16"/>
        <v>Baik</v>
      </c>
      <c r="BB26" s="7">
        <v>2</v>
      </c>
      <c r="BC26" s="17" t="s">
        <v>162</v>
      </c>
      <c r="BD26" s="18" t="s">
        <v>83</v>
      </c>
      <c r="BE26" s="7" t="s">
        <v>86</v>
      </c>
      <c r="BF26" s="15" t="str">
        <f t="shared" si="17"/>
        <v>Sangat baik</v>
      </c>
      <c r="BG26" s="7"/>
      <c r="BH26" s="7"/>
      <c r="BI26" s="7"/>
      <c r="BJ26" s="7"/>
      <c r="BK26" s="15"/>
      <c r="BM26" s="20"/>
      <c r="BN26" s="20"/>
    </row>
    <row r="27" spans="1:66" ht="24.95" customHeight="1" thickTop="1" thickBot="1" x14ac:dyDescent="0.3">
      <c r="A27" s="23">
        <v>26</v>
      </c>
      <c r="B27" s="23">
        <v>2525500</v>
      </c>
      <c r="C27" s="23" t="s">
        <v>1202</v>
      </c>
      <c r="D27" s="18" t="s">
        <v>1203</v>
      </c>
      <c r="E27" s="23" t="s">
        <v>1150</v>
      </c>
      <c r="F27" s="23" t="s">
        <v>1151</v>
      </c>
      <c r="G27" s="23" t="s">
        <v>1152</v>
      </c>
      <c r="H27" s="23" t="s">
        <v>1153</v>
      </c>
      <c r="I27" s="60" t="s">
        <v>76</v>
      </c>
      <c r="J27" s="61" t="s">
        <v>77</v>
      </c>
      <c r="K27" s="23">
        <v>83</v>
      </c>
      <c r="L27" s="18" t="str">
        <f t="shared" si="0"/>
        <v>Mencapai kompetensi dengan baik dalam hal</v>
      </c>
      <c r="M27" s="23">
        <v>76</v>
      </c>
      <c r="N27" s="18" t="str">
        <f t="shared" si="1"/>
        <v>Mencapai kompetensi dengan baik dalam hal</v>
      </c>
      <c r="O27" s="23">
        <v>82</v>
      </c>
      <c r="P27" s="18" t="str">
        <f t="shared" si="2"/>
        <v>Mencapai kompetensi dengan baik dalam hal</v>
      </c>
      <c r="Q27" s="23">
        <v>80</v>
      </c>
      <c r="R27" s="18" t="str">
        <f t="shared" si="3"/>
        <v>Mencapai kompetensi dengan baik dalam hal</v>
      </c>
      <c r="S27" s="23">
        <v>80</v>
      </c>
      <c r="T27" s="18" t="str">
        <f t="shared" si="4"/>
        <v>Mencapai kompetensi dengan baik dalam hal</v>
      </c>
      <c r="U27" s="23">
        <v>80</v>
      </c>
      <c r="V27" s="18" t="str">
        <f t="shared" si="5"/>
        <v>Mencapai kompetensi dengan baik dalam hal</v>
      </c>
      <c r="W27" s="23">
        <v>84</v>
      </c>
      <c r="X27" s="18" t="str">
        <f t="shared" si="6"/>
        <v>Mencapai kompetensi dengan baik dalam hal</v>
      </c>
      <c r="Y27" s="23">
        <v>80</v>
      </c>
      <c r="Z27" s="18" t="str">
        <f t="shared" si="7"/>
        <v>Mencapai kompetensi dengan baik dalam hal</v>
      </c>
      <c r="AA27" s="23">
        <v>88</v>
      </c>
      <c r="AB27" s="18" t="str">
        <f t="shared" si="8"/>
        <v>Mencapai kompetensi dengan baik dalam hal</v>
      </c>
      <c r="AC27" s="23">
        <v>85</v>
      </c>
      <c r="AD27" s="18" t="str">
        <f t="shared" si="18"/>
        <v>Mencapai kompetensi dengan baik dalam hal</v>
      </c>
      <c r="AE27" s="23">
        <v>82</v>
      </c>
      <c r="AF27" s="18" t="str">
        <f t="shared" si="9"/>
        <v>Mencapai kompetensi dengan baik dalam hal</v>
      </c>
      <c r="AG27" s="23">
        <v>83</v>
      </c>
      <c r="AH27" s="18" t="str">
        <f t="shared" si="10"/>
        <v>Mencapai kompetensi dengan baik dalam hal</v>
      </c>
      <c r="AI27" s="23">
        <v>84</v>
      </c>
      <c r="AJ27" s="18" t="str">
        <f t="shared" si="11"/>
        <v>Mencapai kompetensi dengan baik dalam hal</v>
      </c>
      <c r="AK27" s="23">
        <v>84</v>
      </c>
      <c r="AL27" s="18" t="str">
        <f t="shared" si="12"/>
        <v>Mencapai kompetensi dengan baik dalam hal</v>
      </c>
      <c r="AM27" s="23">
        <v>79</v>
      </c>
      <c r="AN27" s="18" t="str">
        <f t="shared" si="13"/>
        <v>Mencapai kompetensi dengan baik dalam hal</v>
      </c>
      <c r="AO27" s="118">
        <f t="shared" si="19"/>
        <v>82.4</v>
      </c>
      <c r="AP27" s="23">
        <v>88</v>
      </c>
      <c r="AQ27" s="18" t="str">
        <f t="shared" si="14"/>
        <v>Mencapai kompetensi dengan baik dalam hal</v>
      </c>
      <c r="AR27" s="23">
        <v>80</v>
      </c>
      <c r="AS27" s="18" t="str">
        <f t="shared" si="15"/>
        <v>Mencapai kompetensi dengan baik dalam hal</v>
      </c>
      <c r="AT27" s="113" t="s">
        <v>81</v>
      </c>
      <c r="AU27" s="113" t="s">
        <v>81</v>
      </c>
      <c r="AV27" s="113" t="s">
        <v>81</v>
      </c>
      <c r="AW27" s="7">
        <v>1</v>
      </c>
      <c r="AX27" s="12" t="s">
        <v>82</v>
      </c>
      <c r="AY27" s="17" t="s">
        <v>83</v>
      </c>
      <c r="AZ27" s="12" t="s">
        <v>84</v>
      </c>
      <c r="BA27" s="15" t="str">
        <f t="shared" si="16"/>
        <v>Baik</v>
      </c>
      <c r="BB27" s="7">
        <v>2</v>
      </c>
      <c r="BC27" s="17" t="s">
        <v>162</v>
      </c>
      <c r="BD27" s="18" t="s">
        <v>83</v>
      </c>
      <c r="BE27" s="7" t="s">
        <v>86</v>
      </c>
      <c r="BF27" s="15" t="str">
        <f t="shared" si="17"/>
        <v>Sangat baik</v>
      </c>
      <c r="BG27" s="7"/>
      <c r="BH27" s="7"/>
      <c r="BI27" s="7"/>
      <c r="BJ27" s="7"/>
      <c r="BK27" s="15"/>
      <c r="BM27" s="20"/>
      <c r="BN27" s="20"/>
    </row>
    <row r="28" spans="1:66" ht="24.95" customHeight="1" thickTop="1" thickBot="1" x14ac:dyDescent="0.3">
      <c r="A28" s="23">
        <v>27</v>
      </c>
      <c r="B28" s="23">
        <v>2525501</v>
      </c>
      <c r="C28" s="23" t="s">
        <v>1204</v>
      </c>
      <c r="D28" s="18" t="s">
        <v>1205</v>
      </c>
      <c r="E28" s="23" t="s">
        <v>1150</v>
      </c>
      <c r="F28" s="23" t="s">
        <v>1151</v>
      </c>
      <c r="G28" s="23" t="s">
        <v>1152</v>
      </c>
      <c r="H28" s="23" t="s">
        <v>1153</v>
      </c>
      <c r="I28" s="60" t="s">
        <v>76</v>
      </c>
      <c r="J28" s="61" t="s">
        <v>77</v>
      </c>
      <c r="K28" s="23">
        <v>80</v>
      </c>
      <c r="L28" s="18" t="str">
        <f t="shared" si="0"/>
        <v>Mencapai kompetensi dengan baik dalam hal</v>
      </c>
      <c r="M28" s="23">
        <v>76</v>
      </c>
      <c r="N28" s="18" t="str">
        <f t="shared" si="1"/>
        <v>Mencapai kompetensi dengan baik dalam hal</v>
      </c>
      <c r="O28" s="23">
        <v>81</v>
      </c>
      <c r="P28" s="18" t="str">
        <f t="shared" si="2"/>
        <v>Mencapai kompetensi dengan baik dalam hal</v>
      </c>
      <c r="Q28" s="23">
        <v>79</v>
      </c>
      <c r="R28" s="18" t="str">
        <f t="shared" si="3"/>
        <v>Mencapai kompetensi dengan baik dalam hal</v>
      </c>
      <c r="S28" s="23">
        <v>76</v>
      </c>
      <c r="T28" s="18" t="str">
        <f t="shared" si="4"/>
        <v>Mencapai kompetensi dengan baik dalam hal</v>
      </c>
      <c r="U28" s="23">
        <v>80</v>
      </c>
      <c r="V28" s="18" t="str">
        <f t="shared" si="5"/>
        <v>Mencapai kompetensi dengan baik dalam hal</v>
      </c>
      <c r="W28" s="23">
        <v>79</v>
      </c>
      <c r="X28" s="18" t="str">
        <f t="shared" si="6"/>
        <v>Mencapai kompetensi dengan baik dalam hal</v>
      </c>
      <c r="Y28" s="23">
        <v>77</v>
      </c>
      <c r="Z28" s="18" t="str">
        <f t="shared" si="7"/>
        <v>Mencapai kompetensi dengan baik dalam hal</v>
      </c>
      <c r="AA28" s="23">
        <v>78</v>
      </c>
      <c r="AB28" s="18" t="str">
        <f t="shared" si="8"/>
        <v>Mencapai kompetensi dengan baik dalam hal</v>
      </c>
      <c r="AC28" s="23">
        <v>76</v>
      </c>
      <c r="AD28" s="18" t="str">
        <f t="shared" si="18"/>
        <v>Mencapai kompetensi dengan baik dalam hal</v>
      </c>
      <c r="AE28" s="23">
        <v>79</v>
      </c>
      <c r="AF28" s="18" t="str">
        <f t="shared" si="9"/>
        <v>Mencapai kompetensi dengan baik dalam hal</v>
      </c>
      <c r="AG28" s="23">
        <v>75</v>
      </c>
      <c r="AH28" s="18" t="str">
        <f t="shared" si="10"/>
        <v>Mencapai kompetensi dengan baik dalam hal</v>
      </c>
      <c r="AI28" s="23">
        <v>75</v>
      </c>
      <c r="AJ28" s="18" t="str">
        <f t="shared" si="11"/>
        <v>Mencapai kompetensi dengan baik dalam hal</v>
      </c>
      <c r="AK28" s="23">
        <v>82</v>
      </c>
      <c r="AL28" s="18" t="str">
        <f t="shared" si="12"/>
        <v>Mencapai kompetensi dengan baik dalam hal</v>
      </c>
      <c r="AM28" s="23">
        <v>72</v>
      </c>
      <c r="AN28" s="18" t="str">
        <f t="shared" si="13"/>
        <v>Perlu peningkatan dalam hal</v>
      </c>
      <c r="AO28" s="118">
        <f t="shared" si="19"/>
        <v>76.599999999999994</v>
      </c>
      <c r="AP28" s="23">
        <v>78</v>
      </c>
      <c r="AQ28" s="18" t="str">
        <f t="shared" si="14"/>
        <v>Mencapai kompetensi dengan baik dalam hal</v>
      </c>
      <c r="AR28" s="23">
        <v>80</v>
      </c>
      <c r="AS28" s="18" t="str">
        <f t="shared" si="15"/>
        <v>Mencapai kompetensi dengan baik dalam hal</v>
      </c>
      <c r="AT28" s="113" t="s">
        <v>81</v>
      </c>
      <c r="AU28" s="113" t="s">
        <v>81</v>
      </c>
      <c r="AV28" s="113" t="s">
        <v>81</v>
      </c>
      <c r="AW28" s="7">
        <v>1</v>
      </c>
      <c r="AX28" s="12" t="s">
        <v>82</v>
      </c>
      <c r="AY28" s="17" t="s">
        <v>83</v>
      </c>
      <c r="AZ28" s="12" t="s">
        <v>84</v>
      </c>
      <c r="BA28" s="15" t="str">
        <f t="shared" si="16"/>
        <v>Baik</v>
      </c>
      <c r="BB28" s="7">
        <v>2</v>
      </c>
      <c r="BC28" s="17" t="s">
        <v>85</v>
      </c>
      <c r="BD28" s="18" t="s">
        <v>83</v>
      </c>
      <c r="BE28" s="7" t="s">
        <v>84</v>
      </c>
      <c r="BF28" s="15" t="str">
        <f t="shared" si="17"/>
        <v>Baik</v>
      </c>
      <c r="BG28" s="7">
        <v>3</v>
      </c>
      <c r="BH28" s="7" t="s">
        <v>87</v>
      </c>
      <c r="BI28" s="7" t="s">
        <v>83</v>
      </c>
      <c r="BJ28" s="7" t="s">
        <v>84</v>
      </c>
      <c r="BK28" s="15" t="str">
        <f>VLOOKUP(BJ28,grades4,2,TRUE)</f>
        <v>Baik</v>
      </c>
      <c r="BM28" s="20"/>
      <c r="BN28" s="20"/>
    </row>
    <row r="29" spans="1:66" ht="24.95" customHeight="1" thickTop="1" thickBot="1" x14ac:dyDescent="0.3">
      <c r="A29" s="23">
        <v>28</v>
      </c>
      <c r="B29" s="23">
        <v>2525502</v>
      </c>
      <c r="C29" s="23" t="s">
        <v>1206</v>
      </c>
      <c r="D29" s="18" t="s">
        <v>1207</v>
      </c>
      <c r="E29" s="23" t="s">
        <v>1150</v>
      </c>
      <c r="F29" s="23" t="s">
        <v>1151</v>
      </c>
      <c r="G29" s="23" t="s">
        <v>1152</v>
      </c>
      <c r="H29" s="23" t="s">
        <v>1153</v>
      </c>
      <c r="I29" s="60" t="s">
        <v>76</v>
      </c>
      <c r="J29" s="61" t="s">
        <v>77</v>
      </c>
      <c r="K29" s="23">
        <v>82</v>
      </c>
      <c r="L29" s="18" t="str">
        <f t="shared" si="0"/>
        <v>Mencapai kompetensi dengan baik dalam hal</v>
      </c>
      <c r="M29" s="23">
        <v>78</v>
      </c>
      <c r="N29" s="18" t="str">
        <f t="shared" si="1"/>
        <v>Mencapai kompetensi dengan baik dalam hal</v>
      </c>
      <c r="O29" s="23">
        <v>82</v>
      </c>
      <c r="P29" s="18" t="str">
        <f t="shared" si="2"/>
        <v>Mencapai kompetensi dengan baik dalam hal</v>
      </c>
      <c r="Q29" s="23">
        <v>80</v>
      </c>
      <c r="R29" s="18" t="str">
        <f t="shared" si="3"/>
        <v>Mencapai kompetensi dengan baik dalam hal</v>
      </c>
      <c r="S29" s="23">
        <v>79</v>
      </c>
      <c r="T29" s="18" t="str">
        <f t="shared" si="4"/>
        <v>Mencapai kompetensi dengan baik dalam hal</v>
      </c>
      <c r="U29" s="23">
        <v>80</v>
      </c>
      <c r="V29" s="18" t="str">
        <f t="shared" si="5"/>
        <v>Mencapai kompetensi dengan baik dalam hal</v>
      </c>
      <c r="W29" s="23">
        <v>78</v>
      </c>
      <c r="X29" s="18" t="str">
        <f t="shared" si="6"/>
        <v>Mencapai kompetensi dengan baik dalam hal</v>
      </c>
      <c r="Y29" s="23">
        <v>78</v>
      </c>
      <c r="Z29" s="18" t="str">
        <f t="shared" si="7"/>
        <v>Mencapai kompetensi dengan baik dalam hal</v>
      </c>
      <c r="AA29" s="23">
        <v>78</v>
      </c>
      <c r="AB29" s="18" t="str">
        <f t="shared" si="8"/>
        <v>Mencapai kompetensi dengan baik dalam hal</v>
      </c>
      <c r="AC29" s="23">
        <v>79</v>
      </c>
      <c r="AD29" s="18" t="str">
        <f t="shared" si="18"/>
        <v>Mencapai kompetensi dengan baik dalam hal</v>
      </c>
      <c r="AE29" s="23">
        <v>77</v>
      </c>
      <c r="AF29" s="18" t="str">
        <f t="shared" si="9"/>
        <v>Mencapai kompetensi dengan baik dalam hal</v>
      </c>
      <c r="AG29" s="23">
        <v>83</v>
      </c>
      <c r="AH29" s="18" t="str">
        <f t="shared" si="10"/>
        <v>Mencapai kompetensi dengan baik dalam hal</v>
      </c>
      <c r="AI29" s="23">
        <v>76</v>
      </c>
      <c r="AJ29" s="18" t="str">
        <f t="shared" si="11"/>
        <v>Mencapai kompetensi dengan baik dalam hal</v>
      </c>
      <c r="AK29" s="23">
        <v>80</v>
      </c>
      <c r="AL29" s="18" t="str">
        <f t="shared" si="12"/>
        <v>Mencapai kompetensi dengan baik dalam hal</v>
      </c>
      <c r="AM29" s="23">
        <v>75</v>
      </c>
      <c r="AN29" s="18" t="str">
        <f t="shared" si="13"/>
        <v>Mencapai kompetensi dengan baik dalam hal</v>
      </c>
      <c r="AO29" s="118">
        <f t="shared" si="19"/>
        <v>78.2</v>
      </c>
      <c r="AP29" s="23">
        <v>78</v>
      </c>
      <c r="AQ29" s="18" t="str">
        <f t="shared" si="14"/>
        <v>Mencapai kompetensi dengan baik dalam hal</v>
      </c>
      <c r="AR29" s="23">
        <v>80</v>
      </c>
      <c r="AS29" s="18" t="str">
        <f t="shared" si="15"/>
        <v>Mencapai kompetensi dengan baik dalam hal</v>
      </c>
      <c r="AT29" s="113">
        <v>1</v>
      </c>
      <c r="AU29" s="113" t="s">
        <v>81</v>
      </c>
      <c r="AV29" s="113" t="s">
        <v>81</v>
      </c>
      <c r="AW29" s="7">
        <v>1</v>
      </c>
      <c r="AX29" s="12" t="s">
        <v>82</v>
      </c>
      <c r="AY29" s="17" t="s">
        <v>83</v>
      </c>
      <c r="AZ29" s="12" t="s">
        <v>86</v>
      </c>
      <c r="BA29" s="15" t="str">
        <f t="shared" si="16"/>
        <v>Sangat baik</v>
      </c>
      <c r="BB29" s="7">
        <v>2</v>
      </c>
      <c r="BC29" s="17" t="s">
        <v>1162</v>
      </c>
      <c r="BD29" s="18" t="s">
        <v>83</v>
      </c>
      <c r="BE29" s="7" t="s">
        <v>86</v>
      </c>
      <c r="BF29" s="15" t="str">
        <f t="shared" si="17"/>
        <v>Sangat baik</v>
      </c>
      <c r="BG29" s="7"/>
      <c r="BH29" s="7"/>
      <c r="BI29" s="7"/>
      <c r="BJ29" s="7"/>
      <c r="BK29" s="15"/>
      <c r="BM29" s="20"/>
      <c r="BN29" s="20"/>
    </row>
    <row r="30" spans="1:66" ht="24.95" customHeight="1" thickTop="1" thickBot="1" x14ac:dyDescent="0.3">
      <c r="A30" s="23">
        <v>29</v>
      </c>
      <c r="B30" s="23">
        <v>2525503</v>
      </c>
      <c r="C30" s="23" t="s">
        <v>1208</v>
      </c>
      <c r="D30" s="18" t="s">
        <v>1209</v>
      </c>
      <c r="E30" s="23" t="s">
        <v>1150</v>
      </c>
      <c r="F30" s="23" t="s">
        <v>1151</v>
      </c>
      <c r="G30" s="23" t="s">
        <v>1152</v>
      </c>
      <c r="H30" s="23" t="s">
        <v>1153</v>
      </c>
      <c r="I30" s="60" t="s">
        <v>76</v>
      </c>
      <c r="J30" s="61" t="s">
        <v>77</v>
      </c>
      <c r="K30" s="23">
        <v>79</v>
      </c>
      <c r="L30" s="18" t="str">
        <f t="shared" si="0"/>
        <v>Mencapai kompetensi dengan baik dalam hal</v>
      </c>
      <c r="M30" s="23">
        <v>76</v>
      </c>
      <c r="N30" s="18" t="str">
        <f t="shared" si="1"/>
        <v>Mencapai kompetensi dengan baik dalam hal</v>
      </c>
      <c r="O30" s="23">
        <v>77</v>
      </c>
      <c r="P30" s="18" t="str">
        <f t="shared" si="2"/>
        <v>Mencapai kompetensi dengan baik dalam hal</v>
      </c>
      <c r="Q30" s="23">
        <v>79</v>
      </c>
      <c r="R30" s="18" t="str">
        <f t="shared" si="3"/>
        <v>Mencapai kompetensi dengan baik dalam hal</v>
      </c>
      <c r="S30" s="23">
        <v>72</v>
      </c>
      <c r="T30" s="18" t="str">
        <f t="shared" si="4"/>
        <v>Perlu peningkatan dalam hal</v>
      </c>
      <c r="U30" s="23">
        <v>77</v>
      </c>
      <c r="V30" s="18" t="str">
        <f t="shared" si="5"/>
        <v>Mencapai kompetensi dengan baik dalam hal</v>
      </c>
      <c r="W30" s="23">
        <v>76</v>
      </c>
      <c r="X30" s="18" t="str">
        <f t="shared" si="6"/>
        <v>Mencapai kompetensi dengan baik dalam hal</v>
      </c>
      <c r="Y30" s="23">
        <v>70</v>
      </c>
      <c r="Z30" s="18" t="str">
        <f t="shared" si="7"/>
        <v>Perlu peningkatan dalam hal</v>
      </c>
      <c r="AA30" s="23">
        <v>78</v>
      </c>
      <c r="AB30" s="18" t="str">
        <f t="shared" si="8"/>
        <v>Mencapai kompetensi dengan baik dalam hal</v>
      </c>
      <c r="AC30" s="23">
        <v>70</v>
      </c>
      <c r="AD30" s="18" t="str">
        <f t="shared" si="18"/>
        <v>Perlu peningkatan dalam hal</v>
      </c>
      <c r="AE30" s="23">
        <v>75</v>
      </c>
      <c r="AF30" s="18" t="str">
        <f t="shared" si="9"/>
        <v>Mencapai kompetensi dengan baik dalam hal</v>
      </c>
      <c r="AG30" s="23">
        <v>84</v>
      </c>
      <c r="AH30" s="18" t="str">
        <f t="shared" si="10"/>
        <v>Mencapai kompetensi dengan baik dalam hal</v>
      </c>
      <c r="AI30" s="23">
        <v>75</v>
      </c>
      <c r="AJ30" s="18" t="str">
        <f t="shared" si="11"/>
        <v>Mencapai kompetensi dengan baik dalam hal</v>
      </c>
      <c r="AK30" s="23">
        <v>77</v>
      </c>
      <c r="AL30" s="18" t="str">
        <f t="shared" si="12"/>
        <v>Mencapai kompetensi dengan baik dalam hal</v>
      </c>
      <c r="AM30" s="23">
        <v>74</v>
      </c>
      <c r="AN30" s="18" t="str">
        <f t="shared" si="13"/>
        <v>Perlu peningkatan dalam hal</v>
      </c>
      <c r="AO30" s="118">
        <f t="shared" si="19"/>
        <v>77</v>
      </c>
      <c r="AP30" s="23">
        <v>78</v>
      </c>
      <c r="AQ30" s="18" t="str">
        <f t="shared" si="14"/>
        <v>Mencapai kompetensi dengan baik dalam hal</v>
      </c>
      <c r="AR30" s="23">
        <v>78</v>
      </c>
      <c r="AS30" s="18" t="str">
        <f t="shared" si="15"/>
        <v>Mencapai kompetensi dengan baik dalam hal</v>
      </c>
      <c r="AT30" s="113" t="s">
        <v>81</v>
      </c>
      <c r="AU30" s="23" t="s">
        <v>81</v>
      </c>
      <c r="AV30" s="113">
        <v>1</v>
      </c>
      <c r="AW30" s="7">
        <v>1</v>
      </c>
      <c r="AX30" s="12" t="s">
        <v>82</v>
      </c>
      <c r="AY30" s="17" t="s">
        <v>83</v>
      </c>
      <c r="AZ30" s="12" t="s">
        <v>84</v>
      </c>
      <c r="BA30" s="15" t="str">
        <f t="shared" si="16"/>
        <v>Baik</v>
      </c>
      <c r="BB30" s="7">
        <v>2</v>
      </c>
      <c r="BC30" s="17" t="s">
        <v>103</v>
      </c>
      <c r="BD30" s="18" t="s">
        <v>83</v>
      </c>
      <c r="BE30" s="7" t="s">
        <v>84</v>
      </c>
      <c r="BF30" s="15" t="str">
        <f t="shared" si="17"/>
        <v>Baik</v>
      </c>
      <c r="BG30" s="7"/>
      <c r="BH30" s="7"/>
      <c r="BI30" s="7"/>
      <c r="BJ30" s="7"/>
      <c r="BK30" s="15"/>
      <c r="BM30" s="20"/>
      <c r="BN30" s="20"/>
    </row>
    <row r="31" spans="1:66" ht="24.95" customHeight="1" thickTop="1" thickBot="1" x14ac:dyDescent="0.3">
      <c r="A31" s="23">
        <v>30</v>
      </c>
      <c r="B31" s="23">
        <v>2525504</v>
      </c>
      <c r="C31" s="23" t="s">
        <v>1210</v>
      </c>
      <c r="D31" s="18" t="s">
        <v>1211</v>
      </c>
      <c r="E31" s="23" t="s">
        <v>1150</v>
      </c>
      <c r="F31" s="23" t="s">
        <v>1151</v>
      </c>
      <c r="G31" s="23" t="s">
        <v>1152</v>
      </c>
      <c r="H31" s="23" t="s">
        <v>1153</v>
      </c>
      <c r="I31" s="60" t="s">
        <v>76</v>
      </c>
      <c r="J31" s="61" t="s">
        <v>77</v>
      </c>
      <c r="K31" s="23">
        <v>80</v>
      </c>
      <c r="L31" s="18" t="str">
        <f t="shared" si="0"/>
        <v>Mencapai kompetensi dengan baik dalam hal</v>
      </c>
      <c r="M31" s="23">
        <v>77</v>
      </c>
      <c r="N31" s="18" t="str">
        <f t="shared" si="1"/>
        <v>Mencapai kompetensi dengan baik dalam hal</v>
      </c>
      <c r="O31" s="23">
        <v>81</v>
      </c>
      <c r="P31" s="18" t="str">
        <f t="shared" si="2"/>
        <v>Mencapai kompetensi dengan baik dalam hal</v>
      </c>
      <c r="Q31" s="23">
        <v>78</v>
      </c>
      <c r="R31" s="18" t="str">
        <f t="shared" si="3"/>
        <v>Mencapai kompetensi dengan baik dalam hal</v>
      </c>
      <c r="S31" s="23">
        <v>76</v>
      </c>
      <c r="T31" s="18" t="str">
        <f t="shared" si="4"/>
        <v>Mencapai kompetensi dengan baik dalam hal</v>
      </c>
      <c r="U31" s="23">
        <v>77</v>
      </c>
      <c r="V31" s="18" t="str">
        <f t="shared" si="5"/>
        <v>Mencapai kompetensi dengan baik dalam hal</v>
      </c>
      <c r="W31" s="23">
        <v>77</v>
      </c>
      <c r="X31" s="18" t="str">
        <f t="shared" si="6"/>
        <v>Mencapai kompetensi dengan baik dalam hal</v>
      </c>
      <c r="Y31" s="23">
        <v>70</v>
      </c>
      <c r="Z31" s="18" t="str">
        <f t="shared" si="7"/>
        <v>Perlu peningkatan dalam hal</v>
      </c>
      <c r="AA31" s="23">
        <v>72</v>
      </c>
      <c r="AB31" s="18" t="str">
        <f t="shared" si="8"/>
        <v>Perlu peningkatan dalam hal</v>
      </c>
      <c r="AC31" s="23">
        <v>78</v>
      </c>
      <c r="AD31" s="18" t="str">
        <f t="shared" si="18"/>
        <v>Mencapai kompetensi dengan baik dalam hal</v>
      </c>
      <c r="AE31" s="23">
        <v>76</v>
      </c>
      <c r="AF31" s="18" t="str">
        <f t="shared" si="9"/>
        <v>Mencapai kompetensi dengan baik dalam hal</v>
      </c>
      <c r="AG31" s="23">
        <v>81</v>
      </c>
      <c r="AH31" s="18" t="str">
        <f t="shared" si="10"/>
        <v>Mencapai kompetensi dengan baik dalam hal</v>
      </c>
      <c r="AI31" s="23">
        <v>75</v>
      </c>
      <c r="AJ31" s="18" t="str">
        <f t="shared" si="11"/>
        <v>Mencapai kompetensi dengan baik dalam hal</v>
      </c>
      <c r="AK31" s="23">
        <v>76</v>
      </c>
      <c r="AL31" s="18" t="str">
        <f t="shared" si="12"/>
        <v>Mencapai kompetensi dengan baik dalam hal</v>
      </c>
      <c r="AM31" s="23">
        <v>74</v>
      </c>
      <c r="AN31" s="18" t="str">
        <f t="shared" si="13"/>
        <v>Perlu peningkatan dalam hal</v>
      </c>
      <c r="AO31" s="118">
        <f t="shared" si="19"/>
        <v>76.400000000000006</v>
      </c>
      <c r="AP31" s="23">
        <v>72</v>
      </c>
      <c r="AQ31" s="18" t="str">
        <f t="shared" si="14"/>
        <v>Perlu peningkatan dalam hal</v>
      </c>
      <c r="AR31" s="23">
        <v>78</v>
      </c>
      <c r="AS31" s="18" t="str">
        <f t="shared" si="15"/>
        <v>Mencapai kompetensi dengan baik dalam hal</v>
      </c>
      <c r="AT31" s="113" t="s">
        <v>81</v>
      </c>
      <c r="AU31" s="113" t="s">
        <v>81</v>
      </c>
      <c r="AV31" s="113" t="s">
        <v>81</v>
      </c>
      <c r="AW31" s="7">
        <v>1</v>
      </c>
      <c r="AX31" s="12" t="s">
        <v>82</v>
      </c>
      <c r="AY31" s="17" t="s">
        <v>83</v>
      </c>
      <c r="AZ31" s="12" t="s">
        <v>84</v>
      </c>
      <c r="BA31" s="15" t="str">
        <f t="shared" si="16"/>
        <v>Baik</v>
      </c>
      <c r="BB31" s="7">
        <v>2</v>
      </c>
      <c r="BC31" s="17" t="s">
        <v>170</v>
      </c>
      <c r="BD31" s="18" t="s">
        <v>83</v>
      </c>
      <c r="BE31" s="7" t="s">
        <v>84</v>
      </c>
      <c r="BF31" s="15" t="str">
        <f t="shared" si="17"/>
        <v>Baik</v>
      </c>
      <c r="BG31" s="7"/>
      <c r="BH31" s="7"/>
      <c r="BI31" s="7"/>
      <c r="BJ31" s="7"/>
      <c r="BK31" s="15"/>
      <c r="BM31" s="20"/>
      <c r="BN31" s="20"/>
    </row>
    <row r="32" spans="1:66" ht="24.95" customHeight="1" thickTop="1" thickBot="1" x14ac:dyDescent="0.3">
      <c r="A32" s="23">
        <v>31</v>
      </c>
      <c r="B32" s="23">
        <v>2525505</v>
      </c>
      <c r="C32" s="23" t="s">
        <v>1212</v>
      </c>
      <c r="D32" s="18" t="s">
        <v>1213</v>
      </c>
      <c r="E32" s="23" t="s">
        <v>1150</v>
      </c>
      <c r="F32" s="23" t="s">
        <v>1151</v>
      </c>
      <c r="G32" s="23" t="s">
        <v>1152</v>
      </c>
      <c r="H32" s="23" t="s">
        <v>1153</v>
      </c>
      <c r="I32" s="60" t="s">
        <v>76</v>
      </c>
      <c r="J32" s="61" t="s">
        <v>77</v>
      </c>
      <c r="K32" s="23">
        <v>75</v>
      </c>
      <c r="L32" s="18" t="str">
        <f t="shared" si="0"/>
        <v>Mencapai kompetensi dengan baik dalam hal</v>
      </c>
      <c r="M32" s="23">
        <v>75</v>
      </c>
      <c r="N32" s="18" t="str">
        <f t="shared" si="1"/>
        <v>Mencapai kompetensi dengan baik dalam hal</v>
      </c>
      <c r="O32" s="23">
        <v>79</v>
      </c>
      <c r="P32" s="18" t="str">
        <f t="shared" si="2"/>
        <v>Mencapai kompetensi dengan baik dalam hal</v>
      </c>
      <c r="Q32" s="23">
        <v>78</v>
      </c>
      <c r="R32" s="18" t="str">
        <f t="shared" si="3"/>
        <v>Mencapai kompetensi dengan baik dalam hal</v>
      </c>
      <c r="S32" s="23">
        <v>75</v>
      </c>
      <c r="T32" s="18" t="str">
        <f t="shared" si="4"/>
        <v>Mencapai kompetensi dengan baik dalam hal</v>
      </c>
      <c r="U32" s="23">
        <v>80</v>
      </c>
      <c r="V32" s="18" t="str">
        <f t="shared" si="5"/>
        <v>Mencapai kompetensi dengan baik dalam hal</v>
      </c>
      <c r="W32" s="23">
        <v>75</v>
      </c>
      <c r="X32" s="18" t="str">
        <f t="shared" si="6"/>
        <v>Mencapai kompetensi dengan baik dalam hal</v>
      </c>
      <c r="Y32" s="23">
        <v>70</v>
      </c>
      <c r="Z32" s="18" t="str">
        <f t="shared" si="7"/>
        <v>Perlu peningkatan dalam hal</v>
      </c>
      <c r="AA32" s="23">
        <v>78</v>
      </c>
      <c r="AB32" s="18" t="str">
        <f t="shared" si="8"/>
        <v>Mencapai kompetensi dengan baik dalam hal</v>
      </c>
      <c r="AC32" s="23">
        <v>75</v>
      </c>
      <c r="AD32" s="18" t="str">
        <f t="shared" si="18"/>
        <v>Mencapai kompetensi dengan baik dalam hal</v>
      </c>
      <c r="AE32" s="23">
        <v>78</v>
      </c>
      <c r="AF32" s="18" t="str">
        <f t="shared" si="9"/>
        <v>Mencapai kompetensi dengan baik dalam hal</v>
      </c>
      <c r="AG32" s="23">
        <v>84</v>
      </c>
      <c r="AH32" s="18" t="str">
        <f t="shared" si="10"/>
        <v>Mencapai kompetensi dengan baik dalam hal</v>
      </c>
      <c r="AI32" s="23">
        <v>75</v>
      </c>
      <c r="AJ32" s="18" t="str">
        <f t="shared" si="11"/>
        <v>Mencapai kompetensi dengan baik dalam hal</v>
      </c>
      <c r="AK32" s="23">
        <v>69</v>
      </c>
      <c r="AL32" s="18" t="str">
        <f t="shared" si="12"/>
        <v>Perlu peningkatan dalam hal</v>
      </c>
      <c r="AM32" s="23">
        <v>71</v>
      </c>
      <c r="AN32" s="18" t="str">
        <f t="shared" si="13"/>
        <v>Perlu peningkatan dalam hal</v>
      </c>
      <c r="AO32" s="118">
        <f t="shared" si="19"/>
        <v>75.400000000000006</v>
      </c>
      <c r="AP32" s="23">
        <v>78</v>
      </c>
      <c r="AQ32" s="18" t="str">
        <f t="shared" si="14"/>
        <v>Mencapai kompetensi dengan baik dalam hal</v>
      </c>
      <c r="AR32" s="23">
        <v>78</v>
      </c>
      <c r="AS32" s="18" t="str">
        <f t="shared" si="15"/>
        <v>Mencapai kompetensi dengan baik dalam hal</v>
      </c>
      <c r="AT32" s="113">
        <v>2</v>
      </c>
      <c r="AU32" s="113" t="s">
        <v>81</v>
      </c>
      <c r="AV32" s="113">
        <v>2</v>
      </c>
      <c r="AW32" s="7">
        <v>1</v>
      </c>
      <c r="AX32" s="12" t="s">
        <v>82</v>
      </c>
      <c r="AY32" s="17" t="s">
        <v>83</v>
      </c>
      <c r="AZ32" s="12" t="s">
        <v>84</v>
      </c>
      <c r="BA32" s="15" t="str">
        <f t="shared" si="16"/>
        <v>Baik</v>
      </c>
      <c r="BB32" s="7">
        <v>2</v>
      </c>
      <c r="BC32" s="17" t="s">
        <v>108</v>
      </c>
      <c r="BD32" s="18" t="s">
        <v>83</v>
      </c>
      <c r="BE32" s="7" t="s">
        <v>86</v>
      </c>
      <c r="BF32" s="15" t="str">
        <f t="shared" si="17"/>
        <v>Sangat baik</v>
      </c>
      <c r="BG32" s="7"/>
      <c r="BH32" s="7"/>
      <c r="BI32" s="7"/>
      <c r="BJ32" s="7"/>
      <c r="BK32" s="15"/>
      <c r="BM32" s="20"/>
      <c r="BN32" s="20"/>
    </row>
    <row r="33" spans="1:66" ht="24.95" customHeight="1" thickTop="1" thickBot="1" x14ac:dyDescent="0.3">
      <c r="A33" s="23">
        <v>32</v>
      </c>
      <c r="B33" s="23">
        <v>2525506</v>
      </c>
      <c r="C33" s="23" t="s">
        <v>1214</v>
      </c>
      <c r="D33" s="18" t="s">
        <v>1215</v>
      </c>
      <c r="E33" s="23" t="s">
        <v>1150</v>
      </c>
      <c r="F33" s="23" t="s">
        <v>1151</v>
      </c>
      <c r="G33" s="23" t="s">
        <v>1152</v>
      </c>
      <c r="H33" s="23" t="s">
        <v>1153</v>
      </c>
      <c r="I33" s="60" t="s">
        <v>76</v>
      </c>
      <c r="J33" s="61" t="s">
        <v>77</v>
      </c>
      <c r="K33" s="23">
        <v>82</v>
      </c>
      <c r="L33" s="18" t="str">
        <f t="shared" si="0"/>
        <v>Mencapai kompetensi dengan baik dalam hal</v>
      </c>
      <c r="M33" s="23">
        <v>77</v>
      </c>
      <c r="N33" s="18" t="str">
        <f t="shared" si="1"/>
        <v>Mencapai kompetensi dengan baik dalam hal</v>
      </c>
      <c r="O33" s="23">
        <v>81</v>
      </c>
      <c r="P33" s="18" t="str">
        <f t="shared" si="2"/>
        <v>Mencapai kompetensi dengan baik dalam hal</v>
      </c>
      <c r="Q33" s="23">
        <v>80</v>
      </c>
      <c r="R33" s="18" t="str">
        <f t="shared" si="3"/>
        <v>Mencapai kompetensi dengan baik dalam hal</v>
      </c>
      <c r="S33" s="23">
        <v>79</v>
      </c>
      <c r="T33" s="18" t="str">
        <f t="shared" si="4"/>
        <v>Mencapai kompetensi dengan baik dalam hal</v>
      </c>
      <c r="U33" s="23">
        <v>78</v>
      </c>
      <c r="V33" s="18" t="str">
        <f t="shared" si="5"/>
        <v>Mencapai kompetensi dengan baik dalam hal</v>
      </c>
      <c r="W33" s="23">
        <v>78</v>
      </c>
      <c r="X33" s="18" t="str">
        <f t="shared" si="6"/>
        <v>Mencapai kompetensi dengan baik dalam hal</v>
      </c>
      <c r="Y33" s="23">
        <v>80</v>
      </c>
      <c r="Z33" s="18" t="str">
        <f t="shared" si="7"/>
        <v>Mencapai kompetensi dengan baik dalam hal</v>
      </c>
      <c r="AA33" s="23">
        <v>80</v>
      </c>
      <c r="AB33" s="18" t="str">
        <f t="shared" si="8"/>
        <v>Mencapai kompetensi dengan baik dalam hal</v>
      </c>
      <c r="AC33" s="23">
        <v>77</v>
      </c>
      <c r="AD33" s="18" t="str">
        <f t="shared" si="18"/>
        <v>Mencapai kompetensi dengan baik dalam hal</v>
      </c>
      <c r="AE33" s="23">
        <v>76</v>
      </c>
      <c r="AF33" s="18" t="str">
        <f t="shared" si="9"/>
        <v>Mencapai kompetensi dengan baik dalam hal</v>
      </c>
      <c r="AG33" s="23">
        <v>84</v>
      </c>
      <c r="AH33" s="18" t="str">
        <f t="shared" si="10"/>
        <v>Mencapai kompetensi dengan baik dalam hal</v>
      </c>
      <c r="AI33" s="23">
        <v>76</v>
      </c>
      <c r="AJ33" s="18" t="str">
        <f t="shared" si="11"/>
        <v>Mencapai kompetensi dengan baik dalam hal</v>
      </c>
      <c r="AK33" s="23">
        <v>79</v>
      </c>
      <c r="AL33" s="18" t="str">
        <f t="shared" si="12"/>
        <v>Mencapai kompetensi dengan baik dalam hal</v>
      </c>
      <c r="AM33" s="23">
        <v>74</v>
      </c>
      <c r="AN33" s="18" t="str">
        <f t="shared" si="13"/>
        <v>Perlu peningkatan dalam hal</v>
      </c>
      <c r="AO33" s="118">
        <f t="shared" si="19"/>
        <v>77.8</v>
      </c>
      <c r="AP33" s="23">
        <v>80</v>
      </c>
      <c r="AQ33" s="18" t="str">
        <f t="shared" si="14"/>
        <v>Mencapai kompetensi dengan baik dalam hal</v>
      </c>
      <c r="AR33" s="23">
        <v>79</v>
      </c>
      <c r="AS33" s="18" t="str">
        <f t="shared" si="15"/>
        <v>Mencapai kompetensi dengan baik dalam hal</v>
      </c>
      <c r="AT33" s="113">
        <v>2</v>
      </c>
      <c r="AU33" s="113" t="s">
        <v>81</v>
      </c>
      <c r="AV33" s="113" t="s">
        <v>81</v>
      </c>
      <c r="AW33" s="7">
        <v>1</v>
      </c>
      <c r="AX33" s="12" t="s">
        <v>82</v>
      </c>
      <c r="AY33" s="17" t="s">
        <v>83</v>
      </c>
      <c r="AZ33" s="12" t="s">
        <v>84</v>
      </c>
      <c r="BA33" s="15" t="str">
        <f t="shared" si="16"/>
        <v>Baik</v>
      </c>
      <c r="BB33" s="7">
        <v>2</v>
      </c>
      <c r="BC33" s="17" t="s">
        <v>99</v>
      </c>
      <c r="BD33" s="18" t="s">
        <v>83</v>
      </c>
      <c r="BE33" s="7" t="s">
        <v>84</v>
      </c>
      <c r="BF33" s="15" t="str">
        <f t="shared" si="17"/>
        <v>Baik</v>
      </c>
      <c r="BG33" s="7"/>
      <c r="BH33" s="7"/>
      <c r="BI33" s="7"/>
      <c r="BJ33" s="7"/>
      <c r="BK33" s="15"/>
      <c r="BM33" s="20"/>
      <c r="BN33" s="20"/>
    </row>
    <row r="34" spans="1:66" ht="24.95" customHeight="1" thickTop="1" thickBot="1" x14ac:dyDescent="0.3">
      <c r="A34" s="23">
        <v>33</v>
      </c>
      <c r="B34" s="23">
        <v>2525507</v>
      </c>
      <c r="C34" s="23" t="s">
        <v>1216</v>
      </c>
      <c r="D34" s="18" t="s">
        <v>1217</v>
      </c>
      <c r="E34" s="23" t="s">
        <v>1150</v>
      </c>
      <c r="F34" s="23" t="s">
        <v>1151</v>
      </c>
      <c r="G34" s="23" t="s">
        <v>1152</v>
      </c>
      <c r="H34" s="23" t="s">
        <v>1153</v>
      </c>
      <c r="I34" s="60" t="s">
        <v>76</v>
      </c>
      <c r="J34" s="61" t="s">
        <v>77</v>
      </c>
      <c r="K34" s="23">
        <v>80</v>
      </c>
      <c r="L34" s="18" t="str">
        <f t="shared" si="0"/>
        <v>Mencapai kompetensi dengan baik dalam hal</v>
      </c>
      <c r="M34" s="23">
        <v>77</v>
      </c>
      <c r="N34" s="18" t="str">
        <f t="shared" si="1"/>
        <v>Mencapai kompetensi dengan baik dalam hal</v>
      </c>
      <c r="O34" s="23">
        <v>82</v>
      </c>
      <c r="P34" s="18" t="str">
        <f t="shared" si="2"/>
        <v>Mencapai kompetensi dengan baik dalam hal</v>
      </c>
      <c r="Q34" s="23">
        <v>80</v>
      </c>
      <c r="R34" s="18" t="str">
        <f t="shared" si="3"/>
        <v>Mencapai kompetensi dengan baik dalam hal</v>
      </c>
      <c r="S34" s="23">
        <v>79</v>
      </c>
      <c r="T34" s="18" t="str">
        <f t="shared" si="4"/>
        <v>Mencapai kompetensi dengan baik dalam hal</v>
      </c>
      <c r="U34" s="23">
        <v>84</v>
      </c>
      <c r="V34" s="18" t="str">
        <f t="shared" si="5"/>
        <v>Mencapai kompetensi dengan baik dalam hal</v>
      </c>
      <c r="W34" s="23">
        <v>82</v>
      </c>
      <c r="X34" s="18" t="str">
        <f t="shared" si="6"/>
        <v>Mencapai kompetensi dengan baik dalam hal</v>
      </c>
      <c r="Y34" s="23">
        <v>82</v>
      </c>
      <c r="Z34" s="18" t="str">
        <f t="shared" si="7"/>
        <v>Mencapai kompetensi dengan baik dalam hal</v>
      </c>
      <c r="AA34" s="23">
        <v>78</v>
      </c>
      <c r="AB34" s="18" t="str">
        <f t="shared" si="8"/>
        <v>Mencapai kompetensi dengan baik dalam hal</v>
      </c>
      <c r="AC34" s="23">
        <v>80</v>
      </c>
      <c r="AD34" s="18" t="str">
        <f t="shared" si="18"/>
        <v>Mencapai kompetensi dengan baik dalam hal</v>
      </c>
      <c r="AE34" s="23">
        <v>82</v>
      </c>
      <c r="AF34" s="18" t="str">
        <f t="shared" si="9"/>
        <v>Mencapai kompetensi dengan baik dalam hal</v>
      </c>
      <c r="AG34" s="23">
        <v>86</v>
      </c>
      <c r="AH34" s="18" t="str">
        <f t="shared" si="10"/>
        <v>Mencapai kompetensi dengan baik dalam hal</v>
      </c>
      <c r="AI34" s="23">
        <v>81</v>
      </c>
      <c r="AJ34" s="18" t="str">
        <f t="shared" si="11"/>
        <v>Mencapai kompetensi dengan baik dalam hal</v>
      </c>
      <c r="AK34" s="23">
        <v>84</v>
      </c>
      <c r="AL34" s="18" t="str">
        <f t="shared" si="12"/>
        <v>Mencapai kompetensi dengan baik dalam hal</v>
      </c>
      <c r="AM34" s="23">
        <v>75</v>
      </c>
      <c r="AN34" s="18" t="str">
        <f t="shared" si="13"/>
        <v>Mencapai kompetensi dengan baik dalam hal</v>
      </c>
      <c r="AO34" s="118">
        <f t="shared" si="19"/>
        <v>81.599999999999994</v>
      </c>
      <c r="AP34" s="23">
        <v>78</v>
      </c>
      <c r="AQ34" s="18" t="str">
        <f t="shared" si="14"/>
        <v>Mencapai kompetensi dengan baik dalam hal</v>
      </c>
      <c r="AR34" s="23">
        <v>80</v>
      </c>
      <c r="AS34" s="18" t="str">
        <f t="shared" si="15"/>
        <v>Mencapai kompetensi dengan baik dalam hal</v>
      </c>
      <c r="AT34" s="113" t="s">
        <v>81</v>
      </c>
      <c r="AU34" s="113" t="s">
        <v>81</v>
      </c>
      <c r="AV34" s="113" t="s">
        <v>81</v>
      </c>
      <c r="AW34" s="7">
        <v>1</v>
      </c>
      <c r="AX34" s="12" t="s">
        <v>82</v>
      </c>
      <c r="AY34" s="17" t="s">
        <v>83</v>
      </c>
      <c r="AZ34" s="12" t="s">
        <v>86</v>
      </c>
      <c r="BA34" s="15" t="str">
        <f t="shared" ref="BA34:BA65" si="20">VLOOKUP(AZ34,grades4,2,TRUE)</f>
        <v>Sangat baik</v>
      </c>
      <c r="BB34" s="7">
        <v>2</v>
      </c>
      <c r="BC34" s="17" t="s">
        <v>162</v>
      </c>
      <c r="BD34" s="18" t="s">
        <v>83</v>
      </c>
      <c r="BE34" s="7" t="s">
        <v>86</v>
      </c>
      <c r="BF34" s="15" t="str">
        <f t="shared" ref="BF34:BF65" si="21">VLOOKUP(BE34,grades4,2,TRUE)</f>
        <v>Sangat baik</v>
      </c>
      <c r="BG34" s="7">
        <v>3</v>
      </c>
      <c r="BH34" s="7" t="s">
        <v>87</v>
      </c>
      <c r="BI34" s="7" t="s">
        <v>83</v>
      </c>
      <c r="BJ34" s="7" t="s">
        <v>84</v>
      </c>
      <c r="BK34" s="15" t="str">
        <f>VLOOKUP(BJ34,grades4,2,TRUE)</f>
        <v>Baik</v>
      </c>
      <c r="BM34" s="20"/>
      <c r="BN34" s="20"/>
    </row>
    <row r="35" spans="1:66" ht="24.95" customHeight="1" thickTop="1" thickBot="1" x14ac:dyDescent="0.3">
      <c r="A35" s="23">
        <v>34</v>
      </c>
      <c r="B35" s="23">
        <v>2525508</v>
      </c>
      <c r="C35" s="23" t="s">
        <v>1218</v>
      </c>
      <c r="D35" s="18" t="s">
        <v>1219</v>
      </c>
      <c r="E35" s="23" t="s">
        <v>1150</v>
      </c>
      <c r="F35" s="23" t="s">
        <v>1151</v>
      </c>
      <c r="G35" s="23" t="s">
        <v>1152</v>
      </c>
      <c r="H35" s="23" t="s">
        <v>1153</v>
      </c>
      <c r="I35" s="60" t="s">
        <v>76</v>
      </c>
      <c r="J35" s="61" t="s">
        <v>77</v>
      </c>
      <c r="K35" s="23">
        <v>80</v>
      </c>
      <c r="L35" s="18" t="str">
        <f t="shared" si="0"/>
        <v>Mencapai kompetensi dengan baik dalam hal</v>
      </c>
      <c r="M35" s="23">
        <v>78</v>
      </c>
      <c r="N35" s="18" t="str">
        <f t="shared" si="1"/>
        <v>Mencapai kompetensi dengan baik dalam hal</v>
      </c>
      <c r="O35" s="23">
        <v>81</v>
      </c>
      <c r="P35" s="18" t="str">
        <f t="shared" si="2"/>
        <v>Mencapai kompetensi dengan baik dalam hal</v>
      </c>
      <c r="Q35" s="23">
        <v>80</v>
      </c>
      <c r="R35" s="18" t="str">
        <f t="shared" si="3"/>
        <v>Mencapai kompetensi dengan baik dalam hal</v>
      </c>
      <c r="S35" s="23">
        <v>77</v>
      </c>
      <c r="T35" s="18" t="str">
        <f t="shared" si="4"/>
        <v>Mencapai kompetensi dengan baik dalam hal</v>
      </c>
      <c r="U35" s="23">
        <v>80</v>
      </c>
      <c r="V35" s="18" t="str">
        <f t="shared" si="5"/>
        <v>Mencapai kompetensi dengan baik dalam hal</v>
      </c>
      <c r="W35" s="23">
        <v>76</v>
      </c>
      <c r="X35" s="18" t="str">
        <f t="shared" si="6"/>
        <v>Mencapai kompetensi dengan baik dalam hal</v>
      </c>
      <c r="Y35" s="23">
        <v>78</v>
      </c>
      <c r="Z35" s="18" t="str">
        <f t="shared" si="7"/>
        <v>Mencapai kompetensi dengan baik dalam hal</v>
      </c>
      <c r="AA35" s="23">
        <v>78</v>
      </c>
      <c r="AB35" s="18" t="str">
        <f t="shared" si="8"/>
        <v>Mencapai kompetensi dengan baik dalam hal</v>
      </c>
      <c r="AC35" s="23">
        <v>75</v>
      </c>
      <c r="AD35" s="18" t="str">
        <f t="shared" si="18"/>
        <v>Mencapai kompetensi dengan baik dalam hal</v>
      </c>
      <c r="AE35" s="23">
        <v>75</v>
      </c>
      <c r="AF35" s="18" t="str">
        <f t="shared" si="9"/>
        <v>Mencapai kompetensi dengan baik dalam hal</v>
      </c>
      <c r="AG35" s="23">
        <v>75</v>
      </c>
      <c r="AH35" s="18" t="str">
        <f t="shared" si="10"/>
        <v>Mencapai kompetensi dengan baik dalam hal</v>
      </c>
      <c r="AI35" s="23">
        <v>75</v>
      </c>
      <c r="AJ35" s="18" t="str">
        <f t="shared" si="11"/>
        <v>Mencapai kompetensi dengan baik dalam hal</v>
      </c>
      <c r="AK35" s="23">
        <v>78</v>
      </c>
      <c r="AL35" s="18" t="str">
        <f t="shared" si="12"/>
        <v>Mencapai kompetensi dengan baik dalam hal</v>
      </c>
      <c r="AM35" s="23">
        <v>75</v>
      </c>
      <c r="AN35" s="18" t="str">
        <f t="shared" si="13"/>
        <v>Mencapai kompetensi dengan baik dalam hal</v>
      </c>
      <c r="AO35" s="118">
        <f t="shared" si="19"/>
        <v>75.599999999999994</v>
      </c>
      <c r="AP35" s="23">
        <v>78</v>
      </c>
      <c r="AQ35" s="18" t="str">
        <f t="shared" si="14"/>
        <v>Mencapai kompetensi dengan baik dalam hal</v>
      </c>
      <c r="AR35" s="23">
        <v>80</v>
      </c>
      <c r="AS35" s="18" t="str">
        <f t="shared" si="15"/>
        <v>Mencapai kompetensi dengan baik dalam hal</v>
      </c>
      <c r="AT35" s="113" t="s">
        <v>81</v>
      </c>
      <c r="AU35" s="113" t="s">
        <v>81</v>
      </c>
      <c r="AV35" s="113" t="s">
        <v>81</v>
      </c>
      <c r="AW35" s="7">
        <v>1</v>
      </c>
      <c r="AX35" s="12" t="s">
        <v>82</v>
      </c>
      <c r="AY35" s="17" t="s">
        <v>83</v>
      </c>
      <c r="AZ35" s="12" t="s">
        <v>86</v>
      </c>
      <c r="BA35" s="15" t="str">
        <f t="shared" si="20"/>
        <v>Sangat baik</v>
      </c>
      <c r="BB35" s="7">
        <v>2</v>
      </c>
      <c r="BC35" s="17" t="s">
        <v>170</v>
      </c>
      <c r="BD35" s="18" t="s">
        <v>83</v>
      </c>
      <c r="BE35" s="7" t="s">
        <v>104</v>
      </c>
      <c r="BF35" s="15" t="str">
        <f t="shared" si="21"/>
        <v>Cukup</v>
      </c>
      <c r="BG35" s="7"/>
      <c r="BH35" s="7"/>
      <c r="BI35" s="7"/>
      <c r="BJ35" s="7"/>
      <c r="BK35" s="15"/>
      <c r="BM35" s="20"/>
      <c r="BN35" s="20"/>
    </row>
    <row r="36" spans="1:66" s="130" customFormat="1" ht="24.95" customHeight="1" thickTop="1" thickBot="1" x14ac:dyDescent="0.3">
      <c r="A36" s="120">
        <v>35</v>
      </c>
      <c r="B36" s="120">
        <v>2525509</v>
      </c>
      <c r="C36" s="120" t="s">
        <v>1220</v>
      </c>
      <c r="D36" s="121" t="s">
        <v>1221</v>
      </c>
      <c r="E36" s="120" t="s">
        <v>1150</v>
      </c>
      <c r="F36" s="120" t="s">
        <v>1151</v>
      </c>
      <c r="G36" s="120" t="s">
        <v>1152</v>
      </c>
      <c r="H36" s="120" t="s">
        <v>1153</v>
      </c>
      <c r="I36" s="122" t="s">
        <v>76</v>
      </c>
      <c r="J36" s="123" t="s">
        <v>77</v>
      </c>
      <c r="K36" s="120">
        <v>80</v>
      </c>
      <c r="L36" s="121" t="str">
        <f t="shared" si="0"/>
        <v>Mencapai kompetensi dengan baik dalam hal</v>
      </c>
      <c r="M36" s="120">
        <v>77</v>
      </c>
      <c r="N36" s="121" t="str">
        <f t="shared" si="1"/>
        <v>Mencapai kompetensi dengan baik dalam hal</v>
      </c>
      <c r="O36" s="120">
        <v>80</v>
      </c>
      <c r="P36" s="121" t="str">
        <f t="shared" si="2"/>
        <v>Mencapai kompetensi dengan baik dalam hal</v>
      </c>
      <c r="Q36" s="120">
        <v>80</v>
      </c>
      <c r="R36" s="121" t="str">
        <f t="shared" si="3"/>
        <v>Mencapai kompetensi dengan baik dalam hal</v>
      </c>
      <c r="S36" s="120">
        <v>77</v>
      </c>
      <c r="T36" s="121" t="str">
        <f t="shared" si="4"/>
        <v>Mencapai kompetensi dengan baik dalam hal</v>
      </c>
      <c r="U36" s="120">
        <v>78</v>
      </c>
      <c r="V36" s="121" t="str">
        <f t="shared" si="5"/>
        <v>Mencapai kompetensi dengan baik dalam hal</v>
      </c>
      <c r="W36" s="120">
        <v>78</v>
      </c>
      <c r="X36" s="121" t="str">
        <f t="shared" si="6"/>
        <v>Mencapai kompetensi dengan baik dalam hal</v>
      </c>
      <c r="Y36" s="120">
        <v>76</v>
      </c>
      <c r="Z36" s="121" t="str">
        <f t="shared" si="7"/>
        <v>Mencapai kompetensi dengan baik dalam hal</v>
      </c>
      <c r="AA36" s="120">
        <v>78</v>
      </c>
      <c r="AB36" s="121" t="str">
        <f t="shared" si="8"/>
        <v>Mencapai kompetensi dengan baik dalam hal</v>
      </c>
      <c r="AC36" s="120">
        <v>75</v>
      </c>
      <c r="AD36" s="121" t="str">
        <f t="shared" si="18"/>
        <v>Mencapai kompetensi dengan baik dalam hal</v>
      </c>
      <c r="AE36" s="120">
        <v>75</v>
      </c>
      <c r="AF36" s="121" t="str">
        <f t="shared" si="9"/>
        <v>Mencapai kompetensi dengan baik dalam hal</v>
      </c>
      <c r="AG36" s="120">
        <v>75</v>
      </c>
      <c r="AH36" s="121" t="str">
        <f t="shared" si="10"/>
        <v>Mencapai kompetensi dengan baik dalam hal</v>
      </c>
      <c r="AI36" s="120">
        <v>75</v>
      </c>
      <c r="AJ36" s="121" t="str">
        <f t="shared" si="11"/>
        <v>Mencapai kompetensi dengan baik dalam hal</v>
      </c>
      <c r="AK36" s="120">
        <v>77</v>
      </c>
      <c r="AL36" s="121" t="str">
        <f t="shared" si="12"/>
        <v>Mencapai kompetensi dengan baik dalam hal</v>
      </c>
      <c r="AM36" s="120">
        <v>73</v>
      </c>
      <c r="AN36" s="121" t="str">
        <f t="shared" si="13"/>
        <v>Perlu peningkatan dalam hal</v>
      </c>
      <c r="AO36" s="124">
        <f t="shared" si="19"/>
        <v>75</v>
      </c>
      <c r="AP36" s="120">
        <v>78</v>
      </c>
      <c r="AQ36" s="121" t="str">
        <f t="shared" si="14"/>
        <v>Mencapai kompetensi dengan baik dalam hal</v>
      </c>
      <c r="AR36" s="120">
        <v>79</v>
      </c>
      <c r="AS36" s="121" t="str">
        <f t="shared" si="15"/>
        <v>Mencapai kompetensi dengan baik dalam hal</v>
      </c>
      <c r="AT36" s="125" t="s">
        <v>81</v>
      </c>
      <c r="AU36" s="125" t="s">
        <v>81</v>
      </c>
      <c r="AV36" s="125" t="s">
        <v>81</v>
      </c>
      <c r="AW36" s="126">
        <v>1</v>
      </c>
      <c r="AX36" s="127" t="s">
        <v>82</v>
      </c>
      <c r="AY36" s="128" t="s">
        <v>83</v>
      </c>
      <c r="AZ36" s="127" t="s">
        <v>86</v>
      </c>
      <c r="BA36" s="129" t="str">
        <f t="shared" si="20"/>
        <v>Sangat baik</v>
      </c>
      <c r="BB36" s="126">
        <v>2</v>
      </c>
      <c r="BC36" s="128" t="s">
        <v>170</v>
      </c>
      <c r="BD36" s="121" t="s">
        <v>83</v>
      </c>
      <c r="BE36" s="126" t="s">
        <v>104</v>
      </c>
      <c r="BF36" s="129" t="str">
        <f t="shared" si="21"/>
        <v>Cukup</v>
      </c>
      <c r="BG36" s="126"/>
      <c r="BH36" s="126"/>
      <c r="BI36" s="126"/>
      <c r="BJ36" s="126"/>
      <c r="BK36" s="129"/>
      <c r="BM36" s="131"/>
      <c r="BN36" s="131"/>
    </row>
    <row r="37" spans="1:66" ht="24.95" customHeight="1" thickTop="1" thickBot="1" x14ac:dyDescent="0.3">
      <c r="A37" s="23">
        <v>36</v>
      </c>
      <c r="B37" s="23">
        <v>2525510</v>
      </c>
      <c r="C37" s="23" t="s">
        <v>1222</v>
      </c>
      <c r="D37" s="18" t="s">
        <v>1223</v>
      </c>
      <c r="E37" s="23" t="s">
        <v>1224</v>
      </c>
      <c r="F37" s="23" t="s">
        <v>1151</v>
      </c>
      <c r="G37" s="23" t="s">
        <v>1225</v>
      </c>
      <c r="H37" s="23" t="s">
        <v>1226</v>
      </c>
      <c r="I37" s="60" t="s">
        <v>76</v>
      </c>
      <c r="J37" s="61" t="s">
        <v>77</v>
      </c>
      <c r="K37" s="23">
        <v>80</v>
      </c>
      <c r="L37" s="18" t="str">
        <f t="shared" si="0"/>
        <v>Mencapai kompetensi dengan baik dalam hal</v>
      </c>
      <c r="M37" s="23">
        <v>78</v>
      </c>
      <c r="N37" s="18" t="str">
        <f t="shared" si="1"/>
        <v>Mencapai kompetensi dengan baik dalam hal</v>
      </c>
      <c r="O37" s="23">
        <v>82</v>
      </c>
      <c r="P37" s="18" t="str">
        <f t="shared" si="2"/>
        <v>Mencapai kompetensi dengan baik dalam hal</v>
      </c>
      <c r="Q37" s="23">
        <v>80</v>
      </c>
      <c r="R37" s="18" t="str">
        <f t="shared" si="3"/>
        <v>Mencapai kompetensi dengan baik dalam hal</v>
      </c>
      <c r="S37" s="23">
        <v>85</v>
      </c>
      <c r="T37" s="18" t="str">
        <f t="shared" si="4"/>
        <v>Mencapai kompetensi dengan baik dalam hal</v>
      </c>
      <c r="U37" s="23">
        <v>82</v>
      </c>
      <c r="V37" s="18" t="str">
        <f t="shared" si="5"/>
        <v>Mencapai kompetensi dengan baik dalam hal</v>
      </c>
      <c r="W37" s="23">
        <v>81</v>
      </c>
      <c r="X37" s="18" t="str">
        <f t="shared" si="6"/>
        <v>Mencapai kompetensi dengan baik dalam hal</v>
      </c>
      <c r="Y37" s="23">
        <v>80</v>
      </c>
      <c r="Z37" s="18" t="str">
        <f t="shared" si="7"/>
        <v>Mencapai kompetensi dengan baik dalam hal</v>
      </c>
      <c r="AA37" s="23">
        <v>89</v>
      </c>
      <c r="AB37" s="18" t="str">
        <f t="shared" si="8"/>
        <v>Mencapai kompetensi dengan baik dalam hal</v>
      </c>
      <c r="AC37" s="23">
        <v>83</v>
      </c>
      <c r="AD37" s="18" t="str">
        <f t="shared" si="18"/>
        <v>Mencapai kompetensi dengan baik dalam hal</v>
      </c>
      <c r="AE37" s="23">
        <v>85</v>
      </c>
      <c r="AF37" s="18" t="str">
        <f t="shared" si="9"/>
        <v>Mencapai kompetensi dengan baik dalam hal</v>
      </c>
      <c r="AG37" s="23">
        <v>85</v>
      </c>
      <c r="AH37" s="18" t="str">
        <f t="shared" si="10"/>
        <v>Mencapai kompetensi dengan baik dalam hal</v>
      </c>
      <c r="AI37" s="23">
        <v>85</v>
      </c>
      <c r="AJ37" s="18" t="str">
        <f t="shared" si="11"/>
        <v>Mencapai kompetensi dengan baik dalam hal</v>
      </c>
      <c r="AK37" s="23">
        <v>81</v>
      </c>
      <c r="AL37" s="18" t="str">
        <f t="shared" si="12"/>
        <v>Mencapai kompetensi dengan baik dalam hal</v>
      </c>
      <c r="AM37" s="23">
        <v>81</v>
      </c>
      <c r="AN37" s="18" t="str">
        <f t="shared" si="13"/>
        <v>Mencapai kompetensi dengan baik dalam hal</v>
      </c>
      <c r="AO37" s="118">
        <f t="shared" si="19"/>
        <v>83.4</v>
      </c>
      <c r="AP37" s="23">
        <v>89</v>
      </c>
      <c r="AQ37" s="18" t="str">
        <f t="shared" si="14"/>
        <v>Mencapai kompetensi dengan baik dalam hal</v>
      </c>
      <c r="AR37" s="23">
        <v>80</v>
      </c>
      <c r="AS37" s="18" t="str">
        <f t="shared" si="15"/>
        <v>Mencapai kompetensi dengan baik dalam hal</v>
      </c>
      <c r="AT37" s="113">
        <v>3</v>
      </c>
      <c r="AU37" s="113" t="s">
        <v>81</v>
      </c>
      <c r="AV37" s="113" t="s">
        <v>81</v>
      </c>
      <c r="AW37" s="7">
        <v>1</v>
      </c>
      <c r="AX37" s="12" t="s">
        <v>82</v>
      </c>
      <c r="AY37" s="17" t="s">
        <v>83</v>
      </c>
      <c r="AZ37" s="12" t="s">
        <v>84</v>
      </c>
      <c r="BA37" s="15" t="str">
        <f t="shared" si="20"/>
        <v>Baik</v>
      </c>
      <c r="BB37" s="7">
        <v>2</v>
      </c>
      <c r="BC37" s="17" t="s">
        <v>119</v>
      </c>
      <c r="BD37" s="18" t="s">
        <v>83</v>
      </c>
      <c r="BE37" s="7" t="s">
        <v>86</v>
      </c>
      <c r="BF37" s="15" t="str">
        <f t="shared" si="21"/>
        <v>Sangat baik</v>
      </c>
      <c r="BG37" s="7"/>
      <c r="BH37" s="7"/>
      <c r="BI37" s="7"/>
      <c r="BJ37" s="7"/>
      <c r="BK37" s="15"/>
      <c r="BM37" s="20"/>
      <c r="BN37" s="20"/>
    </row>
    <row r="38" spans="1:66" ht="24.95" customHeight="1" thickTop="1" thickBot="1" x14ac:dyDescent="0.3">
      <c r="A38" s="23">
        <v>37</v>
      </c>
      <c r="B38" s="23">
        <v>2525511</v>
      </c>
      <c r="C38" s="23" t="s">
        <v>1227</v>
      </c>
      <c r="D38" s="18" t="s">
        <v>1228</v>
      </c>
      <c r="E38" s="23" t="s">
        <v>1224</v>
      </c>
      <c r="F38" s="23" t="s">
        <v>1151</v>
      </c>
      <c r="G38" s="23" t="s">
        <v>1225</v>
      </c>
      <c r="H38" s="23" t="s">
        <v>1226</v>
      </c>
      <c r="I38" s="60" t="s">
        <v>76</v>
      </c>
      <c r="J38" s="61" t="s">
        <v>77</v>
      </c>
      <c r="K38" s="23">
        <v>79</v>
      </c>
      <c r="L38" s="18" t="str">
        <f t="shared" si="0"/>
        <v>Mencapai kompetensi dengan baik dalam hal</v>
      </c>
      <c r="M38" s="23">
        <v>77</v>
      </c>
      <c r="N38" s="18" t="str">
        <f t="shared" si="1"/>
        <v>Mencapai kompetensi dengan baik dalam hal</v>
      </c>
      <c r="O38" s="23">
        <v>78</v>
      </c>
      <c r="P38" s="18" t="str">
        <f t="shared" si="2"/>
        <v>Mencapai kompetensi dengan baik dalam hal</v>
      </c>
      <c r="Q38" s="23">
        <v>79</v>
      </c>
      <c r="R38" s="18" t="str">
        <f t="shared" si="3"/>
        <v>Mencapai kompetensi dengan baik dalam hal</v>
      </c>
      <c r="S38" s="23">
        <v>75</v>
      </c>
      <c r="T38" s="18" t="str">
        <f t="shared" si="4"/>
        <v>Mencapai kompetensi dengan baik dalam hal</v>
      </c>
      <c r="U38" s="23">
        <v>78</v>
      </c>
      <c r="V38" s="18" t="str">
        <f t="shared" si="5"/>
        <v>Mencapai kompetensi dengan baik dalam hal</v>
      </c>
      <c r="W38" s="23">
        <v>79</v>
      </c>
      <c r="X38" s="18" t="str">
        <f t="shared" si="6"/>
        <v>Mencapai kompetensi dengan baik dalam hal</v>
      </c>
      <c r="Y38" s="23">
        <v>76</v>
      </c>
      <c r="Z38" s="18" t="str">
        <f t="shared" si="7"/>
        <v>Mencapai kompetensi dengan baik dalam hal</v>
      </c>
      <c r="AA38" s="23">
        <v>76</v>
      </c>
      <c r="AB38" s="18" t="str">
        <f t="shared" si="8"/>
        <v>Mencapai kompetensi dengan baik dalam hal</v>
      </c>
      <c r="AC38" s="23">
        <v>75</v>
      </c>
      <c r="AD38" s="18" t="str">
        <f t="shared" si="18"/>
        <v>Mencapai kompetensi dengan baik dalam hal</v>
      </c>
      <c r="AE38" s="23">
        <v>72</v>
      </c>
      <c r="AF38" s="18" t="str">
        <f t="shared" si="9"/>
        <v>Perlu peningkatan dalam hal</v>
      </c>
      <c r="AG38" s="23">
        <v>81</v>
      </c>
      <c r="AH38" s="18" t="str">
        <f t="shared" si="10"/>
        <v>Mencapai kompetensi dengan baik dalam hal</v>
      </c>
      <c r="AI38" s="23">
        <v>75</v>
      </c>
      <c r="AJ38" s="18" t="str">
        <f t="shared" si="11"/>
        <v>Mencapai kompetensi dengan baik dalam hal</v>
      </c>
      <c r="AK38" s="23">
        <v>75</v>
      </c>
      <c r="AL38" s="18" t="str">
        <f t="shared" si="12"/>
        <v>Mencapai kompetensi dengan baik dalam hal</v>
      </c>
      <c r="AM38" s="23">
        <v>77</v>
      </c>
      <c r="AN38" s="18" t="str">
        <f t="shared" si="13"/>
        <v>Mencapai kompetensi dengan baik dalam hal</v>
      </c>
      <c r="AO38" s="118">
        <f t="shared" si="19"/>
        <v>76</v>
      </c>
      <c r="AP38" s="23">
        <v>76</v>
      </c>
      <c r="AQ38" s="18" t="str">
        <f t="shared" si="14"/>
        <v>Mencapai kompetensi dengan baik dalam hal</v>
      </c>
      <c r="AR38" s="23">
        <v>78</v>
      </c>
      <c r="AS38" s="18" t="str">
        <f t="shared" si="15"/>
        <v>Mencapai kompetensi dengan baik dalam hal</v>
      </c>
      <c r="AT38" s="113">
        <v>1</v>
      </c>
      <c r="AU38" s="113" t="s">
        <v>81</v>
      </c>
      <c r="AV38" s="113" t="s">
        <v>81</v>
      </c>
      <c r="AW38" s="7">
        <v>1</v>
      </c>
      <c r="AX38" s="12" t="s">
        <v>82</v>
      </c>
      <c r="AY38" s="17" t="s">
        <v>83</v>
      </c>
      <c r="AZ38" s="12" t="s">
        <v>86</v>
      </c>
      <c r="BA38" s="15" t="str">
        <f t="shared" si="20"/>
        <v>Sangat baik</v>
      </c>
      <c r="BB38" s="7">
        <v>2</v>
      </c>
      <c r="BC38" s="17" t="s">
        <v>103</v>
      </c>
      <c r="BD38" s="18" t="s">
        <v>83</v>
      </c>
      <c r="BE38" s="7" t="s">
        <v>84</v>
      </c>
      <c r="BF38" s="15" t="str">
        <f t="shared" si="21"/>
        <v>Baik</v>
      </c>
      <c r="BG38" s="7"/>
      <c r="BH38" s="7"/>
      <c r="BI38" s="7"/>
      <c r="BJ38" s="7"/>
      <c r="BK38" s="15"/>
      <c r="BM38" s="20"/>
      <c r="BN38" s="20"/>
    </row>
    <row r="39" spans="1:66" ht="24.95" customHeight="1" thickTop="1" thickBot="1" x14ac:dyDescent="0.3">
      <c r="A39" s="23">
        <v>38</v>
      </c>
      <c r="B39" s="23">
        <v>2525512</v>
      </c>
      <c r="C39" s="23" t="s">
        <v>1229</v>
      </c>
      <c r="D39" s="18" t="s">
        <v>1230</v>
      </c>
      <c r="E39" s="23" t="s">
        <v>1224</v>
      </c>
      <c r="F39" s="23" t="s">
        <v>1151</v>
      </c>
      <c r="G39" s="23" t="s">
        <v>1225</v>
      </c>
      <c r="H39" s="23" t="s">
        <v>1226</v>
      </c>
      <c r="I39" s="60" t="s">
        <v>76</v>
      </c>
      <c r="J39" s="61" t="s">
        <v>77</v>
      </c>
      <c r="K39" s="23">
        <v>79</v>
      </c>
      <c r="L39" s="18" t="str">
        <f t="shared" si="0"/>
        <v>Mencapai kompetensi dengan baik dalam hal</v>
      </c>
      <c r="M39" s="23">
        <v>76</v>
      </c>
      <c r="N39" s="18" t="str">
        <f t="shared" si="1"/>
        <v>Mencapai kompetensi dengan baik dalam hal</v>
      </c>
      <c r="O39" s="23">
        <v>78</v>
      </c>
      <c r="P39" s="18" t="str">
        <f t="shared" si="2"/>
        <v>Mencapai kompetensi dengan baik dalam hal</v>
      </c>
      <c r="Q39" s="23">
        <v>78</v>
      </c>
      <c r="R39" s="18" t="str">
        <f t="shared" si="3"/>
        <v>Mencapai kompetensi dengan baik dalam hal</v>
      </c>
      <c r="S39" s="23">
        <v>75</v>
      </c>
      <c r="T39" s="18" t="str">
        <f t="shared" si="4"/>
        <v>Mencapai kompetensi dengan baik dalam hal</v>
      </c>
      <c r="U39" s="23">
        <v>80</v>
      </c>
      <c r="V39" s="18" t="str">
        <f t="shared" si="5"/>
        <v>Mencapai kompetensi dengan baik dalam hal</v>
      </c>
      <c r="W39" s="23">
        <v>76</v>
      </c>
      <c r="X39" s="18" t="str">
        <f t="shared" si="6"/>
        <v>Mencapai kompetensi dengan baik dalam hal</v>
      </c>
      <c r="Y39" s="23">
        <v>75</v>
      </c>
      <c r="Z39" s="18" t="str">
        <f t="shared" si="7"/>
        <v>Mencapai kompetensi dengan baik dalam hal</v>
      </c>
      <c r="AA39" s="23">
        <v>76</v>
      </c>
      <c r="AB39" s="18" t="str">
        <f t="shared" si="8"/>
        <v>Mencapai kompetensi dengan baik dalam hal</v>
      </c>
      <c r="AC39" s="23">
        <v>75</v>
      </c>
      <c r="AD39" s="18" t="str">
        <f t="shared" si="18"/>
        <v>Mencapai kompetensi dengan baik dalam hal</v>
      </c>
      <c r="AE39" s="23">
        <v>75</v>
      </c>
      <c r="AF39" s="18" t="str">
        <f t="shared" si="9"/>
        <v>Mencapai kompetensi dengan baik dalam hal</v>
      </c>
      <c r="AG39" s="23">
        <v>82</v>
      </c>
      <c r="AH39" s="18" t="str">
        <f t="shared" si="10"/>
        <v>Mencapai kompetensi dengan baik dalam hal</v>
      </c>
      <c r="AI39" s="23">
        <v>79</v>
      </c>
      <c r="AJ39" s="18" t="str">
        <f t="shared" si="11"/>
        <v>Mencapai kompetensi dengan baik dalam hal</v>
      </c>
      <c r="AK39" s="23">
        <v>75</v>
      </c>
      <c r="AL39" s="18" t="str">
        <f t="shared" si="12"/>
        <v>Mencapai kompetensi dengan baik dalam hal</v>
      </c>
      <c r="AM39" s="23">
        <v>75</v>
      </c>
      <c r="AN39" s="18" t="str">
        <f t="shared" si="13"/>
        <v>Mencapai kompetensi dengan baik dalam hal</v>
      </c>
      <c r="AO39" s="118">
        <f t="shared" si="19"/>
        <v>77.2</v>
      </c>
      <c r="AP39" s="23">
        <v>76</v>
      </c>
      <c r="AQ39" s="18" t="str">
        <f t="shared" si="14"/>
        <v>Mencapai kompetensi dengan baik dalam hal</v>
      </c>
      <c r="AR39" s="23">
        <v>78</v>
      </c>
      <c r="AS39" s="18" t="str">
        <f t="shared" si="15"/>
        <v>Mencapai kompetensi dengan baik dalam hal</v>
      </c>
      <c r="AT39" s="113">
        <v>1</v>
      </c>
      <c r="AU39" s="113" t="s">
        <v>81</v>
      </c>
      <c r="AV39" s="113" t="s">
        <v>81</v>
      </c>
      <c r="AW39" s="7">
        <v>1</v>
      </c>
      <c r="AX39" s="12" t="s">
        <v>82</v>
      </c>
      <c r="AY39" s="17" t="s">
        <v>83</v>
      </c>
      <c r="AZ39" s="12" t="s">
        <v>84</v>
      </c>
      <c r="BA39" s="15" t="str">
        <f t="shared" si="20"/>
        <v>Baik</v>
      </c>
      <c r="BB39" s="7">
        <v>2</v>
      </c>
      <c r="BC39" s="17" t="s">
        <v>99</v>
      </c>
      <c r="BD39" s="18" t="s">
        <v>83</v>
      </c>
      <c r="BE39" s="7" t="s">
        <v>84</v>
      </c>
      <c r="BF39" s="15" t="str">
        <f t="shared" si="21"/>
        <v>Baik</v>
      </c>
      <c r="BG39" s="7"/>
      <c r="BH39" s="7"/>
      <c r="BI39" s="7"/>
      <c r="BJ39" s="7"/>
      <c r="BK39" s="15"/>
      <c r="BM39" s="20"/>
      <c r="BN39" s="20"/>
    </row>
    <row r="40" spans="1:66" ht="24.95" customHeight="1" thickTop="1" thickBot="1" x14ac:dyDescent="0.3">
      <c r="A40" s="23">
        <v>39</v>
      </c>
      <c r="B40" s="23">
        <v>2525513</v>
      </c>
      <c r="C40" s="23" t="s">
        <v>1231</v>
      </c>
      <c r="D40" s="18" t="s">
        <v>1232</v>
      </c>
      <c r="E40" s="23" t="s">
        <v>1224</v>
      </c>
      <c r="F40" s="23" t="s">
        <v>1151</v>
      </c>
      <c r="G40" s="23" t="s">
        <v>1225</v>
      </c>
      <c r="H40" s="23" t="s">
        <v>1226</v>
      </c>
      <c r="I40" s="60" t="s">
        <v>76</v>
      </c>
      <c r="J40" s="61" t="s">
        <v>77</v>
      </c>
      <c r="K40" s="23">
        <v>80</v>
      </c>
      <c r="L40" s="18" t="str">
        <f t="shared" si="0"/>
        <v>Mencapai kompetensi dengan baik dalam hal</v>
      </c>
      <c r="M40" s="23">
        <v>78</v>
      </c>
      <c r="N40" s="18" t="str">
        <f t="shared" si="1"/>
        <v>Mencapai kompetensi dengan baik dalam hal</v>
      </c>
      <c r="O40" s="23">
        <v>81</v>
      </c>
      <c r="P40" s="18" t="str">
        <f t="shared" si="2"/>
        <v>Mencapai kompetensi dengan baik dalam hal</v>
      </c>
      <c r="Q40" s="23">
        <v>79</v>
      </c>
      <c r="R40" s="18" t="str">
        <f t="shared" si="3"/>
        <v>Mencapai kompetensi dengan baik dalam hal</v>
      </c>
      <c r="S40" s="23">
        <v>83</v>
      </c>
      <c r="T40" s="18" t="str">
        <f t="shared" si="4"/>
        <v>Mencapai kompetensi dengan baik dalam hal</v>
      </c>
      <c r="U40" s="23">
        <v>84</v>
      </c>
      <c r="V40" s="18" t="str">
        <f t="shared" si="5"/>
        <v>Mencapai kompetensi dengan baik dalam hal</v>
      </c>
      <c r="W40" s="23">
        <v>81</v>
      </c>
      <c r="X40" s="18" t="str">
        <f t="shared" si="6"/>
        <v>Mencapai kompetensi dengan baik dalam hal</v>
      </c>
      <c r="Y40" s="23">
        <v>80</v>
      </c>
      <c r="Z40" s="18" t="str">
        <f t="shared" si="7"/>
        <v>Mencapai kompetensi dengan baik dalam hal</v>
      </c>
      <c r="AA40" s="23">
        <v>87</v>
      </c>
      <c r="AB40" s="18" t="str">
        <f t="shared" si="8"/>
        <v>Mencapai kompetensi dengan baik dalam hal</v>
      </c>
      <c r="AC40" s="23">
        <v>75</v>
      </c>
      <c r="AD40" s="18" t="str">
        <f t="shared" si="18"/>
        <v>Mencapai kompetensi dengan baik dalam hal</v>
      </c>
      <c r="AE40" s="23">
        <v>75</v>
      </c>
      <c r="AF40" s="18" t="str">
        <f t="shared" si="9"/>
        <v>Mencapai kompetensi dengan baik dalam hal</v>
      </c>
      <c r="AG40" s="23">
        <v>83</v>
      </c>
      <c r="AH40" s="18" t="str">
        <f t="shared" si="10"/>
        <v>Mencapai kompetensi dengan baik dalam hal</v>
      </c>
      <c r="AI40" s="23">
        <v>76</v>
      </c>
      <c r="AJ40" s="18" t="str">
        <f t="shared" si="11"/>
        <v>Mencapai kompetensi dengan baik dalam hal</v>
      </c>
      <c r="AK40" s="23">
        <v>78</v>
      </c>
      <c r="AL40" s="18" t="str">
        <f t="shared" si="12"/>
        <v>Mencapai kompetensi dengan baik dalam hal</v>
      </c>
      <c r="AM40" s="23">
        <v>77</v>
      </c>
      <c r="AN40" s="18" t="str">
        <f t="shared" si="13"/>
        <v>Mencapai kompetensi dengan baik dalam hal</v>
      </c>
      <c r="AO40" s="118">
        <f t="shared" si="19"/>
        <v>77.8</v>
      </c>
      <c r="AP40" s="23">
        <v>87</v>
      </c>
      <c r="AQ40" s="18" t="str">
        <f t="shared" si="14"/>
        <v>Mencapai kompetensi dengan baik dalam hal</v>
      </c>
      <c r="AR40" s="23">
        <v>80</v>
      </c>
      <c r="AS40" s="18" t="str">
        <f t="shared" si="15"/>
        <v>Mencapai kompetensi dengan baik dalam hal</v>
      </c>
      <c r="AT40" s="113">
        <v>1</v>
      </c>
      <c r="AU40" s="113" t="s">
        <v>81</v>
      </c>
      <c r="AV40" s="113" t="s">
        <v>81</v>
      </c>
      <c r="AW40" s="7">
        <v>1</v>
      </c>
      <c r="AX40" s="12" t="s">
        <v>82</v>
      </c>
      <c r="AY40" s="17" t="s">
        <v>83</v>
      </c>
      <c r="AZ40" s="12" t="s">
        <v>86</v>
      </c>
      <c r="BA40" s="15" t="str">
        <f t="shared" si="20"/>
        <v>Sangat baik</v>
      </c>
      <c r="BB40" s="7">
        <v>2</v>
      </c>
      <c r="BC40" s="17" t="s">
        <v>99</v>
      </c>
      <c r="BD40" s="18" t="s">
        <v>83</v>
      </c>
      <c r="BE40" s="7" t="s">
        <v>84</v>
      </c>
      <c r="BF40" s="15" t="str">
        <f t="shared" si="21"/>
        <v>Baik</v>
      </c>
      <c r="BG40" s="7"/>
      <c r="BH40" s="7"/>
      <c r="BI40" s="7"/>
      <c r="BJ40" s="7"/>
      <c r="BK40" s="15"/>
      <c r="BM40" s="20"/>
      <c r="BN40" s="20"/>
    </row>
    <row r="41" spans="1:66" ht="24.95" customHeight="1" thickTop="1" thickBot="1" x14ac:dyDescent="0.3">
      <c r="A41" s="23">
        <v>40</v>
      </c>
      <c r="B41" s="23">
        <v>2525514</v>
      </c>
      <c r="C41" s="23" t="s">
        <v>1233</v>
      </c>
      <c r="D41" s="18" t="s">
        <v>1234</v>
      </c>
      <c r="E41" s="23" t="s">
        <v>1224</v>
      </c>
      <c r="F41" s="23" t="s">
        <v>1151</v>
      </c>
      <c r="G41" s="23" t="s">
        <v>1225</v>
      </c>
      <c r="H41" s="23" t="s">
        <v>1226</v>
      </c>
      <c r="I41" s="60" t="s">
        <v>76</v>
      </c>
      <c r="J41" s="61" t="s">
        <v>77</v>
      </c>
      <c r="K41" s="23">
        <v>80</v>
      </c>
      <c r="L41" s="18" t="str">
        <f t="shared" si="0"/>
        <v>Mencapai kompetensi dengan baik dalam hal</v>
      </c>
      <c r="M41" s="23">
        <v>78</v>
      </c>
      <c r="N41" s="18" t="str">
        <f t="shared" si="1"/>
        <v>Mencapai kompetensi dengan baik dalam hal</v>
      </c>
      <c r="O41" s="23">
        <v>81</v>
      </c>
      <c r="P41" s="18" t="str">
        <f t="shared" si="2"/>
        <v>Mencapai kompetensi dengan baik dalam hal</v>
      </c>
      <c r="Q41" s="23">
        <v>80</v>
      </c>
      <c r="R41" s="18" t="str">
        <f t="shared" si="3"/>
        <v>Mencapai kompetensi dengan baik dalam hal</v>
      </c>
      <c r="S41" s="23">
        <v>79</v>
      </c>
      <c r="T41" s="18" t="str">
        <f t="shared" si="4"/>
        <v>Mencapai kompetensi dengan baik dalam hal</v>
      </c>
      <c r="U41" s="23">
        <v>82</v>
      </c>
      <c r="V41" s="18" t="str">
        <f t="shared" si="5"/>
        <v>Mencapai kompetensi dengan baik dalam hal</v>
      </c>
      <c r="W41" s="23">
        <v>80</v>
      </c>
      <c r="X41" s="18" t="str">
        <f t="shared" si="6"/>
        <v>Mencapai kompetensi dengan baik dalam hal</v>
      </c>
      <c r="Y41" s="23">
        <v>78</v>
      </c>
      <c r="Z41" s="18" t="str">
        <f t="shared" si="7"/>
        <v>Mencapai kompetensi dengan baik dalam hal</v>
      </c>
      <c r="AA41" s="23">
        <v>89</v>
      </c>
      <c r="AB41" s="18" t="str">
        <f t="shared" si="8"/>
        <v>Mencapai kompetensi dengan baik dalam hal</v>
      </c>
      <c r="AC41" s="23">
        <v>76</v>
      </c>
      <c r="AD41" s="18" t="str">
        <f t="shared" si="18"/>
        <v>Mencapai kompetensi dengan baik dalam hal</v>
      </c>
      <c r="AE41" s="23">
        <v>82</v>
      </c>
      <c r="AF41" s="18" t="str">
        <f t="shared" ref="AF41:AF102" si="22">VLOOKUP(AE41,grades1,2,TRUE)</f>
        <v>Mencapai kompetensi dengan baik dalam hal</v>
      </c>
      <c r="AG41" s="23">
        <v>83</v>
      </c>
      <c r="AH41" s="18" t="str">
        <f t="shared" si="10"/>
        <v>Mencapai kompetensi dengan baik dalam hal</v>
      </c>
      <c r="AI41" s="23">
        <v>77</v>
      </c>
      <c r="AJ41" s="18" t="str">
        <f t="shared" si="11"/>
        <v>Mencapai kompetensi dengan baik dalam hal</v>
      </c>
      <c r="AK41" s="23">
        <v>81</v>
      </c>
      <c r="AL41" s="18" t="str">
        <f t="shared" si="12"/>
        <v>Mencapai kompetensi dengan baik dalam hal</v>
      </c>
      <c r="AM41" s="23">
        <v>80</v>
      </c>
      <c r="AN41" s="18" t="str">
        <f t="shared" si="13"/>
        <v>Mencapai kompetensi dengan baik dalam hal</v>
      </c>
      <c r="AO41" s="118">
        <f t="shared" si="19"/>
        <v>80.599999999999994</v>
      </c>
      <c r="AP41" s="23">
        <v>89</v>
      </c>
      <c r="AQ41" s="18" t="str">
        <f t="shared" si="14"/>
        <v>Mencapai kompetensi dengan baik dalam hal</v>
      </c>
      <c r="AR41" s="23">
        <v>79</v>
      </c>
      <c r="AS41" s="18" t="str">
        <f t="shared" si="15"/>
        <v>Mencapai kompetensi dengan baik dalam hal</v>
      </c>
      <c r="AT41" s="113" t="s">
        <v>81</v>
      </c>
      <c r="AU41" s="113" t="s">
        <v>81</v>
      </c>
      <c r="AV41" s="113" t="s">
        <v>81</v>
      </c>
      <c r="AW41" s="7">
        <v>1</v>
      </c>
      <c r="AX41" s="12" t="s">
        <v>82</v>
      </c>
      <c r="AY41" s="17" t="s">
        <v>83</v>
      </c>
      <c r="AZ41" s="12" t="s">
        <v>86</v>
      </c>
      <c r="BA41" s="15" t="str">
        <f t="shared" si="20"/>
        <v>Sangat baik</v>
      </c>
      <c r="BB41" s="7">
        <v>2</v>
      </c>
      <c r="BC41" s="17" t="s">
        <v>116</v>
      </c>
      <c r="BD41" s="18" t="s">
        <v>83</v>
      </c>
      <c r="BE41" s="7" t="s">
        <v>86</v>
      </c>
      <c r="BF41" s="15" t="str">
        <f t="shared" si="21"/>
        <v>Sangat baik</v>
      </c>
      <c r="BG41" s="7"/>
      <c r="BH41" s="7"/>
      <c r="BI41" s="7"/>
      <c r="BJ41" s="7"/>
      <c r="BK41" s="15"/>
      <c r="BM41" s="20"/>
      <c r="BN41" s="20"/>
    </row>
    <row r="42" spans="1:66" ht="24.95" customHeight="1" thickTop="1" thickBot="1" x14ac:dyDescent="0.3">
      <c r="A42" s="23">
        <v>41</v>
      </c>
      <c r="B42" s="23">
        <v>2525515</v>
      </c>
      <c r="C42" s="23" t="s">
        <v>1235</v>
      </c>
      <c r="D42" s="18" t="s">
        <v>1236</v>
      </c>
      <c r="E42" s="23" t="s">
        <v>1224</v>
      </c>
      <c r="F42" s="23" t="s">
        <v>1151</v>
      </c>
      <c r="G42" s="23" t="s">
        <v>1225</v>
      </c>
      <c r="H42" s="23" t="s">
        <v>1226</v>
      </c>
      <c r="I42" s="60" t="s">
        <v>76</v>
      </c>
      <c r="J42" s="61" t="s">
        <v>77</v>
      </c>
      <c r="K42" s="23">
        <v>80</v>
      </c>
      <c r="L42" s="18" t="str">
        <f t="shared" si="0"/>
        <v>Mencapai kompetensi dengan baik dalam hal</v>
      </c>
      <c r="M42" s="23">
        <v>77</v>
      </c>
      <c r="N42" s="18" t="str">
        <f t="shared" si="1"/>
        <v>Mencapai kompetensi dengan baik dalam hal</v>
      </c>
      <c r="O42" s="23">
        <v>80</v>
      </c>
      <c r="P42" s="18" t="str">
        <f t="shared" si="2"/>
        <v>Mencapai kompetensi dengan baik dalam hal</v>
      </c>
      <c r="Q42" s="23">
        <v>79</v>
      </c>
      <c r="R42" s="18" t="str">
        <f t="shared" si="3"/>
        <v>Mencapai kompetensi dengan baik dalam hal</v>
      </c>
      <c r="S42" s="23">
        <v>80</v>
      </c>
      <c r="T42" s="18" t="str">
        <f t="shared" si="4"/>
        <v>Mencapai kompetensi dengan baik dalam hal</v>
      </c>
      <c r="U42" s="23">
        <v>78</v>
      </c>
      <c r="V42" s="18" t="str">
        <f t="shared" si="5"/>
        <v>Mencapai kompetensi dengan baik dalam hal</v>
      </c>
      <c r="W42" s="23">
        <v>80</v>
      </c>
      <c r="X42" s="18" t="str">
        <f t="shared" si="6"/>
        <v>Mencapai kompetensi dengan baik dalam hal</v>
      </c>
      <c r="Y42" s="23">
        <v>79</v>
      </c>
      <c r="Z42" s="18" t="str">
        <f t="shared" si="7"/>
        <v>Mencapai kompetensi dengan baik dalam hal</v>
      </c>
      <c r="AA42" s="23">
        <v>81</v>
      </c>
      <c r="AB42" s="18" t="str">
        <f t="shared" si="8"/>
        <v>Mencapai kompetensi dengan baik dalam hal</v>
      </c>
      <c r="AC42" s="23">
        <v>75</v>
      </c>
      <c r="AD42" s="18" t="str">
        <f t="shared" si="18"/>
        <v>Mencapai kompetensi dengan baik dalam hal</v>
      </c>
      <c r="AE42" s="23">
        <v>84</v>
      </c>
      <c r="AF42" s="18" t="str">
        <f t="shared" si="22"/>
        <v>Mencapai kompetensi dengan baik dalam hal</v>
      </c>
      <c r="AG42" s="23">
        <v>84</v>
      </c>
      <c r="AH42" s="18" t="str">
        <f t="shared" si="10"/>
        <v>Mencapai kompetensi dengan baik dalam hal</v>
      </c>
      <c r="AI42" s="23">
        <v>78</v>
      </c>
      <c r="AJ42" s="18" t="str">
        <f t="shared" si="11"/>
        <v>Mencapai kompetensi dengan baik dalam hal</v>
      </c>
      <c r="AK42" s="23">
        <v>82</v>
      </c>
      <c r="AL42" s="18" t="str">
        <f t="shared" si="12"/>
        <v>Mencapai kompetensi dengan baik dalam hal</v>
      </c>
      <c r="AM42" s="23">
        <v>80</v>
      </c>
      <c r="AN42" s="18" t="str">
        <f t="shared" si="13"/>
        <v>Mencapai kompetensi dengan baik dalam hal</v>
      </c>
      <c r="AO42" s="118">
        <f t="shared" si="19"/>
        <v>81.599999999999994</v>
      </c>
      <c r="AP42" s="23">
        <v>81</v>
      </c>
      <c r="AQ42" s="18" t="str">
        <f t="shared" si="14"/>
        <v>Mencapai kompetensi dengan baik dalam hal</v>
      </c>
      <c r="AR42" s="23">
        <v>79</v>
      </c>
      <c r="AS42" s="18" t="str">
        <f t="shared" si="15"/>
        <v>Mencapai kompetensi dengan baik dalam hal</v>
      </c>
      <c r="AT42" s="23">
        <v>1</v>
      </c>
      <c r="AU42" s="113" t="s">
        <v>81</v>
      </c>
      <c r="AV42" s="113" t="s">
        <v>81</v>
      </c>
      <c r="AW42" s="7">
        <v>1</v>
      </c>
      <c r="AX42" s="12" t="s">
        <v>82</v>
      </c>
      <c r="AY42" s="17" t="s">
        <v>83</v>
      </c>
      <c r="AZ42" s="12" t="s">
        <v>86</v>
      </c>
      <c r="BA42" s="15" t="str">
        <f t="shared" si="20"/>
        <v>Sangat baik</v>
      </c>
      <c r="BB42" s="7">
        <v>2</v>
      </c>
      <c r="BC42" s="17" t="s">
        <v>119</v>
      </c>
      <c r="BD42" s="18" t="s">
        <v>83</v>
      </c>
      <c r="BE42" s="7" t="s">
        <v>84</v>
      </c>
      <c r="BF42" s="15" t="str">
        <f t="shared" si="21"/>
        <v>Baik</v>
      </c>
      <c r="BG42" s="7"/>
      <c r="BH42" s="7"/>
      <c r="BI42" s="7"/>
      <c r="BJ42" s="7"/>
      <c r="BK42" s="15"/>
      <c r="BM42" s="20"/>
      <c r="BN42" s="20"/>
    </row>
    <row r="43" spans="1:66" ht="24.95" customHeight="1" thickTop="1" thickBot="1" x14ac:dyDescent="0.3">
      <c r="A43" s="23">
        <v>42</v>
      </c>
      <c r="B43" s="23">
        <v>2525516</v>
      </c>
      <c r="C43" s="23" t="s">
        <v>1237</v>
      </c>
      <c r="D43" s="18" t="s">
        <v>1238</v>
      </c>
      <c r="E43" s="23" t="s">
        <v>1224</v>
      </c>
      <c r="F43" s="23" t="s">
        <v>1151</v>
      </c>
      <c r="G43" s="23" t="s">
        <v>1225</v>
      </c>
      <c r="H43" s="23" t="s">
        <v>1226</v>
      </c>
      <c r="I43" s="60" t="s">
        <v>76</v>
      </c>
      <c r="J43" s="61" t="s">
        <v>77</v>
      </c>
      <c r="K43" s="23">
        <v>80</v>
      </c>
      <c r="L43" s="18" t="str">
        <f t="shared" si="0"/>
        <v>Mencapai kompetensi dengan baik dalam hal</v>
      </c>
      <c r="M43" s="23">
        <v>78</v>
      </c>
      <c r="N43" s="18" t="str">
        <f t="shared" si="1"/>
        <v>Mencapai kompetensi dengan baik dalam hal</v>
      </c>
      <c r="O43" s="23">
        <v>82</v>
      </c>
      <c r="P43" s="18" t="str">
        <f t="shared" si="2"/>
        <v>Mencapai kompetensi dengan baik dalam hal</v>
      </c>
      <c r="Q43" s="23">
        <v>79</v>
      </c>
      <c r="R43" s="18" t="str">
        <f t="shared" si="3"/>
        <v>Mencapai kompetensi dengan baik dalam hal</v>
      </c>
      <c r="S43" s="23">
        <v>83</v>
      </c>
      <c r="T43" s="18" t="str">
        <f t="shared" si="4"/>
        <v>Mencapai kompetensi dengan baik dalam hal</v>
      </c>
      <c r="U43" s="23">
        <v>83</v>
      </c>
      <c r="V43" s="18" t="str">
        <f t="shared" si="5"/>
        <v>Mencapai kompetensi dengan baik dalam hal</v>
      </c>
      <c r="W43" s="23">
        <v>82</v>
      </c>
      <c r="X43" s="18" t="str">
        <f t="shared" si="6"/>
        <v>Mencapai kompetensi dengan baik dalam hal</v>
      </c>
      <c r="Y43" s="23">
        <v>80</v>
      </c>
      <c r="Z43" s="18" t="str">
        <f t="shared" si="7"/>
        <v>Mencapai kompetensi dengan baik dalam hal</v>
      </c>
      <c r="AA43" s="23">
        <v>77</v>
      </c>
      <c r="AB43" s="18" t="str">
        <f t="shared" si="8"/>
        <v>Mencapai kompetensi dengan baik dalam hal</v>
      </c>
      <c r="AC43" s="23">
        <v>77</v>
      </c>
      <c r="AD43" s="18" t="str">
        <f t="shared" si="18"/>
        <v>Mencapai kompetensi dengan baik dalam hal</v>
      </c>
      <c r="AE43" s="23">
        <v>84</v>
      </c>
      <c r="AF43" s="18" t="str">
        <f t="shared" si="22"/>
        <v>Mencapai kompetensi dengan baik dalam hal</v>
      </c>
      <c r="AG43" s="23">
        <v>82</v>
      </c>
      <c r="AH43" s="18" t="str">
        <f t="shared" si="10"/>
        <v>Mencapai kompetensi dengan baik dalam hal</v>
      </c>
      <c r="AI43" s="23">
        <v>81</v>
      </c>
      <c r="AJ43" s="18" t="str">
        <f t="shared" si="11"/>
        <v>Mencapai kompetensi dengan baik dalam hal</v>
      </c>
      <c r="AK43" s="23">
        <v>78</v>
      </c>
      <c r="AL43" s="18" t="str">
        <f t="shared" si="12"/>
        <v>Mencapai kompetensi dengan baik dalam hal</v>
      </c>
      <c r="AM43" s="23">
        <v>73</v>
      </c>
      <c r="AN43" s="18" t="str">
        <f t="shared" si="13"/>
        <v>Perlu peningkatan dalam hal</v>
      </c>
      <c r="AO43" s="118">
        <f t="shared" si="19"/>
        <v>79.599999999999994</v>
      </c>
      <c r="AP43" s="23">
        <v>77</v>
      </c>
      <c r="AQ43" s="18" t="str">
        <f t="shared" si="14"/>
        <v>Mencapai kompetensi dengan baik dalam hal</v>
      </c>
      <c r="AR43" s="23">
        <v>79</v>
      </c>
      <c r="AS43" s="18" t="str">
        <f t="shared" si="15"/>
        <v>Mencapai kompetensi dengan baik dalam hal</v>
      </c>
      <c r="AT43" s="113">
        <v>5</v>
      </c>
      <c r="AU43" s="113" t="s">
        <v>81</v>
      </c>
      <c r="AV43" s="113" t="s">
        <v>81</v>
      </c>
      <c r="AW43" s="7">
        <v>1</v>
      </c>
      <c r="AX43" s="12" t="s">
        <v>82</v>
      </c>
      <c r="AY43" s="17" t="s">
        <v>83</v>
      </c>
      <c r="AZ43" s="12" t="s">
        <v>86</v>
      </c>
      <c r="BA43" s="15" t="str">
        <f t="shared" si="20"/>
        <v>Sangat baik</v>
      </c>
      <c r="BB43" s="7">
        <v>2</v>
      </c>
      <c r="BC43" s="17" t="s">
        <v>134</v>
      </c>
      <c r="BD43" s="18" t="s">
        <v>83</v>
      </c>
      <c r="BE43" s="7" t="s">
        <v>84</v>
      </c>
      <c r="BF43" s="15" t="str">
        <f t="shared" si="21"/>
        <v>Baik</v>
      </c>
      <c r="BG43" s="7"/>
      <c r="BH43" s="7"/>
      <c r="BI43" s="7"/>
      <c r="BJ43" s="7"/>
      <c r="BK43" s="15"/>
      <c r="BM43" s="20"/>
      <c r="BN43" s="20"/>
    </row>
    <row r="44" spans="1:66" ht="24.95" customHeight="1" thickTop="1" thickBot="1" x14ac:dyDescent="0.3">
      <c r="A44" s="23">
        <v>43</v>
      </c>
      <c r="B44" s="23">
        <v>2525517</v>
      </c>
      <c r="C44" s="23" t="s">
        <v>1239</v>
      </c>
      <c r="D44" s="18" t="s">
        <v>1240</v>
      </c>
      <c r="E44" s="23" t="s">
        <v>1224</v>
      </c>
      <c r="F44" s="23" t="s">
        <v>1151</v>
      </c>
      <c r="G44" s="23" t="s">
        <v>1225</v>
      </c>
      <c r="H44" s="23" t="s">
        <v>1226</v>
      </c>
      <c r="I44" s="60" t="s">
        <v>76</v>
      </c>
      <c r="J44" s="61" t="s">
        <v>77</v>
      </c>
      <c r="K44" s="23">
        <v>83</v>
      </c>
      <c r="L44" s="18" t="str">
        <f t="shared" si="0"/>
        <v>Mencapai kompetensi dengan baik dalam hal</v>
      </c>
      <c r="M44" s="23">
        <v>77</v>
      </c>
      <c r="N44" s="18" t="str">
        <f t="shared" si="1"/>
        <v>Mencapai kompetensi dengan baik dalam hal</v>
      </c>
      <c r="O44" s="23">
        <v>79</v>
      </c>
      <c r="P44" s="18" t="str">
        <f t="shared" si="2"/>
        <v>Mencapai kompetensi dengan baik dalam hal</v>
      </c>
      <c r="Q44" s="23">
        <v>79</v>
      </c>
      <c r="R44" s="18" t="str">
        <f t="shared" si="3"/>
        <v>Mencapai kompetensi dengan baik dalam hal</v>
      </c>
      <c r="S44" s="23">
        <v>76</v>
      </c>
      <c r="T44" s="18" t="str">
        <f t="shared" si="4"/>
        <v>Mencapai kompetensi dengan baik dalam hal</v>
      </c>
      <c r="U44" s="23">
        <v>78</v>
      </c>
      <c r="V44" s="18" t="str">
        <f t="shared" si="5"/>
        <v>Mencapai kompetensi dengan baik dalam hal</v>
      </c>
      <c r="W44" s="23">
        <v>80</v>
      </c>
      <c r="X44" s="18" t="str">
        <f t="shared" si="6"/>
        <v>Mencapai kompetensi dengan baik dalam hal</v>
      </c>
      <c r="Y44" s="23">
        <v>75</v>
      </c>
      <c r="Z44" s="18" t="str">
        <f t="shared" si="7"/>
        <v>Mencapai kompetensi dengan baik dalam hal</v>
      </c>
      <c r="AA44" s="23">
        <v>81</v>
      </c>
      <c r="AB44" s="18" t="str">
        <f t="shared" si="8"/>
        <v>Mencapai kompetensi dengan baik dalam hal</v>
      </c>
      <c r="AC44" s="23">
        <v>76</v>
      </c>
      <c r="AD44" s="18" t="str">
        <f t="shared" si="18"/>
        <v>Mencapai kompetensi dengan baik dalam hal</v>
      </c>
      <c r="AE44" s="23">
        <v>75</v>
      </c>
      <c r="AF44" s="18" t="str">
        <f t="shared" si="22"/>
        <v>Mencapai kompetensi dengan baik dalam hal</v>
      </c>
      <c r="AG44" s="23">
        <v>79</v>
      </c>
      <c r="AH44" s="18" t="str">
        <f t="shared" si="10"/>
        <v>Mencapai kompetensi dengan baik dalam hal</v>
      </c>
      <c r="AI44" s="23">
        <v>75</v>
      </c>
      <c r="AJ44" s="18" t="str">
        <f t="shared" si="11"/>
        <v>Mencapai kompetensi dengan baik dalam hal</v>
      </c>
      <c r="AK44" s="23">
        <v>77</v>
      </c>
      <c r="AL44" s="18" t="str">
        <f t="shared" si="12"/>
        <v>Mencapai kompetensi dengan baik dalam hal</v>
      </c>
      <c r="AM44" s="23">
        <v>75</v>
      </c>
      <c r="AN44" s="18" t="str">
        <f t="shared" si="13"/>
        <v>Mencapai kompetensi dengan baik dalam hal</v>
      </c>
      <c r="AO44" s="118">
        <f t="shared" si="19"/>
        <v>76.2</v>
      </c>
      <c r="AP44" s="23">
        <v>81</v>
      </c>
      <c r="AQ44" s="18" t="str">
        <f t="shared" si="14"/>
        <v>Mencapai kompetensi dengan baik dalam hal</v>
      </c>
      <c r="AR44" s="23">
        <v>80</v>
      </c>
      <c r="AS44" s="18" t="str">
        <f t="shared" si="15"/>
        <v>Mencapai kompetensi dengan baik dalam hal</v>
      </c>
      <c r="AT44" s="113">
        <v>2</v>
      </c>
      <c r="AU44" s="113" t="s">
        <v>81</v>
      </c>
      <c r="AV44" s="113" t="s">
        <v>81</v>
      </c>
      <c r="AW44" s="7">
        <v>1</v>
      </c>
      <c r="AX44" s="12" t="s">
        <v>82</v>
      </c>
      <c r="AY44" s="17" t="s">
        <v>83</v>
      </c>
      <c r="AZ44" s="12" t="s">
        <v>86</v>
      </c>
      <c r="BA44" s="15" t="str">
        <f t="shared" si="20"/>
        <v>Sangat baik</v>
      </c>
      <c r="BB44" s="7">
        <v>2</v>
      </c>
      <c r="BC44" s="17" t="s">
        <v>212</v>
      </c>
      <c r="BD44" s="18" t="s">
        <v>83</v>
      </c>
      <c r="BE44" s="7" t="s">
        <v>86</v>
      </c>
      <c r="BF44" s="15" t="str">
        <f t="shared" si="21"/>
        <v>Sangat baik</v>
      </c>
      <c r="BG44" s="7"/>
      <c r="BH44" s="7"/>
      <c r="BI44" s="7"/>
      <c r="BJ44" s="7"/>
      <c r="BK44" s="15"/>
      <c r="BM44" s="20"/>
      <c r="BN44" s="20"/>
    </row>
    <row r="45" spans="1:66" ht="24.95" customHeight="1" thickTop="1" thickBot="1" x14ac:dyDescent="0.3">
      <c r="A45" s="23">
        <v>44</v>
      </c>
      <c r="B45" s="23">
        <v>2525518</v>
      </c>
      <c r="C45" s="23" t="s">
        <v>1241</v>
      </c>
      <c r="D45" s="18" t="s">
        <v>1242</v>
      </c>
      <c r="E45" s="23" t="s">
        <v>1224</v>
      </c>
      <c r="F45" s="23" t="s">
        <v>1151</v>
      </c>
      <c r="G45" s="23" t="s">
        <v>1225</v>
      </c>
      <c r="H45" s="23" t="s">
        <v>1226</v>
      </c>
      <c r="I45" s="60" t="s">
        <v>76</v>
      </c>
      <c r="J45" s="61" t="s">
        <v>77</v>
      </c>
      <c r="K45" s="23">
        <v>79</v>
      </c>
      <c r="L45" s="18" t="str">
        <f t="shared" si="0"/>
        <v>Mencapai kompetensi dengan baik dalam hal</v>
      </c>
      <c r="M45" s="23">
        <v>77</v>
      </c>
      <c r="N45" s="18" t="str">
        <f t="shared" si="1"/>
        <v>Mencapai kompetensi dengan baik dalam hal</v>
      </c>
      <c r="O45" s="23">
        <v>81</v>
      </c>
      <c r="P45" s="18" t="str">
        <f t="shared" si="2"/>
        <v>Mencapai kompetensi dengan baik dalam hal</v>
      </c>
      <c r="Q45" s="23">
        <v>79</v>
      </c>
      <c r="R45" s="18" t="str">
        <f t="shared" si="3"/>
        <v>Mencapai kompetensi dengan baik dalam hal</v>
      </c>
      <c r="S45" s="23">
        <v>80</v>
      </c>
      <c r="T45" s="18" t="str">
        <f t="shared" si="4"/>
        <v>Mencapai kompetensi dengan baik dalam hal</v>
      </c>
      <c r="U45" s="23">
        <v>84</v>
      </c>
      <c r="V45" s="18" t="str">
        <f t="shared" si="5"/>
        <v>Mencapai kompetensi dengan baik dalam hal</v>
      </c>
      <c r="W45" s="23">
        <v>78</v>
      </c>
      <c r="X45" s="18" t="str">
        <f t="shared" si="6"/>
        <v>Mencapai kompetensi dengan baik dalam hal</v>
      </c>
      <c r="Y45" s="23">
        <v>80</v>
      </c>
      <c r="Z45" s="18" t="str">
        <f t="shared" si="7"/>
        <v>Mencapai kompetensi dengan baik dalam hal</v>
      </c>
      <c r="AA45" s="23">
        <v>86</v>
      </c>
      <c r="AB45" s="18" t="str">
        <f t="shared" si="8"/>
        <v>Mencapai kompetensi dengan baik dalam hal</v>
      </c>
      <c r="AC45" s="23">
        <v>80</v>
      </c>
      <c r="AD45" s="18" t="str">
        <f t="shared" si="18"/>
        <v>Mencapai kompetensi dengan baik dalam hal</v>
      </c>
      <c r="AE45" s="23">
        <v>75</v>
      </c>
      <c r="AF45" s="18" t="str">
        <f t="shared" si="22"/>
        <v>Mencapai kompetensi dengan baik dalam hal</v>
      </c>
      <c r="AG45" s="23">
        <v>82</v>
      </c>
      <c r="AH45" s="18" t="str">
        <f t="shared" si="10"/>
        <v>Mencapai kompetensi dengan baik dalam hal</v>
      </c>
      <c r="AI45" s="23">
        <v>76</v>
      </c>
      <c r="AJ45" s="18" t="str">
        <f t="shared" si="11"/>
        <v>Mencapai kompetensi dengan baik dalam hal</v>
      </c>
      <c r="AK45" s="23">
        <v>81</v>
      </c>
      <c r="AL45" s="18" t="str">
        <f t="shared" si="12"/>
        <v>Mencapai kompetensi dengan baik dalam hal</v>
      </c>
      <c r="AM45" s="23">
        <v>75</v>
      </c>
      <c r="AN45" s="18" t="str">
        <f t="shared" si="13"/>
        <v>Mencapai kompetensi dengan baik dalam hal</v>
      </c>
      <c r="AO45" s="118">
        <f t="shared" si="19"/>
        <v>77.8</v>
      </c>
      <c r="AP45" s="23">
        <v>86</v>
      </c>
      <c r="AQ45" s="18" t="str">
        <f t="shared" si="14"/>
        <v>Mencapai kompetensi dengan baik dalam hal</v>
      </c>
      <c r="AR45" s="23">
        <v>79</v>
      </c>
      <c r="AS45" s="18" t="str">
        <f t="shared" si="15"/>
        <v>Mencapai kompetensi dengan baik dalam hal</v>
      </c>
      <c r="AT45" s="113" t="s">
        <v>81</v>
      </c>
      <c r="AU45" s="113" t="s">
        <v>81</v>
      </c>
      <c r="AV45" s="113" t="s">
        <v>81</v>
      </c>
      <c r="AW45" s="7">
        <v>1</v>
      </c>
      <c r="AX45" s="12" t="s">
        <v>82</v>
      </c>
      <c r="AY45" s="17" t="s">
        <v>83</v>
      </c>
      <c r="AZ45" s="12" t="s">
        <v>86</v>
      </c>
      <c r="BA45" s="15" t="str">
        <f t="shared" si="20"/>
        <v>Sangat baik</v>
      </c>
      <c r="BB45" s="7">
        <v>2</v>
      </c>
      <c r="BC45" s="17" t="s">
        <v>170</v>
      </c>
      <c r="BD45" s="18" t="s">
        <v>83</v>
      </c>
      <c r="BE45" s="7" t="s">
        <v>84</v>
      </c>
      <c r="BF45" s="15" t="str">
        <f t="shared" si="21"/>
        <v>Baik</v>
      </c>
      <c r="BG45" s="7"/>
      <c r="BH45" s="7"/>
      <c r="BI45" s="7"/>
      <c r="BJ45" s="7"/>
      <c r="BK45" s="15"/>
      <c r="BM45" s="20"/>
      <c r="BN45" s="20"/>
    </row>
    <row r="46" spans="1:66" ht="24.95" customHeight="1" thickTop="1" thickBot="1" x14ac:dyDescent="0.3">
      <c r="A46" s="23">
        <v>45</v>
      </c>
      <c r="B46" s="23">
        <v>2525519</v>
      </c>
      <c r="C46" s="23" t="s">
        <v>1243</v>
      </c>
      <c r="D46" s="18" t="s">
        <v>1244</v>
      </c>
      <c r="E46" s="23" t="s">
        <v>1224</v>
      </c>
      <c r="F46" s="23" t="s">
        <v>1151</v>
      </c>
      <c r="G46" s="23" t="s">
        <v>1225</v>
      </c>
      <c r="H46" s="23" t="s">
        <v>1226</v>
      </c>
      <c r="I46" s="60" t="s">
        <v>76</v>
      </c>
      <c r="J46" s="61" t="s">
        <v>77</v>
      </c>
      <c r="K46" s="23">
        <v>75</v>
      </c>
      <c r="L46" s="18" t="str">
        <f t="shared" si="0"/>
        <v>Mencapai kompetensi dengan baik dalam hal</v>
      </c>
      <c r="M46" s="23">
        <v>75</v>
      </c>
      <c r="N46" s="18" t="str">
        <f t="shared" si="1"/>
        <v>Mencapai kompetensi dengan baik dalam hal</v>
      </c>
      <c r="O46" s="23">
        <v>78</v>
      </c>
      <c r="P46" s="18" t="str">
        <f t="shared" si="2"/>
        <v>Mencapai kompetensi dengan baik dalam hal</v>
      </c>
      <c r="Q46" s="23">
        <v>78</v>
      </c>
      <c r="R46" s="18" t="str">
        <f t="shared" si="3"/>
        <v>Mencapai kompetensi dengan baik dalam hal</v>
      </c>
      <c r="S46" s="23">
        <v>70</v>
      </c>
      <c r="T46" s="18" t="str">
        <f t="shared" si="4"/>
        <v>Perlu peningkatan dalam hal</v>
      </c>
      <c r="U46" s="23">
        <v>77</v>
      </c>
      <c r="V46" s="18" t="str">
        <f t="shared" si="5"/>
        <v>Mencapai kompetensi dengan baik dalam hal</v>
      </c>
      <c r="W46" s="23">
        <v>75</v>
      </c>
      <c r="X46" s="18" t="str">
        <f t="shared" si="6"/>
        <v>Mencapai kompetensi dengan baik dalam hal</v>
      </c>
      <c r="Y46" s="23">
        <v>70</v>
      </c>
      <c r="Z46" s="18" t="str">
        <f t="shared" si="7"/>
        <v>Perlu peningkatan dalam hal</v>
      </c>
      <c r="AA46" s="23">
        <v>74</v>
      </c>
      <c r="AB46" s="18" t="str">
        <f t="shared" si="8"/>
        <v>Perlu peningkatan dalam hal</v>
      </c>
      <c r="AC46" s="23">
        <v>72</v>
      </c>
      <c r="AD46" s="18" t="str">
        <f t="shared" si="18"/>
        <v>Perlu peningkatan dalam hal</v>
      </c>
      <c r="AE46" s="23">
        <v>70</v>
      </c>
      <c r="AF46" s="18" t="str">
        <f t="shared" si="22"/>
        <v>Perlu peningkatan dalam hal</v>
      </c>
      <c r="AG46" s="23">
        <v>72</v>
      </c>
      <c r="AH46" s="18" t="str">
        <f t="shared" si="10"/>
        <v>Perlu peningkatan dalam hal</v>
      </c>
      <c r="AI46" s="23">
        <v>70</v>
      </c>
      <c r="AJ46" s="18" t="str">
        <f t="shared" si="11"/>
        <v>Perlu peningkatan dalam hal</v>
      </c>
      <c r="AK46" s="23">
        <v>70</v>
      </c>
      <c r="AL46" s="18" t="str">
        <f t="shared" si="12"/>
        <v>Perlu peningkatan dalam hal</v>
      </c>
      <c r="AM46" s="23">
        <v>70</v>
      </c>
      <c r="AN46" s="18" t="str">
        <f t="shared" si="13"/>
        <v>Perlu peningkatan dalam hal</v>
      </c>
      <c r="AO46" s="118">
        <f t="shared" si="19"/>
        <v>70.400000000000006</v>
      </c>
      <c r="AP46" s="23">
        <v>74</v>
      </c>
      <c r="AQ46" s="18" t="str">
        <f t="shared" si="14"/>
        <v>Perlu peningkatan dalam hal</v>
      </c>
      <c r="AR46" s="23">
        <v>77</v>
      </c>
      <c r="AS46" s="18" t="str">
        <f t="shared" si="15"/>
        <v>Mencapai kompetensi dengan baik dalam hal</v>
      </c>
      <c r="AT46" s="113">
        <v>21</v>
      </c>
      <c r="AU46" s="113" t="s">
        <v>81</v>
      </c>
      <c r="AV46" s="113">
        <v>5</v>
      </c>
      <c r="AW46" s="7">
        <v>1</v>
      </c>
      <c r="AX46" s="12" t="s">
        <v>82</v>
      </c>
      <c r="AY46" s="17" t="s">
        <v>83</v>
      </c>
      <c r="AZ46" s="12" t="s">
        <v>110</v>
      </c>
      <c r="BA46" s="15" t="str">
        <f t="shared" si="20"/>
        <v>Kurang</v>
      </c>
      <c r="BB46" s="7">
        <v>2</v>
      </c>
      <c r="BC46" s="17" t="s">
        <v>99</v>
      </c>
      <c r="BD46" s="18" t="s">
        <v>83</v>
      </c>
      <c r="BE46" s="7" t="s">
        <v>110</v>
      </c>
      <c r="BF46" s="15" t="str">
        <f t="shared" si="21"/>
        <v>Kurang</v>
      </c>
      <c r="BG46" s="7"/>
      <c r="BH46" s="7"/>
      <c r="BI46" s="7"/>
      <c r="BJ46" s="7"/>
      <c r="BK46" s="15"/>
      <c r="BM46" s="20"/>
      <c r="BN46" s="20"/>
    </row>
    <row r="47" spans="1:66" ht="24.95" customHeight="1" thickTop="1" thickBot="1" x14ac:dyDescent="0.3">
      <c r="A47" s="23">
        <v>46</v>
      </c>
      <c r="B47" s="23">
        <v>2525520</v>
      </c>
      <c r="C47" s="23" t="s">
        <v>1245</v>
      </c>
      <c r="D47" s="18" t="s">
        <v>1246</v>
      </c>
      <c r="E47" s="23" t="s">
        <v>1224</v>
      </c>
      <c r="F47" s="23" t="s">
        <v>1151</v>
      </c>
      <c r="G47" s="23" t="s">
        <v>1225</v>
      </c>
      <c r="H47" s="23" t="s">
        <v>1226</v>
      </c>
      <c r="I47" s="60" t="s">
        <v>76</v>
      </c>
      <c r="J47" s="61" t="s">
        <v>77</v>
      </c>
      <c r="K47" s="23">
        <v>75</v>
      </c>
      <c r="L47" s="18" t="str">
        <f t="shared" si="0"/>
        <v>Mencapai kompetensi dengan baik dalam hal</v>
      </c>
      <c r="M47" s="23">
        <v>76</v>
      </c>
      <c r="N47" s="18" t="str">
        <f t="shared" si="1"/>
        <v>Mencapai kompetensi dengan baik dalam hal</v>
      </c>
      <c r="O47" s="23">
        <v>78</v>
      </c>
      <c r="P47" s="18" t="str">
        <f t="shared" si="2"/>
        <v>Mencapai kompetensi dengan baik dalam hal</v>
      </c>
      <c r="Q47" s="23">
        <v>79</v>
      </c>
      <c r="R47" s="18" t="str">
        <f t="shared" si="3"/>
        <v>Mencapai kompetensi dengan baik dalam hal</v>
      </c>
      <c r="S47" s="23">
        <v>74</v>
      </c>
      <c r="T47" s="18" t="str">
        <f t="shared" si="4"/>
        <v>Perlu peningkatan dalam hal</v>
      </c>
      <c r="U47" s="23">
        <v>77</v>
      </c>
      <c r="V47" s="18" t="str">
        <f t="shared" si="5"/>
        <v>Mencapai kompetensi dengan baik dalam hal</v>
      </c>
      <c r="W47" s="23">
        <v>79</v>
      </c>
      <c r="X47" s="18" t="str">
        <f t="shared" si="6"/>
        <v>Mencapai kompetensi dengan baik dalam hal</v>
      </c>
      <c r="Y47" s="23">
        <v>75</v>
      </c>
      <c r="Z47" s="18" t="str">
        <f t="shared" si="7"/>
        <v>Mencapai kompetensi dengan baik dalam hal</v>
      </c>
      <c r="AA47" s="23">
        <v>78</v>
      </c>
      <c r="AB47" s="18" t="str">
        <f t="shared" si="8"/>
        <v>Mencapai kompetensi dengan baik dalam hal</v>
      </c>
      <c r="AC47" s="23">
        <v>75</v>
      </c>
      <c r="AD47" s="18" t="str">
        <f t="shared" si="18"/>
        <v>Mencapai kompetensi dengan baik dalam hal</v>
      </c>
      <c r="AE47" s="23">
        <v>83</v>
      </c>
      <c r="AF47" s="18" t="str">
        <f t="shared" si="22"/>
        <v>Mencapai kompetensi dengan baik dalam hal</v>
      </c>
      <c r="AG47" s="23">
        <v>82</v>
      </c>
      <c r="AH47" s="18" t="str">
        <f t="shared" si="10"/>
        <v>Mencapai kompetensi dengan baik dalam hal</v>
      </c>
      <c r="AI47" s="23">
        <v>76</v>
      </c>
      <c r="AJ47" s="18" t="str">
        <f t="shared" si="11"/>
        <v>Mencapai kompetensi dengan baik dalam hal</v>
      </c>
      <c r="AK47" s="23">
        <v>75</v>
      </c>
      <c r="AL47" s="18" t="str">
        <f t="shared" si="12"/>
        <v>Mencapai kompetensi dengan baik dalam hal</v>
      </c>
      <c r="AM47" s="23">
        <v>76</v>
      </c>
      <c r="AN47" s="18" t="str">
        <f t="shared" si="13"/>
        <v>Mencapai kompetensi dengan baik dalam hal</v>
      </c>
      <c r="AO47" s="118">
        <f t="shared" si="19"/>
        <v>78.400000000000006</v>
      </c>
      <c r="AP47" s="23">
        <v>78</v>
      </c>
      <c r="AQ47" s="18" t="str">
        <f t="shared" si="14"/>
        <v>Mencapai kompetensi dengan baik dalam hal</v>
      </c>
      <c r="AR47" s="23">
        <v>78</v>
      </c>
      <c r="AS47" s="18" t="str">
        <f t="shared" si="15"/>
        <v>Mencapai kompetensi dengan baik dalam hal</v>
      </c>
      <c r="AT47" s="113">
        <v>3</v>
      </c>
      <c r="AU47" s="113" t="s">
        <v>81</v>
      </c>
      <c r="AV47" s="113" t="s">
        <v>81</v>
      </c>
      <c r="AW47" s="7">
        <v>1</v>
      </c>
      <c r="AX47" s="12" t="s">
        <v>82</v>
      </c>
      <c r="AY47" s="17" t="s">
        <v>83</v>
      </c>
      <c r="AZ47" s="12" t="s">
        <v>86</v>
      </c>
      <c r="BA47" s="15" t="str">
        <f t="shared" si="20"/>
        <v>Sangat baik</v>
      </c>
      <c r="BB47" s="7">
        <v>2</v>
      </c>
      <c r="BC47" s="17" t="s">
        <v>99</v>
      </c>
      <c r="BD47" s="18" t="s">
        <v>83</v>
      </c>
      <c r="BE47" s="7" t="s">
        <v>84</v>
      </c>
      <c r="BF47" s="15" t="str">
        <f t="shared" si="21"/>
        <v>Baik</v>
      </c>
      <c r="BG47" s="7"/>
      <c r="BH47" s="7"/>
      <c r="BI47" s="7"/>
      <c r="BJ47" s="7"/>
      <c r="BK47" s="15"/>
      <c r="BM47" s="20"/>
      <c r="BN47" s="20"/>
    </row>
    <row r="48" spans="1:66" ht="24.95" customHeight="1" thickTop="1" thickBot="1" x14ac:dyDescent="0.3">
      <c r="A48" s="23">
        <v>47</v>
      </c>
      <c r="B48" s="23">
        <v>2525521</v>
      </c>
      <c r="C48" s="23" t="s">
        <v>1247</v>
      </c>
      <c r="D48" s="18" t="s">
        <v>1248</v>
      </c>
      <c r="E48" s="23" t="s">
        <v>1224</v>
      </c>
      <c r="F48" s="23" t="s">
        <v>1151</v>
      </c>
      <c r="G48" s="23" t="s">
        <v>1225</v>
      </c>
      <c r="H48" s="23" t="s">
        <v>1226</v>
      </c>
      <c r="I48" s="60" t="s">
        <v>76</v>
      </c>
      <c r="J48" s="61" t="s">
        <v>77</v>
      </c>
      <c r="K48" s="23">
        <v>79</v>
      </c>
      <c r="L48" s="18" t="str">
        <f t="shared" si="0"/>
        <v>Mencapai kompetensi dengan baik dalam hal</v>
      </c>
      <c r="M48" s="23">
        <v>78</v>
      </c>
      <c r="N48" s="18" t="str">
        <f t="shared" si="1"/>
        <v>Mencapai kompetensi dengan baik dalam hal</v>
      </c>
      <c r="O48" s="23">
        <v>81</v>
      </c>
      <c r="P48" s="18" t="str">
        <f t="shared" si="2"/>
        <v>Mencapai kompetensi dengan baik dalam hal</v>
      </c>
      <c r="Q48" s="23">
        <v>79</v>
      </c>
      <c r="R48" s="18" t="str">
        <f t="shared" si="3"/>
        <v>Mencapai kompetensi dengan baik dalam hal</v>
      </c>
      <c r="S48" s="23">
        <v>78</v>
      </c>
      <c r="T48" s="18" t="str">
        <f t="shared" si="4"/>
        <v>Mencapai kompetensi dengan baik dalam hal</v>
      </c>
      <c r="U48" s="23">
        <v>81</v>
      </c>
      <c r="V48" s="18" t="str">
        <f t="shared" si="5"/>
        <v>Mencapai kompetensi dengan baik dalam hal</v>
      </c>
      <c r="W48" s="23">
        <v>78</v>
      </c>
      <c r="X48" s="18" t="str">
        <f t="shared" si="6"/>
        <v>Mencapai kompetensi dengan baik dalam hal</v>
      </c>
      <c r="Y48" s="23">
        <v>77</v>
      </c>
      <c r="Z48" s="18" t="str">
        <f t="shared" si="7"/>
        <v>Mencapai kompetensi dengan baik dalam hal</v>
      </c>
      <c r="AA48" s="23">
        <v>83</v>
      </c>
      <c r="AB48" s="18" t="str">
        <f t="shared" si="8"/>
        <v>Mencapai kompetensi dengan baik dalam hal</v>
      </c>
      <c r="AC48" s="23">
        <v>75</v>
      </c>
      <c r="AD48" s="18" t="str">
        <f t="shared" si="18"/>
        <v>Mencapai kompetensi dengan baik dalam hal</v>
      </c>
      <c r="AE48" s="23">
        <v>80</v>
      </c>
      <c r="AF48" s="18" t="str">
        <f t="shared" si="22"/>
        <v>Mencapai kompetensi dengan baik dalam hal</v>
      </c>
      <c r="AG48" s="23">
        <v>81</v>
      </c>
      <c r="AH48" s="18" t="str">
        <f t="shared" si="10"/>
        <v>Mencapai kompetensi dengan baik dalam hal</v>
      </c>
      <c r="AI48" s="23">
        <v>76</v>
      </c>
      <c r="AJ48" s="18" t="str">
        <f t="shared" si="11"/>
        <v>Mencapai kompetensi dengan baik dalam hal</v>
      </c>
      <c r="AK48" s="23">
        <v>80</v>
      </c>
      <c r="AL48" s="18" t="str">
        <f t="shared" si="12"/>
        <v>Mencapai kompetensi dengan baik dalam hal</v>
      </c>
      <c r="AM48" s="23">
        <v>76</v>
      </c>
      <c r="AN48" s="18" t="str">
        <f t="shared" si="13"/>
        <v>Mencapai kompetensi dengan baik dalam hal</v>
      </c>
      <c r="AO48" s="118">
        <f t="shared" si="19"/>
        <v>78.599999999999994</v>
      </c>
      <c r="AP48" s="23">
        <v>83</v>
      </c>
      <c r="AQ48" s="18" t="str">
        <f t="shared" si="14"/>
        <v>Mencapai kompetensi dengan baik dalam hal</v>
      </c>
      <c r="AR48" s="23">
        <v>78</v>
      </c>
      <c r="AS48" s="18" t="str">
        <f t="shared" si="15"/>
        <v>Mencapai kompetensi dengan baik dalam hal</v>
      </c>
      <c r="AT48" s="113">
        <v>1</v>
      </c>
      <c r="AU48" s="113" t="s">
        <v>81</v>
      </c>
      <c r="AV48" s="113" t="s">
        <v>81</v>
      </c>
      <c r="AW48" s="7">
        <v>1</v>
      </c>
      <c r="AX48" s="12" t="s">
        <v>82</v>
      </c>
      <c r="AY48" s="17" t="s">
        <v>83</v>
      </c>
      <c r="AZ48" s="12" t="s">
        <v>84</v>
      </c>
      <c r="BA48" s="15" t="str">
        <f t="shared" si="20"/>
        <v>Baik</v>
      </c>
      <c r="BB48" s="7">
        <v>2</v>
      </c>
      <c r="BC48" s="17" t="s">
        <v>85</v>
      </c>
      <c r="BD48" s="18" t="s">
        <v>83</v>
      </c>
      <c r="BE48" s="7" t="s">
        <v>84</v>
      </c>
      <c r="BF48" s="15" t="str">
        <f t="shared" si="21"/>
        <v>Baik</v>
      </c>
      <c r="BG48" s="7"/>
      <c r="BH48" s="7"/>
      <c r="BI48" s="7"/>
      <c r="BJ48" s="7"/>
      <c r="BK48" s="15"/>
      <c r="BM48" s="20"/>
      <c r="BN48" s="20"/>
    </row>
    <row r="49" spans="1:66" ht="24.95" customHeight="1" thickTop="1" thickBot="1" x14ac:dyDescent="0.3">
      <c r="A49" s="23">
        <v>48</v>
      </c>
      <c r="B49" s="23">
        <v>2525522</v>
      </c>
      <c r="C49" s="23" t="s">
        <v>1249</v>
      </c>
      <c r="D49" s="18" t="s">
        <v>1250</v>
      </c>
      <c r="E49" s="23" t="s">
        <v>1224</v>
      </c>
      <c r="F49" s="23" t="s">
        <v>1151</v>
      </c>
      <c r="G49" s="23" t="s">
        <v>1225</v>
      </c>
      <c r="H49" s="23" t="s">
        <v>1226</v>
      </c>
      <c r="I49" s="60" t="s">
        <v>76</v>
      </c>
      <c r="J49" s="61" t="s">
        <v>77</v>
      </c>
      <c r="K49" s="23">
        <v>80</v>
      </c>
      <c r="L49" s="18" t="str">
        <f t="shared" si="0"/>
        <v>Mencapai kompetensi dengan baik dalam hal</v>
      </c>
      <c r="M49" s="23">
        <v>78</v>
      </c>
      <c r="N49" s="18" t="str">
        <f t="shared" si="1"/>
        <v>Mencapai kompetensi dengan baik dalam hal</v>
      </c>
      <c r="O49" s="23">
        <v>80</v>
      </c>
      <c r="P49" s="18" t="str">
        <f t="shared" si="2"/>
        <v>Mencapai kompetensi dengan baik dalam hal</v>
      </c>
      <c r="Q49" s="23">
        <v>79</v>
      </c>
      <c r="R49" s="18" t="str">
        <f t="shared" si="3"/>
        <v>Mencapai kompetensi dengan baik dalam hal</v>
      </c>
      <c r="S49" s="23">
        <v>81</v>
      </c>
      <c r="T49" s="18" t="str">
        <f t="shared" si="4"/>
        <v>Mencapai kompetensi dengan baik dalam hal</v>
      </c>
      <c r="U49" s="23">
        <v>80</v>
      </c>
      <c r="V49" s="18" t="str">
        <f t="shared" si="5"/>
        <v>Mencapai kompetensi dengan baik dalam hal</v>
      </c>
      <c r="W49" s="23">
        <v>79</v>
      </c>
      <c r="X49" s="18" t="str">
        <f t="shared" si="6"/>
        <v>Mencapai kompetensi dengan baik dalam hal</v>
      </c>
      <c r="Y49" s="23">
        <v>78</v>
      </c>
      <c r="Z49" s="18" t="str">
        <f t="shared" si="7"/>
        <v>Mencapai kompetensi dengan baik dalam hal</v>
      </c>
      <c r="AA49" s="23">
        <v>78</v>
      </c>
      <c r="AB49" s="18" t="str">
        <f t="shared" si="8"/>
        <v>Mencapai kompetensi dengan baik dalam hal</v>
      </c>
      <c r="AC49" s="23">
        <v>76</v>
      </c>
      <c r="AD49" s="18" t="str">
        <f t="shared" si="18"/>
        <v>Mencapai kompetensi dengan baik dalam hal</v>
      </c>
      <c r="AE49" s="23">
        <v>81</v>
      </c>
      <c r="AF49" s="18" t="str">
        <f t="shared" si="22"/>
        <v>Mencapai kompetensi dengan baik dalam hal</v>
      </c>
      <c r="AG49" s="23">
        <v>80</v>
      </c>
      <c r="AH49" s="18" t="str">
        <f t="shared" si="10"/>
        <v>Mencapai kompetensi dengan baik dalam hal</v>
      </c>
      <c r="AI49" s="23">
        <v>80</v>
      </c>
      <c r="AJ49" s="18" t="str">
        <f t="shared" si="11"/>
        <v>Mencapai kompetensi dengan baik dalam hal</v>
      </c>
      <c r="AK49" s="23">
        <v>81</v>
      </c>
      <c r="AL49" s="18" t="str">
        <f t="shared" si="12"/>
        <v>Mencapai kompetensi dengan baik dalam hal</v>
      </c>
      <c r="AM49" s="23">
        <v>76</v>
      </c>
      <c r="AN49" s="18" t="str">
        <f t="shared" si="13"/>
        <v>Mencapai kompetensi dengan baik dalam hal</v>
      </c>
      <c r="AO49" s="118">
        <f t="shared" si="19"/>
        <v>79.599999999999994</v>
      </c>
      <c r="AP49" s="23">
        <v>78</v>
      </c>
      <c r="AQ49" s="18" t="str">
        <f t="shared" si="14"/>
        <v>Mencapai kompetensi dengan baik dalam hal</v>
      </c>
      <c r="AR49" s="23">
        <v>79</v>
      </c>
      <c r="AS49" s="18" t="str">
        <f t="shared" si="15"/>
        <v>Mencapai kompetensi dengan baik dalam hal</v>
      </c>
      <c r="AT49" s="113" t="s">
        <v>81</v>
      </c>
      <c r="AU49" s="113" t="s">
        <v>81</v>
      </c>
      <c r="AV49" s="113" t="s">
        <v>81</v>
      </c>
      <c r="AW49" s="7">
        <v>1</v>
      </c>
      <c r="AX49" s="12" t="s">
        <v>82</v>
      </c>
      <c r="AY49" s="17" t="s">
        <v>83</v>
      </c>
      <c r="AZ49" s="12" t="s">
        <v>86</v>
      </c>
      <c r="BA49" s="15" t="str">
        <f t="shared" si="20"/>
        <v>Sangat baik</v>
      </c>
      <c r="BB49" s="7">
        <v>2</v>
      </c>
      <c r="BC49" s="17" t="s">
        <v>170</v>
      </c>
      <c r="BD49" s="18" t="s">
        <v>83</v>
      </c>
      <c r="BE49" s="7" t="s">
        <v>84</v>
      </c>
      <c r="BF49" s="15" t="str">
        <f t="shared" si="21"/>
        <v>Baik</v>
      </c>
      <c r="BG49" s="7"/>
      <c r="BH49" s="7"/>
      <c r="BI49" s="7"/>
      <c r="BJ49" s="7"/>
      <c r="BK49" s="15"/>
      <c r="BM49" s="20"/>
      <c r="BN49" s="20"/>
    </row>
    <row r="50" spans="1:66" ht="24.95" customHeight="1" thickTop="1" thickBot="1" x14ac:dyDescent="0.3">
      <c r="A50" s="23">
        <v>49</v>
      </c>
      <c r="B50" s="23">
        <v>2525523</v>
      </c>
      <c r="C50" s="23" t="s">
        <v>1251</v>
      </c>
      <c r="D50" s="18" t="s">
        <v>1252</v>
      </c>
      <c r="E50" s="23" t="s">
        <v>1224</v>
      </c>
      <c r="F50" s="23" t="s">
        <v>1151</v>
      </c>
      <c r="G50" s="23" t="s">
        <v>1225</v>
      </c>
      <c r="H50" s="23" t="s">
        <v>1226</v>
      </c>
      <c r="I50" s="60" t="s">
        <v>76</v>
      </c>
      <c r="J50" s="61" t="s">
        <v>77</v>
      </c>
      <c r="K50" s="23">
        <v>79</v>
      </c>
      <c r="L50" s="18" t="str">
        <f t="shared" si="0"/>
        <v>Mencapai kompetensi dengan baik dalam hal</v>
      </c>
      <c r="M50" s="23">
        <v>78</v>
      </c>
      <c r="N50" s="18" t="str">
        <f t="shared" si="1"/>
        <v>Mencapai kompetensi dengan baik dalam hal</v>
      </c>
      <c r="O50" s="23">
        <v>82</v>
      </c>
      <c r="P50" s="18" t="str">
        <f t="shared" si="2"/>
        <v>Mencapai kompetensi dengan baik dalam hal</v>
      </c>
      <c r="Q50" s="23">
        <v>79</v>
      </c>
      <c r="R50" s="18" t="str">
        <f t="shared" si="3"/>
        <v>Mencapai kompetensi dengan baik dalam hal</v>
      </c>
      <c r="S50" s="23">
        <v>82</v>
      </c>
      <c r="T50" s="18" t="str">
        <f t="shared" si="4"/>
        <v>Mencapai kompetensi dengan baik dalam hal</v>
      </c>
      <c r="U50" s="23">
        <v>78</v>
      </c>
      <c r="V50" s="18" t="str">
        <f t="shared" si="5"/>
        <v>Mencapai kompetensi dengan baik dalam hal</v>
      </c>
      <c r="W50" s="23">
        <v>79</v>
      </c>
      <c r="X50" s="18" t="str">
        <f t="shared" si="6"/>
        <v>Mencapai kompetensi dengan baik dalam hal</v>
      </c>
      <c r="Y50" s="23">
        <v>77</v>
      </c>
      <c r="Z50" s="18" t="str">
        <f t="shared" si="7"/>
        <v>Mencapai kompetensi dengan baik dalam hal</v>
      </c>
      <c r="AA50" s="23">
        <v>78</v>
      </c>
      <c r="AB50" s="18" t="str">
        <f t="shared" si="8"/>
        <v>Mencapai kompetensi dengan baik dalam hal</v>
      </c>
      <c r="AC50" s="23">
        <v>76</v>
      </c>
      <c r="AD50" s="18" t="str">
        <f t="shared" si="18"/>
        <v>Mencapai kompetensi dengan baik dalam hal</v>
      </c>
      <c r="AE50" s="23">
        <v>81</v>
      </c>
      <c r="AF50" s="18" t="str">
        <f t="shared" si="22"/>
        <v>Mencapai kompetensi dengan baik dalam hal</v>
      </c>
      <c r="AG50" s="23">
        <v>83</v>
      </c>
      <c r="AH50" s="18" t="str">
        <f t="shared" si="10"/>
        <v>Mencapai kompetensi dengan baik dalam hal</v>
      </c>
      <c r="AI50" s="23">
        <v>76</v>
      </c>
      <c r="AJ50" s="18" t="str">
        <f t="shared" si="11"/>
        <v>Mencapai kompetensi dengan baik dalam hal</v>
      </c>
      <c r="AK50" s="23">
        <v>82</v>
      </c>
      <c r="AL50" s="18" t="str">
        <f t="shared" si="12"/>
        <v>Mencapai kompetensi dengan baik dalam hal</v>
      </c>
      <c r="AM50" s="23">
        <v>73</v>
      </c>
      <c r="AN50" s="18" t="str">
        <f t="shared" si="13"/>
        <v>Perlu peningkatan dalam hal</v>
      </c>
      <c r="AO50" s="118">
        <f t="shared" si="19"/>
        <v>79</v>
      </c>
      <c r="AP50" s="23">
        <v>78</v>
      </c>
      <c r="AQ50" s="18" t="str">
        <f t="shared" si="14"/>
        <v>Mencapai kompetensi dengan baik dalam hal</v>
      </c>
      <c r="AR50" s="23">
        <v>79</v>
      </c>
      <c r="AS50" s="18" t="str">
        <f t="shared" si="15"/>
        <v>Mencapai kompetensi dengan baik dalam hal</v>
      </c>
      <c r="AT50" s="113">
        <v>2</v>
      </c>
      <c r="AU50" s="113" t="s">
        <v>81</v>
      </c>
      <c r="AV50" s="113" t="s">
        <v>81</v>
      </c>
      <c r="AW50" s="7">
        <v>1</v>
      </c>
      <c r="AX50" s="12" t="s">
        <v>82</v>
      </c>
      <c r="AY50" s="17" t="s">
        <v>83</v>
      </c>
      <c r="AZ50" s="12" t="s">
        <v>84</v>
      </c>
      <c r="BA50" s="15" t="str">
        <f t="shared" si="20"/>
        <v>Baik</v>
      </c>
      <c r="BB50" s="7">
        <v>2</v>
      </c>
      <c r="BC50" s="17" t="s">
        <v>170</v>
      </c>
      <c r="BD50" s="18" t="s">
        <v>83</v>
      </c>
      <c r="BE50" s="7" t="s">
        <v>84</v>
      </c>
      <c r="BF50" s="15" t="str">
        <f t="shared" si="21"/>
        <v>Baik</v>
      </c>
      <c r="BG50" s="7">
        <v>3</v>
      </c>
      <c r="BH50" s="7" t="s">
        <v>87</v>
      </c>
      <c r="BI50" s="7" t="s">
        <v>83</v>
      </c>
      <c r="BJ50" s="7" t="s">
        <v>84</v>
      </c>
      <c r="BK50" s="15" t="str">
        <f>VLOOKUP(BJ50,grades4,2,TRUE)</f>
        <v>Baik</v>
      </c>
      <c r="BM50" s="20"/>
      <c r="BN50" s="20"/>
    </row>
    <row r="51" spans="1:66" ht="24.95" customHeight="1" thickTop="1" thickBot="1" x14ac:dyDescent="0.3">
      <c r="A51" s="23">
        <v>50</v>
      </c>
      <c r="B51" s="23">
        <v>2525524</v>
      </c>
      <c r="C51" s="23" t="s">
        <v>1253</v>
      </c>
      <c r="D51" s="18" t="s">
        <v>1254</v>
      </c>
      <c r="E51" s="23" t="s">
        <v>1224</v>
      </c>
      <c r="F51" s="23" t="s">
        <v>1151</v>
      </c>
      <c r="G51" s="23" t="s">
        <v>1225</v>
      </c>
      <c r="H51" s="23" t="s">
        <v>1226</v>
      </c>
      <c r="I51" s="60" t="s">
        <v>76</v>
      </c>
      <c r="J51" s="61" t="s">
        <v>77</v>
      </c>
      <c r="K51" s="23">
        <v>80</v>
      </c>
      <c r="L51" s="18" t="str">
        <f t="shared" si="0"/>
        <v>Mencapai kompetensi dengan baik dalam hal</v>
      </c>
      <c r="M51" s="23">
        <v>80</v>
      </c>
      <c r="N51" s="18" t="str">
        <f t="shared" si="1"/>
        <v>Mencapai kompetensi dengan baik dalam hal</v>
      </c>
      <c r="O51" s="23">
        <v>81</v>
      </c>
      <c r="P51" s="18" t="str">
        <f t="shared" si="2"/>
        <v>Mencapai kompetensi dengan baik dalam hal</v>
      </c>
      <c r="Q51" s="23">
        <v>80</v>
      </c>
      <c r="R51" s="18" t="str">
        <f t="shared" si="3"/>
        <v>Mencapai kompetensi dengan baik dalam hal</v>
      </c>
      <c r="S51" s="23">
        <v>83</v>
      </c>
      <c r="T51" s="18" t="str">
        <f t="shared" si="4"/>
        <v>Mencapai kompetensi dengan baik dalam hal</v>
      </c>
      <c r="U51" s="23">
        <v>83</v>
      </c>
      <c r="V51" s="18" t="str">
        <f t="shared" si="5"/>
        <v>Mencapai kompetensi dengan baik dalam hal</v>
      </c>
      <c r="W51" s="23">
        <v>81</v>
      </c>
      <c r="X51" s="18" t="str">
        <f t="shared" si="6"/>
        <v>Mencapai kompetensi dengan baik dalam hal</v>
      </c>
      <c r="Y51" s="23">
        <v>80</v>
      </c>
      <c r="Z51" s="18" t="str">
        <f t="shared" si="7"/>
        <v>Mencapai kompetensi dengan baik dalam hal</v>
      </c>
      <c r="AA51" s="23">
        <v>82</v>
      </c>
      <c r="AB51" s="18" t="str">
        <f t="shared" si="8"/>
        <v>Mencapai kompetensi dengan baik dalam hal</v>
      </c>
      <c r="AC51" s="23">
        <v>77</v>
      </c>
      <c r="AD51" s="18" t="str">
        <f t="shared" si="18"/>
        <v>Mencapai kompetensi dengan baik dalam hal</v>
      </c>
      <c r="AE51" s="23">
        <v>82</v>
      </c>
      <c r="AF51" s="18" t="str">
        <f t="shared" si="22"/>
        <v>Mencapai kompetensi dengan baik dalam hal</v>
      </c>
      <c r="AG51" s="23">
        <v>82</v>
      </c>
      <c r="AH51" s="18" t="str">
        <f t="shared" si="10"/>
        <v>Mencapai kompetensi dengan baik dalam hal</v>
      </c>
      <c r="AI51" s="23">
        <v>79</v>
      </c>
      <c r="AJ51" s="18" t="str">
        <f t="shared" si="11"/>
        <v>Mencapai kompetensi dengan baik dalam hal</v>
      </c>
      <c r="AK51" s="23">
        <v>83</v>
      </c>
      <c r="AL51" s="18" t="str">
        <f t="shared" si="12"/>
        <v>Mencapai kompetensi dengan baik dalam hal</v>
      </c>
      <c r="AM51" s="23">
        <v>79</v>
      </c>
      <c r="AN51" s="18" t="str">
        <f t="shared" si="13"/>
        <v>Mencapai kompetensi dengan baik dalam hal</v>
      </c>
      <c r="AO51" s="118">
        <f t="shared" si="19"/>
        <v>81</v>
      </c>
      <c r="AP51" s="23">
        <v>82</v>
      </c>
      <c r="AQ51" s="18" t="str">
        <f t="shared" si="14"/>
        <v>Mencapai kompetensi dengan baik dalam hal</v>
      </c>
      <c r="AR51" s="23">
        <v>79</v>
      </c>
      <c r="AS51" s="18" t="str">
        <f t="shared" si="15"/>
        <v>Mencapai kompetensi dengan baik dalam hal</v>
      </c>
      <c r="AT51" s="113" t="s">
        <v>81</v>
      </c>
      <c r="AU51" s="113" t="s">
        <v>81</v>
      </c>
      <c r="AV51" s="113" t="s">
        <v>81</v>
      </c>
      <c r="AW51" s="7">
        <v>1</v>
      </c>
      <c r="AX51" s="12" t="s">
        <v>82</v>
      </c>
      <c r="AY51" s="17" t="s">
        <v>83</v>
      </c>
      <c r="AZ51" s="12" t="s">
        <v>86</v>
      </c>
      <c r="BA51" s="15" t="str">
        <f t="shared" si="20"/>
        <v>Sangat baik</v>
      </c>
      <c r="BB51" s="7">
        <v>2</v>
      </c>
      <c r="BC51" s="17" t="s">
        <v>119</v>
      </c>
      <c r="BD51" s="18" t="s">
        <v>83</v>
      </c>
      <c r="BE51" s="7" t="s">
        <v>84</v>
      </c>
      <c r="BF51" s="15" t="str">
        <f t="shared" si="21"/>
        <v>Baik</v>
      </c>
      <c r="BG51" s="7"/>
      <c r="BH51" s="7"/>
      <c r="BI51" s="7"/>
      <c r="BJ51" s="7"/>
      <c r="BK51" s="15"/>
      <c r="BM51" s="20"/>
      <c r="BN51" s="20"/>
    </row>
    <row r="52" spans="1:66" ht="24.95" customHeight="1" thickTop="1" thickBot="1" x14ac:dyDescent="0.3">
      <c r="A52" s="23">
        <v>51</v>
      </c>
      <c r="B52" s="23">
        <v>2525525</v>
      </c>
      <c r="C52" s="23" t="s">
        <v>1255</v>
      </c>
      <c r="D52" s="18" t="s">
        <v>1256</v>
      </c>
      <c r="E52" s="23" t="s">
        <v>1224</v>
      </c>
      <c r="F52" s="23" t="s">
        <v>1151</v>
      </c>
      <c r="G52" s="23" t="s">
        <v>1225</v>
      </c>
      <c r="H52" s="23" t="s">
        <v>1226</v>
      </c>
      <c r="I52" s="60" t="s">
        <v>76</v>
      </c>
      <c r="J52" s="61" t="s">
        <v>77</v>
      </c>
      <c r="K52" s="23">
        <v>80</v>
      </c>
      <c r="L52" s="18" t="str">
        <f t="shared" si="0"/>
        <v>Mencapai kompetensi dengan baik dalam hal</v>
      </c>
      <c r="M52" s="23">
        <v>79</v>
      </c>
      <c r="N52" s="18" t="str">
        <f t="shared" si="1"/>
        <v>Mencapai kompetensi dengan baik dalam hal</v>
      </c>
      <c r="O52" s="23">
        <v>82</v>
      </c>
      <c r="P52" s="18" t="str">
        <f t="shared" si="2"/>
        <v>Mencapai kompetensi dengan baik dalam hal</v>
      </c>
      <c r="Q52" s="23">
        <v>79</v>
      </c>
      <c r="R52" s="18" t="str">
        <f t="shared" si="3"/>
        <v>Mencapai kompetensi dengan baik dalam hal</v>
      </c>
      <c r="S52" s="23">
        <v>78</v>
      </c>
      <c r="T52" s="18" t="str">
        <f t="shared" si="4"/>
        <v>Mencapai kompetensi dengan baik dalam hal</v>
      </c>
      <c r="U52" s="23">
        <v>80</v>
      </c>
      <c r="V52" s="18" t="str">
        <f t="shared" si="5"/>
        <v>Mencapai kompetensi dengan baik dalam hal</v>
      </c>
      <c r="W52" s="23">
        <v>79</v>
      </c>
      <c r="X52" s="18" t="str">
        <f t="shared" si="6"/>
        <v>Mencapai kompetensi dengan baik dalam hal</v>
      </c>
      <c r="Y52" s="23">
        <v>77</v>
      </c>
      <c r="Z52" s="18" t="str">
        <f t="shared" si="7"/>
        <v>Mencapai kompetensi dengan baik dalam hal</v>
      </c>
      <c r="AA52" s="23">
        <v>78</v>
      </c>
      <c r="AB52" s="18" t="str">
        <f t="shared" si="8"/>
        <v>Mencapai kompetensi dengan baik dalam hal</v>
      </c>
      <c r="AC52" s="23">
        <v>75</v>
      </c>
      <c r="AD52" s="18" t="str">
        <f t="shared" si="18"/>
        <v>Mencapai kompetensi dengan baik dalam hal</v>
      </c>
      <c r="AE52" s="23">
        <v>75</v>
      </c>
      <c r="AF52" s="18" t="str">
        <f t="shared" si="22"/>
        <v>Mencapai kompetensi dengan baik dalam hal</v>
      </c>
      <c r="AG52" s="23">
        <v>81</v>
      </c>
      <c r="AH52" s="18" t="str">
        <f t="shared" si="10"/>
        <v>Mencapai kompetensi dengan baik dalam hal</v>
      </c>
      <c r="AI52" s="23">
        <v>75</v>
      </c>
      <c r="AJ52" s="18" t="str">
        <f t="shared" si="11"/>
        <v>Mencapai kompetensi dengan baik dalam hal</v>
      </c>
      <c r="AK52" s="23">
        <v>80</v>
      </c>
      <c r="AL52" s="18" t="str">
        <f t="shared" si="12"/>
        <v>Mencapai kompetensi dengan baik dalam hal</v>
      </c>
      <c r="AM52" s="23">
        <v>77</v>
      </c>
      <c r="AN52" s="18" t="str">
        <f t="shared" si="13"/>
        <v>Mencapai kompetensi dengan baik dalam hal</v>
      </c>
      <c r="AO52" s="118">
        <f t="shared" si="19"/>
        <v>77.599999999999994</v>
      </c>
      <c r="AP52" s="23">
        <v>78</v>
      </c>
      <c r="AQ52" s="18" t="str">
        <f t="shared" si="14"/>
        <v>Mencapai kompetensi dengan baik dalam hal</v>
      </c>
      <c r="AR52" s="23">
        <v>79</v>
      </c>
      <c r="AS52" s="18" t="str">
        <f t="shared" si="15"/>
        <v>Mencapai kompetensi dengan baik dalam hal</v>
      </c>
      <c r="AT52" s="113">
        <v>1</v>
      </c>
      <c r="AU52" s="113" t="s">
        <v>81</v>
      </c>
      <c r="AV52" s="113" t="s">
        <v>81</v>
      </c>
      <c r="AW52" s="7">
        <v>1</v>
      </c>
      <c r="AX52" s="12" t="s">
        <v>82</v>
      </c>
      <c r="AY52" s="17" t="s">
        <v>83</v>
      </c>
      <c r="AZ52" s="12" t="s">
        <v>86</v>
      </c>
      <c r="BA52" s="15" t="str">
        <f t="shared" si="20"/>
        <v>Sangat baik</v>
      </c>
      <c r="BB52" s="7">
        <v>2</v>
      </c>
      <c r="BC52" s="17" t="s">
        <v>579</v>
      </c>
      <c r="BD52" s="18" t="s">
        <v>83</v>
      </c>
      <c r="BE52" s="7" t="s">
        <v>84</v>
      </c>
      <c r="BF52" s="15" t="str">
        <f t="shared" si="21"/>
        <v>Baik</v>
      </c>
      <c r="BG52" s="7">
        <v>3</v>
      </c>
      <c r="BH52" s="7" t="s">
        <v>87</v>
      </c>
      <c r="BI52" s="7" t="s">
        <v>83</v>
      </c>
      <c r="BJ52" s="7" t="s">
        <v>84</v>
      </c>
      <c r="BK52" s="15" t="str">
        <f>VLOOKUP(BJ52,grades4,2,TRUE)</f>
        <v>Baik</v>
      </c>
      <c r="BM52" s="20"/>
      <c r="BN52" s="20"/>
    </row>
    <row r="53" spans="1:66" ht="24.95" customHeight="1" thickTop="1" thickBot="1" x14ac:dyDescent="0.3">
      <c r="A53" s="23">
        <v>52</v>
      </c>
      <c r="B53" s="23">
        <v>2525526</v>
      </c>
      <c r="C53" s="23" t="s">
        <v>1257</v>
      </c>
      <c r="D53" s="18" t="s">
        <v>1258</v>
      </c>
      <c r="E53" s="23" t="s">
        <v>1224</v>
      </c>
      <c r="F53" s="23" t="s">
        <v>1151</v>
      </c>
      <c r="G53" s="23" t="s">
        <v>1225</v>
      </c>
      <c r="H53" s="23" t="s">
        <v>1226</v>
      </c>
      <c r="I53" s="60" t="s">
        <v>76</v>
      </c>
      <c r="J53" s="61" t="s">
        <v>77</v>
      </c>
      <c r="K53" s="23">
        <v>79</v>
      </c>
      <c r="L53" s="18" t="str">
        <f t="shared" si="0"/>
        <v>Mencapai kompetensi dengan baik dalam hal</v>
      </c>
      <c r="M53" s="23">
        <v>78</v>
      </c>
      <c r="N53" s="18" t="str">
        <f t="shared" si="1"/>
        <v>Mencapai kompetensi dengan baik dalam hal</v>
      </c>
      <c r="O53" s="23">
        <v>81</v>
      </c>
      <c r="P53" s="18" t="str">
        <f t="shared" si="2"/>
        <v>Mencapai kompetensi dengan baik dalam hal</v>
      </c>
      <c r="Q53" s="23">
        <v>78</v>
      </c>
      <c r="R53" s="18" t="str">
        <f t="shared" si="3"/>
        <v>Mencapai kompetensi dengan baik dalam hal</v>
      </c>
      <c r="S53" s="23">
        <v>76</v>
      </c>
      <c r="T53" s="18" t="str">
        <f t="shared" si="4"/>
        <v>Mencapai kompetensi dengan baik dalam hal</v>
      </c>
      <c r="U53" s="23">
        <v>82</v>
      </c>
      <c r="V53" s="18" t="str">
        <f t="shared" si="5"/>
        <v>Mencapai kompetensi dengan baik dalam hal</v>
      </c>
      <c r="W53" s="23">
        <v>78</v>
      </c>
      <c r="X53" s="18" t="str">
        <f t="shared" si="6"/>
        <v>Mencapai kompetensi dengan baik dalam hal</v>
      </c>
      <c r="Y53" s="23">
        <v>78</v>
      </c>
      <c r="Z53" s="18" t="str">
        <f t="shared" si="7"/>
        <v>Mencapai kompetensi dengan baik dalam hal</v>
      </c>
      <c r="AA53" s="23">
        <v>78</v>
      </c>
      <c r="AB53" s="18" t="str">
        <f t="shared" si="8"/>
        <v>Mencapai kompetensi dengan baik dalam hal</v>
      </c>
      <c r="AC53" s="23">
        <v>76</v>
      </c>
      <c r="AD53" s="18" t="str">
        <f t="shared" si="18"/>
        <v>Mencapai kompetensi dengan baik dalam hal</v>
      </c>
      <c r="AE53" s="23">
        <v>75</v>
      </c>
      <c r="AF53" s="18" t="str">
        <f t="shared" si="22"/>
        <v>Mencapai kompetensi dengan baik dalam hal</v>
      </c>
      <c r="AG53" s="23">
        <v>81</v>
      </c>
      <c r="AH53" s="18" t="str">
        <f t="shared" si="10"/>
        <v>Mencapai kompetensi dengan baik dalam hal</v>
      </c>
      <c r="AI53" s="23">
        <v>78</v>
      </c>
      <c r="AJ53" s="18" t="str">
        <f t="shared" si="11"/>
        <v>Mencapai kompetensi dengan baik dalam hal</v>
      </c>
      <c r="AK53" s="23">
        <v>82</v>
      </c>
      <c r="AL53" s="18" t="str">
        <f t="shared" si="12"/>
        <v>Mencapai kompetensi dengan baik dalam hal</v>
      </c>
      <c r="AM53" s="23">
        <v>75</v>
      </c>
      <c r="AN53" s="18" t="str">
        <f t="shared" si="13"/>
        <v>Mencapai kompetensi dengan baik dalam hal</v>
      </c>
      <c r="AO53" s="118">
        <f t="shared" si="19"/>
        <v>78.2</v>
      </c>
      <c r="AP53" s="23">
        <v>78</v>
      </c>
      <c r="AQ53" s="18" t="str">
        <f t="shared" si="14"/>
        <v>Mencapai kompetensi dengan baik dalam hal</v>
      </c>
      <c r="AR53" s="23">
        <v>79</v>
      </c>
      <c r="AS53" s="18" t="str">
        <f t="shared" si="15"/>
        <v>Mencapai kompetensi dengan baik dalam hal</v>
      </c>
      <c r="AT53" s="113" t="s">
        <v>81</v>
      </c>
      <c r="AU53" s="113" t="s">
        <v>81</v>
      </c>
      <c r="AV53" s="113" t="s">
        <v>81</v>
      </c>
      <c r="AW53" s="7">
        <v>1</v>
      </c>
      <c r="AX53" s="12" t="s">
        <v>82</v>
      </c>
      <c r="AY53" s="17" t="s">
        <v>83</v>
      </c>
      <c r="AZ53" s="12" t="s">
        <v>84</v>
      </c>
      <c r="BA53" s="15" t="str">
        <f t="shared" si="20"/>
        <v>Baik</v>
      </c>
      <c r="BB53" s="7">
        <v>2</v>
      </c>
      <c r="BC53" s="17" t="s">
        <v>212</v>
      </c>
      <c r="BD53" s="18" t="s">
        <v>83</v>
      </c>
      <c r="BE53" s="7" t="s">
        <v>86</v>
      </c>
      <c r="BF53" s="15" t="str">
        <f t="shared" si="21"/>
        <v>Sangat baik</v>
      </c>
      <c r="BG53" s="7"/>
      <c r="BH53" s="7"/>
      <c r="BI53" s="7"/>
      <c r="BJ53" s="7"/>
      <c r="BK53" s="15"/>
      <c r="BM53" s="20"/>
      <c r="BN53" s="20"/>
    </row>
    <row r="54" spans="1:66" ht="24.95" customHeight="1" thickTop="1" thickBot="1" x14ac:dyDescent="0.3">
      <c r="A54" s="23">
        <v>53</v>
      </c>
      <c r="B54" s="23">
        <v>2525527</v>
      </c>
      <c r="C54" s="23" t="s">
        <v>1259</v>
      </c>
      <c r="D54" s="18" t="s">
        <v>1260</v>
      </c>
      <c r="E54" s="23" t="s">
        <v>1224</v>
      </c>
      <c r="F54" s="23" t="s">
        <v>1151</v>
      </c>
      <c r="G54" s="23" t="s">
        <v>1225</v>
      </c>
      <c r="H54" s="23" t="s">
        <v>1226</v>
      </c>
      <c r="I54" s="60" t="s">
        <v>76</v>
      </c>
      <c r="J54" s="61" t="s">
        <v>77</v>
      </c>
      <c r="K54" s="23">
        <v>79</v>
      </c>
      <c r="L54" s="18" t="str">
        <f t="shared" si="0"/>
        <v>Mencapai kompetensi dengan baik dalam hal</v>
      </c>
      <c r="M54" s="23">
        <v>79</v>
      </c>
      <c r="N54" s="18" t="str">
        <f t="shared" si="1"/>
        <v>Mencapai kompetensi dengan baik dalam hal</v>
      </c>
      <c r="O54" s="23">
        <v>82</v>
      </c>
      <c r="P54" s="18" t="str">
        <f t="shared" si="2"/>
        <v>Mencapai kompetensi dengan baik dalam hal</v>
      </c>
      <c r="Q54" s="23">
        <v>79</v>
      </c>
      <c r="R54" s="18" t="str">
        <f t="shared" si="3"/>
        <v>Mencapai kompetensi dengan baik dalam hal</v>
      </c>
      <c r="S54" s="23">
        <v>78</v>
      </c>
      <c r="T54" s="18" t="str">
        <f t="shared" si="4"/>
        <v>Mencapai kompetensi dengan baik dalam hal</v>
      </c>
      <c r="U54" s="23">
        <v>81</v>
      </c>
      <c r="V54" s="18" t="str">
        <f t="shared" si="5"/>
        <v>Mencapai kompetensi dengan baik dalam hal</v>
      </c>
      <c r="W54" s="23">
        <v>80</v>
      </c>
      <c r="X54" s="18" t="str">
        <f t="shared" si="6"/>
        <v>Mencapai kompetensi dengan baik dalam hal</v>
      </c>
      <c r="Y54" s="23">
        <v>77</v>
      </c>
      <c r="Z54" s="18" t="str">
        <f t="shared" si="7"/>
        <v>Mencapai kompetensi dengan baik dalam hal</v>
      </c>
      <c r="AA54" s="23">
        <v>89</v>
      </c>
      <c r="AB54" s="18" t="str">
        <f t="shared" si="8"/>
        <v>Mencapai kompetensi dengan baik dalam hal</v>
      </c>
      <c r="AC54" s="23">
        <v>77</v>
      </c>
      <c r="AD54" s="18" t="str">
        <f t="shared" si="18"/>
        <v>Mencapai kompetensi dengan baik dalam hal</v>
      </c>
      <c r="AE54" s="23">
        <v>79</v>
      </c>
      <c r="AF54" s="18" t="str">
        <f t="shared" si="22"/>
        <v>Mencapai kompetensi dengan baik dalam hal</v>
      </c>
      <c r="AG54" s="23">
        <v>83</v>
      </c>
      <c r="AH54" s="18" t="str">
        <f t="shared" si="10"/>
        <v>Mencapai kompetensi dengan baik dalam hal</v>
      </c>
      <c r="AI54" s="23">
        <v>77</v>
      </c>
      <c r="AJ54" s="18" t="str">
        <f t="shared" si="11"/>
        <v>Mencapai kompetensi dengan baik dalam hal</v>
      </c>
      <c r="AK54" s="23">
        <v>82</v>
      </c>
      <c r="AL54" s="18" t="str">
        <f t="shared" si="12"/>
        <v>Mencapai kompetensi dengan baik dalam hal</v>
      </c>
      <c r="AM54" s="23">
        <v>75</v>
      </c>
      <c r="AN54" s="18" t="str">
        <f t="shared" si="13"/>
        <v>Mencapai kompetensi dengan baik dalam hal</v>
      </c>
      <c r="AO54" s="118">
        <f t="shared" si="19"/>
        <v>79.2</v>
      </c>
      <c r="AP54" s="23">
        <v>89</v>
      </c>
      <c r="AQ54" s="18" t="str">
        <f t="shared" si="14"/>
        <v>Mencapai kompetensi dengan baik dalam hal</v>
      </c>
      <c r="AR54" s="23">
        <v>80</v>
      </c>
      <c r="AS54" s="18" t="str">
        <f t="shared" si="15"/>
        <v>Mencapai kompetensi dengan baik dalam hal</v>
      </c>
      <c r="AT54" s="113" t="s">
        <v>81</v>
      </c>
      <c r="AU54" s="113" t="s">
        <v>81</v>
      </c>
      <c r="AV54" s="113" t="s">
        <v>81</v>
      </c>
      <c r="AW54" s="7">
        <v>1</v>
      </c>
      <c r="AX54" s="12" t="s">
        <v>82</v>
      </c>
      <c r="AY54" s="17" t="s">
        <v>83</v>
      </c>
      <c r="AZ54" s="12" t="s">
        <v>86</v>
      </c>
      <c r="BA54" s="15" t="str">
        <f t="shared" si="20"/>
        <v>Sangat baik</v>
      </c>
      <c r="BB54" s="7">
        <v>2</v>
      </c>
      <c r="BC54" s="17" t="s">
        <v>99</v>
      </c>
      <c r="BD54" s="18" t="s">
        <v>83</v>
      </c>
      <c r="BE54" s="7" t="s">
        <v>86</v>
      </c>
      <c r="BF54" s="15" t="str">
        <f t="shared" si="21"/>
        <v>Sangat baik</v>
      </c>
      <c r="BG54" s="7"/>
      <c r="BH54" s="7"/>
      <c r="BI54" s="7"/>
      <c r="BJ54" s="7"/>
      <c r="BK54" s="15"/>
      <c r="BM54" s="20"/>
      <c r="BN54" s="20"/>
    </row>
    <row r="55" spans="1:66" ht="24.95" customHeight="1" thickTop="1" thickBot="1" x14ac:dyDescent="0.3">
      <c r="A55" s="23">
        <v>54</v>
      </c>
      <c r="B55" s="23">
        <v>2525528</v>
      </c>
      <c r="C55" s="23" t="s">
        <v>1261</v>
      </c>
      <c r="D55" s="18" t="s">
        <v>1262</v>
      </c>
      <c r="E55" s="23" t="s">
        <v>1224</v>
      </c>
      <c r="F55" s="23" t="s">
        <v>1151</v>
      </c>
      <c r="G55" s="23" t="s">
        <v>1225</v>
      </c>
      <c r="H55" s="23" t="s">
        <v>1226</v>
      </c>
      <c r="I55" s="60" t="s">
        <v>76</v>
      </c>
      <c r="J55" s="61" t="s">
        <v>77</v>
      </c>
      <c r="K55" s="23">
        <v>79</v>
      </c>
      <c r="L55" s="18" t="str">
        <f t="shared" si="0"/>
        <v>Mencapai kompetensi dengan baik dalam hal</v>
      </c>
      <c r="M55" s="23">
        <v>80</v>
      </c>
      <c r="N55" s="18" t="str">
        <f t="shared" si="1"/>
        <v>Mencapai kompetensi dengan baik dalam hal</v>
      </c>
      <c r="O55" s="23">
        <v>81</v>
      </c>
      <c r="P55" s="18" t="str">
        <f t="shared" si="2"/>
        <v>Mencapai kompetensi dengan baik dalam hal</v>
      </c>
      <c r="Q55" s="23">
        <v>79</v>
      </c>
      <c r="R55" s="18" t="str">
        <f t="shared" si="3"/>
        <v>Mencapai kompetensi dengan baik dalam hal</v>
      </c>
      <c r="S55" s="23">
        <v>76</v>
      </c>
      <c r="T55" s="18" t="str">
        <f t="shared" si="4"/>
        <v>Mencapai kompetensi dengan baik dalam hal</v>
      </c>
      <c r="U55" s="23">
        <v>80</v>
      </c>
      <c r="V55" s="18" t="str">
        <f t="shared" si="5"/>
        <v>Mencapai kompetensi dengan baik dalam hal</v>
      </c>
      <c r="W55" s="23">
        <v>79</v>
      </c>
      <c r="X55" s="18" t="str">
        <f t="shared" si="6"/>
        <v>Mencapai kompetensi dengan baik dalam hal</v>
      </c>
      <c r="Y55" s="23">
        <v>78</v>
      </c>
      <c r="Z55" s="18" t="str">
        <f t="shared" si="7"/>
        <v>Mencapai kompetensi dengan baik dalam hal</v>
      </c>
      <c r="AA55" s="23">
        <v>78</v>
      </c>
      <c r="AB55" s="18" t="str">
        <f t="shared" si="8"/>
        <v>Mencapai kompetensi dengan baik dalam hal</v>
      </c>
      <c r="AC55" s="23">
        <v>75</v>
      </c>
      <c r="AD55" s="18" t="str">
        <f t="shared" si="18"/>
        <v>Mencapai kompetensi dengan baik dalam hal</v>
      </c>
      <c r="AE55" s="23">
        <v>75</v>
      </c>
      <c r="AF55" s="18" t="str">
        <f t="shared" si="22"/>
        <v>Mencapai kompetensi dengan baik dalam hal</v>
      </c>
      <c r="AG55" s="23">
        <v>82</v>
      </c>
      <c r="AH55" s="18" t="str">
        <f t="shared" si="10"/>
        <v>Mencapai kompetensi dengan baik dalam hal</v>
      </c>
      <c r="AI55" s="23">
        <v>76</v>
      </c>
      <c r="AJ55" s="18" t="str">
        <f t="shared" si="11"/>
        <v>Mencapai kompetensi dengan baik dalam hal</v>
      </c>
      <c r="AK55" s="23">
        <v>83</v>
      </c>
      <c r="AL55" s="18" t="str">
        <f t="shared" si="12"/>
        <v>Mencapai kompetensi dengan baik dalam hal</v>
      </c>
      <c r="AM55" s="23">
        <v>73</v>
      </c>
      <c r="AN55" s="18" t="str">
        <f t="shared" si="13"/>
        <v>Perlu peningkatan dalam hal</v>
      </c>
      <c r="AO55" s="118">
        <f t="shared" si="19"/>
        <v>77.8</v>
      </c>
      <c r="AP55" s="23">
        <v>78</v>
      </c>
      <c r="AQ55" s="18" t="str">
        <f t="shared" si="14"/>
        <v>Mencapai kompetensi dengan baik dalam hal</v>
      </c>
      <c r="AR55" s="23">
        <v>79</v>
      </c>
      <c r="AS55" s="18" t="str">
        <f t="shared" si="15"/>
        <v>Mencapai kompetensi dengan baik dalam hal</v>
      </c>
      <c r="AT55" s="113">
        <v>1</v>
      </c>
      <c r="AU55" s="113" t="s">
        <v>81</v>
      </c>
      <c r="AV55" s="113" t="s">
        <v>81</v>
      </c>
      <c r="AW55" s="7">
        <v>1</v>
      </c>
      <c r="AX55" s="12" t="s">
        <v>82</v>
      </c>
      <c r="AY55" s="17" t="s">
        <v>83</v>
      </c>
      <c r="AZ55" s="12" t="s">
        <v>84</v>
      </c>
      <c r="BA55" s="15" t="str">
        <f t="shared" si="20"/>
        <v>Baik</v>
      </c>
      <c r="BB55" s="7">
        <v>2</v>
      </c>
      <c r="BC55" s="17" t="s">
        <v>119</v>
      </c>
      <c r="BD55" s="18" t="s">
        <v>83</v>
      </c>
      <c r="BE55" s="7" t="s">
        <v>104</v>
      </c>
      <c r="BF55" s="15" t="str">
        <f t="shared" si="21"/>
        <v>Cukup</v>
      </c>
      <c r="BG55" s="7"/>
      <c r="BH55" s="7"/>
      <c r="BI55" s="7"/>
      <c r="BJ55" s="7"/>
      <c r="BK55" s="15"/>
      <c r="BM55" s="20"/>
      <c r="BN55" s="20"/>
    </row>
    <row r="56" spans="1:66" ht="24.95" customHeight="1" thickTop="1" thickBot="1" x14ac:dyDescent="0.3">
      <c r="A56" s="23">
        <v>55</v>
      </c>
      <c r="B56" s="23">
        <v>2525529</v>
      </c>
      <c r="C56" s="23" t="s">
        <v>1263</v>
      </c>
      <c r="D56" s="18" t="s">
        <v>1264</v>
      </c>
      <c r="E56" s="23" t="s">
        <v>1224</v>
      </c>
      <c r="F56" s="23" t="s">
        <v>1151</v>
      </c>
      <c r="G56" s="23" t="s">
        <v>1225</v>
      </c>
      <c r="H56" s="23" t="s">
        <v>1226</v>
      </c>
      <c r="I56" s="60" t="s">
        <v>76</v>
      </c>
      <c r="J56" s="61" t="s">
        <v>77</v>
      </c>
      <c r="K56" s="23">
        <v>75</v>
      </c>
      <c r="L56" s="18" t="str">
        <f t="shared" si="0"/>
        <v>Mencapai kompetensi dengan baik dalam hal</v>
      </c>
      <c r="M56" s="23">
        <v>78</v>
      </c>
      <c r="N56" s="18" t="str">
        <f t="shared" si="1"/>
        <v>Mencapai kompetensi dengan baik dalam hal</v>
      </c>
      <c r="O56" s="23">
        <v>82</v>
      </c>
      <c r="P56" s="18" t="str">
        <f t="shared" si="2"/>
        <v>Mencapai kompetensi dengan baik dalam hal</v>
      </c>
      <c r="Q56" s="23">
        <v>78</v>
      </c>
      <c r="R56" s="18" t="str">
        <f t="shared" si="3"/>
        <v>Mencapai kompetensi dengan baik dalam hal</v>
      </c>
      <c r="S56" s="23">
        <v>76</v>
      </c>
      <c r="T56" s="18" t="str">
        <f t="shared" si="4"/>
        <v>Mencapai kompetensi dengan baik dalam hal</v>
      </c>
      <c r="U56" s="23">
        <v>79</v>
      </c>
      <c r="V56" s="18" t="str">
        <f t="shared" si="5"/>
        <v>Mencapai kompetensi dengan baik dalam hal</v>
      </c>
      <c r="W56" s="23">
        <v>79</v>
      </c>
      <c r="X56" s="18" t="str">
        <f t="shared" si="6"/>
        <v>Mencapai kompetensi dengan baik dalam hal</v>
      </c>
      <c r="Y56" s="23">
        <v>80</v>
      </c>
      <c r="Z56" s="18" t="str">
        <f t="shared" si="7"/>
        <v>Mencapai kompetensi dengan baik dalam hal</v>
      </c>
      <c r="AA56" s="23">
        <v>78</v>
      </c>
      <c r="AB56" s="18" t="str">
        <f t="shared" si="8"/>
        <v>Mencapai kompetensi dengan baik dalam hal</v>
      </c>
      <c r="AC56" s="23">
        <v>79</v>
      </c>
      <c r="AD56" s="18" t="str">
        <f t="shared" si="18"/>
        <v>Mencapai kompetensi dengan baik dalam hal</v>
      </c>
      <c r="AE56" s="23">
        <v>84</v>
      </c>
      <c r="AF56" s="18" t="str">
        <f t="shared" si="22"/>
        <v>Mencapai kompetensi dengan baik dalam hal</v>
      </c>
      <c r="AG56" s="23">
        <v>83</v>
      </c>
      <c r="AH56" s="18" t="str">
        <f t="shared" si="10"/>
        <v>Mencapai kompetensi dengan baik dalam hal</v>
      </c>
      <c r="AI56" s="23">
        <v>84</v>
      </c>
      <c r="AJ56" s="18" t="str">
        <f t="shared" si="11"/>
        <v>Mencapai kompetensi dengan baik dalam hal</v>
      </c>
      <c r="AK56" s="23">
        <v>81</v>
      </c>
      <c r="AL56" s="18" t="str">
        <f t="shared" si="12"/>
        <v>Mencapai kompetensi dengan baik dalam hal</v>
      </c>
      <c r="AM56" s="23">
        <v>73</v>
      </c>
      <c r="AN56" s="18" t="str">
        <f t="shared" si="13"/>
        <v>Perlu peningkatan dalam hal</v>
      </c>
      <c r="AO56" s="118">
        <f t="shared" si="19"/>
        <v>81</v>
      </c>
      <c r="AP56" s="23">
        <v>78</v>
      </c>
      <c r="AQ56" s="18" t="str">
        <f t="shared" si="14"/>
        <v>Mencapai kompetensi dengan baik dalam hal</v>
      </c>
      <c r="AR56" s="23">
        <v>79</v>
      </c>
      <c r="AS56" s="18" t="str">
        <f t="shared" si="15"/>
        <v>Mencapai kompetensi dengan baik dalam hal</v>
      </c>
      <c r="AT56" s="113">
        <v>4</v>
      </c>
      <c r="AU56" s="113" t="s">
        <v>81</v>
      </c>
      <c r="AV56" s="113" t="s">
        <v>81</v>
      </c>
      <c r="AW56" s="7">
        <v>1</v>
      </c>
      <c r="AX56" s="12" t="s">
        <v>82</v>
      </c>
      <c r="AY56" s="17" t="s">
        <v>83</v>
      </c>
      <c r="AZ56" s="12" t="s">
        <v>84</v>
      </c>
      <c r="BA56" s="15" t="str">
        <f t="shared" si="20"/>
        <v>Baik</v>
      </c>
      <c r="BB56" s="7">
        <v>2</v>
      </c>
      <c r="BC56" s="17" t="s">
        <v>119</v>
      </c>
      <c r="BD56" s="18" t="s">
        <v>83</v>
      </c>
      <c r="BE56" s="7" t="s">
        <v>84</v>
      </c>
      <c r="BF56" s="15" t="str">
        <f t="shared" si="21"/>
        <v>Baik</v>
      </c>
      <c r="BG56" s="7"/>
      <c r="BH56" s="7"/>
      <c r="BI56" s="7"/>
      <c r="BJ56" s="7"/>
      <c r="BK56" s="15"/>
      <c r="BM56" s="20"/>
      <c r="BN56" s="20"/>
    </row>
    <row r="57" spans="1:66" ht="24.95" customHeight="1" thickTop="1" thickBot="1" x14ac:dyDescent="0.3">
      <c r="A57" s="23">
        <v>56</v>
      </c>
      <c r="B57" s="23">
        <v>2525530</v>
      </c>
      <c r="C57" s="23" t="s">
        <v>1265</v>
      </c>
      <c r="D57" s="18" t="s">
        <v>1266</v>
      </c>
      <c r="E57" s="23" t="s">
        <v>1224</v>
      </c>
      <c r="F57" s="23" t="s">
        <v>1151</v>
      </c>
      <c r="G57" s="23" t="s">
        <v>1225</v>
      </c>
      <c r="H57" s="23" t="s">
        <v>1226</v>
      </c>
      <c r="I57" s="60" t="s">
        <v>76</v>
      </c>
      <c r="J57" s="61" t="s">
        <v>77</v>
      </c>
      <c r="K57" s="23">
        <v>80</v>
      </c>
      <c r="L57" s="18" t="str">
        <f t="shared" si="0"/>
        <v>Mencapai kompetensi dengan baik dalam hal</v>
      </c>
      <c r="M57" s="23">
        <v>79</v>
      </c>
      <c r="N57" s="18" t="str">
        <f t="shared" si="1"/>
        <v>Mencapai kompetensi dengan baik dalam hal</v>
      </c>
      <c r="O57" s="23">
        <v>81</v>
      </c>
      <c r="P57" s="18" t="str">
        <f t="shared" si="2"/>
        <v>Mencapai kompetensi dengan baik dalam hal</v>
      </c>
      <c r="Q57" s="23">
        <v>80</v>
      </c>
      <c r="R57" s="18" t="str">
        <f t="shared" si="3"/>
        <v>Mencapai kompetensi dengan baik dalam hal</v>
      </c>
      <c r="S57" s="23">
        <v>78</v>
      </c>
      <c r="T57" s="18" t="str">
        <f t="shared" si="4"/>
        <v>Mencapai kompetensi dengan baik dalam hal</v>
      </c>
      <c r="U57" s="23">
        <v>82</v>
      </c>
      <c r="V57" s="18" t="str">
        <f t="shared" si="5"/>
        <v>Mencapai kompetensi dengan baik dalam hal</v>
      </c>
      <c r="W57" s="23">
        <v>80</v>
      </c>
      <c r="X57" s="18" t="str">
        <f t="shared" si="6"/>
        <v>Mencapai kompetensi dengan baik dalam hal</v>
      </c>
      <c r="Y57" s="23">
        <v>79</v>
      </c>
      <c r="Z57" s="18" t="str">
        <f t="shared" si="7"/>
        <v>Mencapai kompetensi dengan baik dalam hal</v>
      </c>
      <c r="AA57" s="23">
        <v>76</v>
      </c>
      <c r="AB57" s="18" t="str">
        <f t="shared" si="8"/>
        <v>Mencapai kompetensi dengan baik dalam hal</v>
      </c>
      <c r="AC57" s="23">
        <v>75</v>
      </c>
      <c r="AD57" s="18" t="str">
        <f t="shared" si="18"/>
        <v>Mencapai kompetensi dengan baik dalam hal</v>
      </c>
      <c r="AE57" s="23">
        <v>79</v>
      </c>
      <c r="AF57" s="18" t="str">
        <f t="shared" si="22"/>
        <v>Mencapai kompetensi dengan baik dalam hal</v>
      </c>
      <c r="AG57" s="23">
        <v>81</v>
      </c>
      <c r="AH57" s="18" t="str">
        <f t="shared" si="10"/>
        <v>Mencapai kompetensi dengan baik dalam hal</v>
      </c>
      <c r="AI57" s="23">
        <v>75</v>
      </c>
      <c r="AJ57" s="18" t="str">
        <f t="shared" si="11"/>
        <v>Mencapai kompetensi dengan baik dalam hal</v>
      </c>
      <c r="AK57" s="23">
        <v>81</v>
      </c>
      <c r="AL57" s="18" t="str">
        <f t="shared" si="12"/>
        <v>Mencapai kompetensi dengan baik dalam hal</v>
      </c>
      <c r="AM57" s="23">
        <v>79</v>
      </c>
      <c r="AN57" s="18" t="str">
        <f t="shared" si="13"/>
        <v>Mencapai kompetensi dengan baik dalam hal</v>
      </c>
      <c r="AO57" s="118">
        <f t="shared" si="19"/>
        <v>79</v>
      </c>
      <c r="AP57" s="23">
        <v>76</v>
      </c>
      <c r="AQ57" s="18" t="str">
        <f t="shared" si="14"/>
        <v>Mencapai kompetensi dengan baik dalam hal</v>
      </c>
      <c r="AR57" s="23">
        <v>79</v>
      </c>
      <c r="AS57" s="18" t="str">
        <f t="shared" si="15"/>
        <v>Mencapai kompetensi dengan baik dalam hal</v>
      </c>
      <c r="AT57" s="113" t="s">
        <v>81</v>
      </c>
      <c r="AU57" s="113" t="s">
        <v>81</v>
      </c>
      <c r="AV57" s="113" t="s">
        <v>81</v>
      </c>
      <c r="AW57" s="7">
        <v>1</v>
      </c>
      <c r="AX57" s="12" t="s">
        <v>82</v>
      </c>
      <c r="AY57" s="17" t="s">
        <v>83</v>
      </c>
      <c r="AZ57" s="12" t="s">
        <v>86</v>
      </c>
      <c r="BA57" s="15" t="str">
        <f t="shared" si="20"/>
        <v>Sangat baik</v>
      </c>
      <c r="BB57" s="7">
        <v>2</v>
      </c>
      <c r="BC57" s="17" t="s">
        <v>116</v>
      </c>
      <c r="BD57" s="18" t="s">
        <v>83</v>
      </c>
      <c r="BE57" s="7" t="s">
        <v>86</v>
      </c>
      <c r="BF57" s="15" t="str">
        <f t="shared" si="21"/>
        <v>Sangat baik</v>
      </c>
      <c r="BG57" s="7"/>
      <c r="BH57" s="7"/>
      <c r="BI57" s="7"/>
      <c r="BJ57" s="7"/>
      <c r="BK57" s="15"/>
      <c r="BM57" s="20"/>
      <c r="BN57" s="20"/>
    </row>
    <row r="58" spans="1:66" ht="24.95" customHeight="1" thickTop="1" thickBot="1" x14ac:dyDescent="0.3">
      <c r="A58" s="23">
        <v>57</v>
      </c>
      <c r="B58" s="23">
        <v>2525531</v>
      </c>
      <c r="C58" s="23" t="s">
        <v>1267</v>
      </c>
      <c r="D58" s="18" t="s">
        <v>1268</v>
      </c>
      <c r="E58" s="23" t="s">
        <v>1224</v>
      </c>
      <c r="F58" s="23" t="s">
        <v>1151</v>
      </c>
      <c r="G58" s="23" t="s">
        <v>1225</v>
      </c>
      <c r="H58" s="23" t="s">
        <v>1226</v>
      </c>
      <c r="I58" s="60" t="s">
        <v>76</v>
      </c>
      <c r="J58" s="61" t="s">
        <v>77</v>
      </c>
      <c r="K58" s="23">
        <v>80</v>
      </c>
      <c r="L58" s="18" t="str">
        <f t="shared" si="0"/>
        <v>Mencapai kompetensi dengan baik dalam hal</v>
      </c>
      <c r="M58" s="23">
        <v>78</v>
      </c>
      <c r="N58" s="18" t="str">
        <f t="shared" si="1"/>
        <v>Mencapai kompetensi dengan baik dalam hal</v>
      </c>
      <c r="O58" s="23">
        <v>79</v>
      </c>
      <c r="P58" s="18" t="str">
        <f t="shared" si="2"/>
        <v>Mencapai kompetensi dengan baik dalam hal</v>
      </c>
      <c r="Q58" s="23">
        <v>79</v>
      </c>
      <c r="R58" s="18" t="str">
        <f t="shared" si="3"/>
        <v>Mencapai kompetensi dengan baik dalam hal</v>
      </c>
      <c r="S58" s="23">
        <v>78</v>
      </c>
      <c r="T58" s="18" t="str">
        <f t="shared" si="4"/>
        <v>Mencapai kompetensi dengan baik dalam hal</v>
      </c>
      <c r="U58" s="23">
        <v>78</v>
      </c>
      <c r="V58" s="18" t="str">
        <f t="shared" si="5"/>
        <v>Mencapai kompetensi dengan baik dalam hal</v>
      </c>
      <c r="W58" s="23">
        <v>82</v>
      </c>
      <c r="X58" s="18" t="str">
        <f t="shared" si="6"/>
        <v>Mencapai kompetensi dengan baik dalam hal</v>
      </c>
      <c r="Y58" s="23">
        <v>81</v>
      </c>
      <c r="Z58" s="18" t="str">
        <f t="shared" si="7"/>
        <v>Mencapai kompetensi dengan baik dalam hal</v>
      </c>
      <c r="AA58" s="23">
        <v>82</v>
      </c>
      <c r="AB58" s="18" t="str">
        <f t="shared" si="8"/>
        <v>Mencapai kompetensi dengan baik dalam hal</v>
      </c>
      <c r="AC58" s="23">
        <v>75</v>
      </c>
      <c r="AD58" s="18" t="str">
        <f t="shared" si="18"/>
        <v>Mencapai kompetensi dengan baik dalam hal</v>
      </c>
      <c r="AE58" s="23">
        <v>81</v>
      </c>
      <c r="AF58" s="18" t="str">
        <f t="shared" si="22"/>
        <v>Mencapai kompetensi dengan baik dalam hal</v>
      </c>
      <c r="AG58" s="23">
        <v>83</v>
      </c>
      <c r="AH58" s="18" t="str">
        <f t="shared" si="10"/>
        <v>Mencapai kompetensi dengan baik dalam hal</v>
      </c>
      <c r="AI58" s="23">
        <v>78</v>
      </c>
      <c r="AJ58" s="18" t="str">
        <f t="shared" si="11"/>
        <v>Mencapai kompetensi dengan baik dalam hal</v>
      </c>
      <c r="AK58" s="23">
        <v>77</v>
      </c>
      <c r="AL58" s="18" t="str">
        <f t="shared" si="12"/>
        <v>Mencapai kompetensi dengan baik dalam hal</v>
      </c>
      <c r="AM58" s="23">
        <v>81</v>
      </c>
      <c r="AN58" s="18" t="str">
        <f t="shared" si="13"/>
        <v>Mencapai kompetensi dengan baik dalam hal</v>
      </c>
      <c r="AO58" s="118">
        <f t="shared" si="19"/>
        <v>80</v>
      </c>
      <c r="AP58" s="23">
        <v>82</v>
      </c>
      <c r="AQ58" s="18" t="str">
        <f t="shared" si="14"/>
        <v>Mencapai kompetensi dengan baik dalam hal</v>
      </c>
      <c r="AR58" s="23">
        <v>80</v>
      </c>
      <c r="AS58" s="18" t="str">
        <f t="shared" si="15"/>
        <v>Mencapai kompetensi dengan baik dalam hal</v>
      </c>
      <c r="AT58" s="113" t="s">
        <v>81</v>
      </c>
      <c r="AU58" s="113" t="s">
        <v>81</v>
      </c>
      <c r="AV58" s="113" t="s">
        <v>81</v>
      </c>
      <c r="AW58" s="7">
        <v>1</v>
      </c>
      <c r="AX58" s="12" t="s">
        <v>82</v>
      </c>
      <c r="AY58" s="17" t="s">
        <v>83</v>
      </c>
      <c r="AZ58" s="12" t="s">
        <v>84</v>
      </c>
      <c r="BA58" s="15" t="str">
        <f t="shared" si="20"/>
        <v>Baik</v>
      </c>
      <c r="BB58" s="7">
        <v>2</v>
      </c>
      <c r="BC58" s="17" t="s">
        <v>579</v>
      </c>
      <c r="BD58" s="18" t="s">
        <v>83</v>
      </c>
      <c r="BE58" s="7" t="s">
        <v>86</v>
      </c>
      <c r="BF58" s="15" t="str">
        <f t="shared" si="21"/>
        <v>Sangat baik</v>
      </c>
      <c r="BG58" s="7"/>
      <c r="BH58" s="7"/>
      <c r="BI58" s="7"/>
      <c r="BJ58" s="7"/>
      <c r="BK58" s="15"/>
      <c r="BM58" s="20"/>
      <c r="BN58" s="20"/>
    </row>
    <row r="59" spans="1:66" ht="24.95" customHeight="1" thickTop="1" thickBot="1" x14ac:dyDescent="0.3">
      <c r="A59" s="23">
        <v>58</v>
      </c>
      <c r="B59" s="23">
        <v>2525532</v>
      </c>
      <c r="C59" s="23" t="s">
        <v>1269</v>
      </c>
      <c r="D59" s="18" t="s">
        <v>1270</v>
      </c>
      <c r="E59" s="23" t="s">
        <v>1224</v>
      </c>
      <c r="F59" s="23" t="s">
        <v>1151</v>
      </c>
      <c r="G59" s="23" t="s">
        <v>1225</v>
      </c>
      <c r="H59" s="23" t="s">
        <v>1226</v>
      </c>
      <c r="I59" s="60" t="s">
        <v>76</v>
      </c>
      <c r="J59" s="61" t="s">
        <v>77</v>
      </c>
      <c r="K59" s="23">
        <v>79</v>
      </c>
      <c r="L59" s="18" t="str">
        <f t="shared" si="0"/>
        <v>Mencapai kompetensi dengan baik dalam hal</v>
      </c>
      <c r="M59" s="23">
        <v>77</v>
      </c>
      <c r="N59" s="18" t="str">
        <f t="shared" si="1"/>
        <v>Mencapai kompetensi dengan baik dalam hal</v>
      </c>
      <c r="O59" s="23">
        <v>79</v>
      </c>
      <c r="P59" s="18" t="str">
        <f t="shared" si="2"/>
        <v>Mencapai kompetensi dengan baik dalam hal</v>
      </c>
      <c r="Q59" s="23">
        <v>80</v>
      </c>
      <c r="R59" s="18" t="str">
        <f t="shared" si="3"/>
        <v>Mencapai kompetensi dengan baik dalam hal</v>
      </c>
      <c r="S59" s="23">
        <v>75</v>
      </c>
      <c r="T59" s="18" t="str">
        <f t="shared" si="4"/>
        <v>Mencapai kompetensi dengan baik dalam hal</v>
      </c>
      <c r="U59" s="23">
        <v>77</v>
      </c>
      <c r="V59" s="18" t="str">
        <f t="shared" si="5"/>
        <v>Mencapai kompetensi dengan baik dalam hal</v>
      </c>
      <c r="W59" s="23">
        <v>79</v>
      </c>
      <c r="X59" s="18" t="str">
        <f t="shared" si="6"/>
        <v>Mencapai kompetensi dengan baik dalam hal</v>
      </c>
      <c r="Y59" s="23">
        <v>77</v>
      </c>
      <c r="Z59" s="18" t="str">
        <f t="shared" si="7"/>
        <v>Mencapai kompetensi dengan baik dalam hal</v>
      </c>
      <c r="AA59" s="23">
        <v>78</v>
      </c>
      <c r="AB59" s="18" t="str">
        <f t="shared" si="8"/>
        <v>Mencapai kompetensi dengan baik dalam hal</v>
      </c>
      <c r="AC59" s="23">
        <v>75</v>
      </c>
      <c r="AD59" s="18" t="str">
        <f t="shared" si="18"/>
        <v>Mencapai kompetensi dengan baik dalam hal</v>
      </c>
      <c r="AE59" s="23">
        <v>76</v>
      </c>
      <c r="AF59" s="18" t="str">
        <f t="shared" si="22"/>
        <v>Mencapai kompetensi dengan baik dalam hal</v>
      </c>
      <c r="AG59" s="23">
        <v>80</v>
      </c>
      <c r="AH59" s="18" t="str">
        <f t="shared" si="10"/>
        <v>Mencapai kompetensi dengan baik dalam hal</v>
      </c>
      <c r="AI59" s="23">
        <v>75</v>
      </c>
      <c r="AJ59" s="18" t="str">
        <f t="shared" si="11"/>
        <v>Mencapai kompetensi dengan baik dalam hal</v>
      </c>
      <c r="AK59" s="23">
        <v>75</v>
      </c>
      <c r="AL59" s="18" t="str">
        <f t="shared" si="12"/>
        <v>Mencapai kompetensi dengan baik dalam hal</v>
      </c>
      <c r="AM59" s="23">
        <v>70</v>
      </c>
      <c r="AN59" s="18" t="str">
        <f t="shared" si="13"/>
        <v>Perlu peningkatan dalam hal</v>
      </c>
      <c r="AO59" s="118">
        <f t="shared" si="19"/>
        <v>75.2</v>
      </c>
      <c r="AP59" s="23">
        <v>78</v>
      </c>
      <c r="AQ59" s="18" t="str">
        <f t="shared" si="14"/>
        <v>Mencapai kompetensi dengan baik dalam hal</v>
      </c>
      <c r="AR59" s="23">
        <v>78</v>
      </c>
      <c r="AS59" s="18" t="str">
        <f t="shared" si="15"/>
        <v>Mencapai kompetensi dengan baik dalam hal</v>
      </c>
      <c r="AT59" s="113" t="s">
        <v>81</v>
      </c>
      <c r="AU59" s="113" t="s">
        <v>81</v>
      </c>
      <c r="AV59" s="113" t="s">
        <v>81</v>
      </c>
      <c r="AW59" s="7">
        <v>1</v>
      </c>
      <c r="AX59" s="12" t="s">
        <v>82</v>
      </c>
      <c r="AY59" s="17" t="s">
        <v>83</v>
      </c>
      <c r="AZ59" s="12" t="s">
        <v>84</v>
      </c>
      <c r="BA59" s="15" t="str">
        <f t="shared" si="20"/>
        <v>Baik</v>
      </c>
      <c r="BB59" s="7">
        <v>2</v>
      </c>
      <c r="BC59" s="17" t="s">
        <v>325</v>
      </c>
      <c r="BD59" s="18" t="s">
        <v>83</v>
      </c>
      <c r="BE59" s="7" t="s">
        <v>84</v>
      </c>
      <c r="BF59" s="15" t="str">
        <f t="shared" si="21"/>
        <v>Baik</v>
      </c>
      <c r="BG59" s="7"/>
      <c r="BH59" s="7"/>
      <c r="BI59" s="7"/>
      <c r="BJ59" s="7"/>
      <c r="BK59" s="15"/>
      <c r="BM59" s="20"/>
      <c r="BN59" s="20"/>
    </row>
    <row r="60" spans="1:66" ht="24.95" customHeight="1" thickTop="1" thickBot="1" x14ac:dyDescent="0.3">
      <c r="A60" s="23">
        <v>59</v>
      </c>
      <c r="B60" s="23">
        <v>2525533</v>
      </c>
      <c r="C60" s="23" t="s">
        <v>1271</v>
      </c>
      <c r="D60" s="18" t="s">
        <v>1272</v>
      </c>
      <c r="E60" s="23" t="s">
        <v>1224</v>
      </c>
      <c r="F60" s="23" t="s">
        <v>1151</v>
      </c>
      <c r="G60" s="23" t="s">
        <v>1225</v>
      </c>
      <c r="H60" s="23" t="s">
        <v>1226</v>
      </c>
      <c r="I60" s="60" t="s">
        <v>76</v>
      </c>
      <c r="J60" s="61" t="s">
        <v>77</v>
      </c>
      <c r="K60" s="23">
        <v>80</v>
      </c>
      <c r="L60" s="18" t="str">
        <f t="shared" si="0"/>
        <v>Mencapai kompetensi dengan baik dalam hal</v>
      </c>
      <c r="M60" s="23">
        <v>78</v>
      </c>
      <c r="N60" s="18" t="str">
        <f t="shared" si="1"/>
        <v>Mencapai kompetensi dengan baik dalam hal</v>
      </c>
      <c r="O60" s="23">
        <v>81</v>
      </c>
      <c r="P60" s="18" t="str">
        <f t="shared" si="2"/>
        <v>Mencapai kompetensi dengan baik dalam hal</v>
      </c>
      <c r="Q60" s="23">
        <v>80</v>
      </c>
      <c r="R60" s="18" t="str">
        <f t="shared" si="3"/>
        <v>Mencapai kompetensi dengan baik dalam hal</v>
      </c>
      <c r="S60" s="23">
        <v>76</v>
      </c>
      <c r="T60" s="18" t="str">
        <f t="shared" si="4"/>
        <v>Mencapai kompetensi dengan baik dalam hal</v>
      </c>
      <c r="U60" s="23">
        <v>78</v>
      </c>
      <c r="V60" s="18" t="str">
        <f t="shared" si="5"/>
        <v>Mencapai kompetensi dengan baik dalam hal</v>
      </c>
      <c r="W60" s="23">
        <v>82</v>
      </c>
      <c r="X60" s="18" t="str">
        <f t="shared" si="6"/>
        <v>Mencapai kompetensi dengan baik dalam hal</v>
      </c>
      <c r="Y60" s="23">
        <v>78</v>
      </c>
      <c r="Z60" s="18" t="str">
        <f t="shared" si="7"/>
        <v>Mencapai kompetensi dengan baik dalam hal</v>
      </c>
      <c r="AA60" s="23">
        <v>84</v>
      </c>
      <c r="AB60" s="18" t="str">
        <f t="shared" si="8"/>
        <v>Mencapai kompetensi dengan baik dalam hal</v>
      </c>
      <c r="AC60" s="23">
        <v>80</v>
      </c>
      <c r="AD60" s="18" t="str">
        <f t="shared" si="18"/>
        <v>Mencapai kompetensi dengan baik dalam hal</v>
      </c>
      <c r="AE60" s="23">
        <v>82</v>
      </c>
      <c r="AF60" s="18" t="str">
        <f t="shared" si="22"/>
        <v>Mencapai kompetensi dengan baik dalam hal</v>
      </c>
      <c r="AG60" s="23">
        <v>83</v>
      </c>
      <c r="AH60" s="18" t="str">
        <f t="shared" si="10"/>
        <v>Mencapai kompetensi dengan baik dalam hal</v>
      </c>
      <c r="AI60" s="23">
        <v>75</v>
      </c>
      <c r="AJ60" s="18" t="str">
        <f t="shared" si="11"/>
        <v>Mencapai kompetensi dengan baik dalam hal</v>
      </c>
      <c r="AK60" s="23">
        <v>81</v>
      </c>
      <c r="AL60" s="18" t="str">
        <f t="shared" si="12"/>
        <v>Mencapai kompetensi dengan baik dalam hal</v>
      </c>
      <c r="AM60" s="23">
        <v>76</v>
      </c>
      <c r="AN60" s="18" t="str">
        <f t="shared" si="13"/>
        <v>Mencapai kompetensi dengan baik dalam hal</v>
      </c>
      <c r="AO60" s="118">
        <f t="shared" si="19"/>
        <v>79.400000000000006</v>
      </c>
      <c r="AP60" s="23">
        <v>84</v>
      </c>
      <c r="AQ60" s="18" t="str">
        <f t="shared" si="14"/>
        <v>Mencapai kompetensi dengan baik dalam hal</v>
      </c>
      <c r="AR60" s="23">
        <v>76</v>
      </c>
      <c r="AS60" s="18" t="str">
        <f t="shared" si="15"/>
        <v>Mencapai kompetensi dengan baik dalam hal</v>
      </c>
      <c r="AT60" s="113">
        <v>1</v>
      </c>
      <c r="AU60" s="113" t="s">
        <v>81</v>
      </c>
      <c r="AV60" s="113" t="s">
        <v>81</v>
      </c>
      <c r="AW60" s="7">
        <v>1</v>
      </c>
      <c r="AX60" s="12" t="s">
        <v>82</v>
      </c>
      <c r="AY60" s="17" t="s">
        <v>83</v>
      </c>
      <c r="AZ60" s="12" t="s">
        <v>86</v>
      </c>
      <c r="BA60" s="15" t="str">
        <f t="shared" si="20"/>
        <v>Sangat baik</v>
      </c>
      <c r="BB60" s="7">
        <v>2</v>
      </c>
      <c r="BC60" s="17" t="s">
        <v>116</v>
      </c>
      <c r="BD60" s="18" t="s">
        <v>83</v>
      </c>
      <c r="BE60" s="7" t="s">
        <v>86</v>
      </c>
      <c r="BF60" s="15" t="str">
        <f t="shared" si="21"/>
        <v>Sangat baik</v>
      </c>
      <c r="BG60" s="7"/>
      <c r="BH60" s="7"/>
      <c r="BI60" s="7"/>
      <c r="BJ60" s="7"/>
      <c r="BK60" s="15"/>
      <c r="BM60" s="20"/>
      <c r="BN60" s="20"/>
    </row>
    <row r="61" spans="1:66" ht="24.95" customHeight="1" thickTop="1" thickBot="1" x14ac:dyDescent="0.3">
      <c r="A61" s="23">
        <v>60</v>
      </c>
      <c r="B61" s="23">
        <v>2525535</v>
      </c>
      <c r="C61" s="23" t="s">
        <v>1273</v>
      </c>
      <c r="D61" s="18" t="s">
        <v>1274</v>
      </c>
      <c r="E61" s="23" t="s">
        <v>1224</v>
      </c>
      <c r="F61" s="23" t="s">
        <v>1151</v>
      </c>
      <c r="G61" s="23" t="s">
        <v>1225</v>
      </c>
      <c r="H61" s="23" t="s">
        <v>1226</v>
      </c>
      <c r="I61" s="60" t="s">
        <v>76</v>
      </c>
      <c r="J61" s="61" t="s">
        <v>77</v>
      </c>
      <c r="K61" s="23">
        <v>80</v>
      </c>
      <c r="L61" s="18" t="s">
        <v>109</v>
      </c>
      <c r="M61" s="23">
        <v>76</v>
      </c>
      <c r="N61" s="18" t="s">
        <v>109</v>
      </c>
      <c r="O61" s="23">
        <v>80</v>
      </c>
      <c r="P61" s="18" t="s">
        <v>109</v>
      </c>
      <c r="Q61" s="23">
        <v>79</v>
      </c>
      <c r="R61" s="18" t="s">
        <v>109</v>
      </c>
      <c r="S61" s="23">
        <v>82</v>
      </c>
      <c r="T61" s="18" t="s">
        <v>109</v>
      </c>
      <c r="U61" s="23">
        <v>80</v>
      </c>
      <c r="V61" s="18" t="s">
        <v>109</v>
      </c>
      <c r="W61" s="23">
        <v>80</v>
      </c>
      <c r="X61" s="18" t="s">
        <v>109</v>
      </c>
      <c r="Y61" s="23">
        <v>76</v>
      </c>
      <c r="Z61" s="18" t="s">
        <v>109</v>
      </c>
      <c r="AA61" s="23">
        <v>78</v>
      </c>
      <c r="AB61" s="18" t="s">
        <v>109</v>
      </c>
      <c r="AC61" s="23">
        <v>75</v>
      </c>
      <c r="AD61" s="18" t="s">
        <v>109</v>
      </c>
      <c r="AE61" s="23">
        <v>82</v>
      </c>
      <c r="AF61" s="18" t="s">
        <v>109</v>
      </c>
      <c r="AG61" s="23">
        <v>84</v>
      </c>
      <c r="AH61" s="18" t="s">
        <v>109</v>
      </c>
      <c r="AI61" s="23">
        <v>79</v>
      </c>
      <c r="AJ61" s="18" t="s">
        <v>109</v>
      </c>
      <c r="AK61" s="23">
        <v>83</v>
      </c>
      <c r="AL61" s="18" t="s">
        <v>95</v>
      </c>
      <c r="AM61" s="23">
        <v>78</v>
      </c>
      <c r="AN61" s="18" t="s">
        <v>95</v>
      </c>
      <c r="AO61" s="118">
        <f t="shared" si="19"/>
        <v>81.2</v>
      </c>
      <c r="AP61" s="23">
        <v>78</v>
      </c>
      <c r="AQ61" s="18" t="s">
        <v>109</v>
      </c>
      <c r="AR61" s="23">
        <v>80</v>
      </c>
      <c r="AS61" s="18" t="str">
        <f t="shared" si="15"/>
        <v>Mencapai kompetensi dengan baik dalam hal</v>
      </c>
      <c r="AT61" s="113">
        <v>3</v>
      </c>
      <c r="AU61" s="113" t="s">
        <v>81</v>
      </c>
      <c r="AV61" s="113" t="s">
        <v>81</v>
      </c>
      <c r="AW61" s="7">
        <v>1</v>
      </c>
      <c r="AX61" s="12" t="s">
        <v>82</v>
      </c>
      <c r="AY61" s="17" t="s">
        <v>83</v>
      </c>
      <c r="AZ61" s="12" t="s">
        <v>84</v>
      </c>
      <c r="BA61" s="15" t="str">
        <f t="shared" si="20"/>
        <v>Baik</v>
      </c>
      <c r="BB61" s="7">
        <v>2</v>
      </c>
      <c r="BC61" s="17" t="s">
        <v>1073</v>
      </c>
      <c r="BD61" s="18" t="s">
        <v>83</v>
      </c>
      <c r="BE61" s="7" t="s">
        <v>86</v>
      </c>
      <c r="BF61" s="15" t="str">
        <f t="shared" si="21"/>
        <v>Sangat baik</v>
      </c>
      <c r="BG61" s="7"/>
      <c r="BH61" s="7"/>
      <c r="BI61" s="7"/>
      <c r="BJ61" s="7"/>
      <c r="BK61" s="15"/>
      <c r="BM61" s="20"/>
      <c r="BN61" s="20"/>
    </row>
    <row r="62" spans="1:66" ht="24.95" customHeight="1" thickTop="1" thickBot="1" x14ac:dyDescent="0.3">
      <c r="A62" s="23">
        <v>61</v>
      </c>
      <c r="B62" s="23">
        <v>2525536</v>
      </c>
      <c r="C62" s="23" t="s">
        <v>1275</v>
      </c>
      <c r="D62" s="18" t="s">
        <v>1276</v>
      </c>
      <c r="E62" s="23" t="s">
        <v>1224</v>
      </c>
      <c r="F62" s="23" t="s">
        <v>1151</v>
      </c>
      <c r="G62" s="23" t="s">
        <v>1225</v>
      </c>
      <c r="H62" s="23" t="s">
        <v>1226</v>
      </c>
      <c r="I62" s="60" t="s">
        <v>76</v>
      </c>
      <c r="J62" s="61" t="s">
        <v>77</v>
      </c>
      <c r="K62" s="23">
        <v>80</v>
      </c>
      <c r="L62" s="18" t="s">
        <v>109</v>
      </c>
      <c r="M62" s="23">
        <v>79</v>
      </c>
      <c r="N62" s="18" t="s">
        <v>109</v>
      </c>
      <c r="O62" s="23">
        <v>82</v>
      </c>
      <c r="P62" s="18" t="s">
        <v>109</v>
      </c>
      <c r="Q62" s="23">
        <v>79</v>
      </c>
      <c r="R62" s="18" t="s">
        <v>109</v>
      </c>
      <c r="S62" s="23">
        <v>78</v>
      </c>
      <c r="T62" s="18" t="s">
        <v>109</v>
      </c>
      <c r="U62" s="23">
        <v>81</v>
      </c>
      <c r="V62" s="18" t="s">
        <v>109</v>
      </c>
      <c r="W62" s="23">
        <v>78</v>
      </c>
      <c r="X62" s="18" t="s">
        <v>109</v>
      </c>
      <c r="Y62" s="23">
        <v>82</v>
      </c>
      <c r="Z62" s="18" t="s">
        <v>109</v>
      </c>
      <c r="AA62" s="23">
        <v>78</v>
      </c>
      <c r="AB62" s="18" t="s">
        <v>109</v>
      </c>
      <c r="AC62" s="23">
        <v>76</v>
      </c>
      <c r="AD62" s="18" t="s">
        <v>109</v>
      </c>
      <c r="AE62" s="23">
        <v>76</v>
      </c>
      <c r="AF62" s="18" t="s">
        <v>109</v>
      </c>
      <c r="AG62" s="23">
        <v>83</v>
      </c>
      <c r="AH62" s="18" t="s">
        <v>109</v>
      </c>
      <c r="AI62" s="23">
        <v>84</v>
      </c>
      <c r="AJ62" s="18" t="s">
        <v>109</v>
      </c>
      <c r="AK62" s="23">
        <v>82</v>
      </c>
      <c r="AL62" s="18" t="s">
        <v>95</v>
      </c>
      <c r="AM62" s="23">
        <v>76</v>
      </c>
      <c r="AN62" s="18" t="s">
        <v>95</v>
      </c>
      <c r="AO62" s="118">
        <f t="shared" si="19"/>
        <v>80.2</v>
      </c>
      <c r="AP62" s="23">
        <v>78</v>
      </c>
      <c r="AQ62" s="18" t="s">
        <v>109</v>
      </c>
      <c r="AR62" s="23">
        <v>79</v>
      </c>
      <c r="AS62" s="18" t="str">
        <f t="shared" si="15"/>
        <v>Mencapai kompetensi dengan baik dalam hal</v>
      </c>
      <c r="AT62" s="113">
        <v>1</v>
      </c>
      <c r="AU62" s="113" t="s">
        <v>81</v>
      </c>
      <c r="AV62" s="113" t="s">
        <v>81</v>
      </c>
      <c r="AW62" s="7">
        <v>1</v>
      </c>
      <c r="AX62" s="12" t="s">
        <v>82</v>
      </c>
      <c r="AY62" s="17" t="s">
        <v>83</v>
      </c>
      <c r="AZ62" s="12" t="s">
        <v>86</v>
      </c>
      <c r="BA62" s="15" t="str">
        <f t="shared" si="20"/>
        <v>Sangat baik</v>
      </c>
      <c r="BB62" s="7">
        <v>2</v>
      </c>
      <c r="BC62" s="17" t="s">
        <v>119</v>
      </c>
      <c r="BD62" s="18" t="s">
        <v>83</v>
      </c>
      <c r="BE62" s="7" t="s">
        <v>84</v>
      </c>
      <c r="BF62" s="15" t="str">
        <f t="shared" si="21"/>
        <v>Baik</v>
      </c>
      <c r="BG62" s="7"/>
      <c r="BH62" s="7"/>
      <c r="BI62" s="7"/>
      <c r="BJ62" s="7"/>
      <c r="BK62" s="15"/>
      <c r="BM62" s="20"/>
      <c r="BN62" s="20"/>
    </row>
    <row r="63" spans="1:66" ht="24.95" customHeight="1" thickTop="1" thickBot="1" x14ac:dyDescent="0.3">
      <c r="A63" s="23">
        <v>62</v>
      </c>
      <c r="B63" s="23">
        <v>2525537</v>
      </c>
      <c r="C63" s="23" t="s">
        <v>1277</v>
      </c>
      <c r="D63" s="18" t="s">
        <v>1278</v>
      </c>
      <c r="E63" s="23" t="s">
        <v>1224</v>
      </c>
      <c r="F63" s="23" t="s">
        <v>1151</v>
      </c>
      <c r="G63" s="23" t="s">
        <v>1225</v>
      </c>
      <c r="H63" s="23" t="s">
        <v>1226</v>
      </c>
      <c r="I63" s="60" t="s">
        <v>76</v>
      </c>
      <c r="J63" s="61" t="s">
        <v>77</v>
      </c>
      <c r="K63" s="23">
        <v>80</v>
      </c>
      <c r="L63" s="18" t="s">
        <v>109</v>
      </c>
      <c r="M63" s="23">
        <v>79</v>
      </c>
      <c r="N63" s="18" t="s">
        <v>109</v>
      </c>
      <c r="O63" s="23">
        <v>82</v>
      </c>
      <c r="P63" s="18" t="s">
        <v>109</v>
      </c>
      <c r="Q63" s="23">
        <v>78</v>
      </c>
      <c r="R63" s="18" t="s">
        <v>109</v>
      </c>
      <c r="S63" s="23">
        <v>77</v>
      </c>
      <c r="T63" s="18" t="s">
        <v>109</v>
      </c>
      <c r="U63" s="23">
        <v>82</v>
      </c>
      <c r="V63" s="18" t="s">
        <v>109</v>
      </c>
      <c r="W63" s="23">
        <v>77</v>
      </c>
      <c r="X63" s="18" t="s">
        <v>109</v>
      </c>
      <c r="Y63" s="23">
        <v>79</v>
      </c>
      <c r="Z63" s="18" t="s">
        <v>109</v>
      </c>
      <c r="AA63" s="23">
        <v>78</v>
      </c>
      <c r="AB63" s="18" t="s">
        <v>109</v>
      </c>
      <c r="AC63" s="23">
        <v>75</v>
      </c>
      <c r="AD63" s="18" t="s">
        <v>109</v>
      </c>
      <c r="AE63" s="23">
        <v>75</v>
      </c>
      <c r="AF63" s="18" t="s">
        <v>109</v>
      </c>
      <c r="AG63" s="23">
        <v>79</v>
      </c>
      <c r="AH63" s="18" t="s">
        <v>109</v>
      </c>
      <c r="AI63" s="23">
        <v>75</v>
      </c>
      <c r="AJ63" s="18" t="s">
        <v>109</v>
      </c>
      <c r="AK63" s="23">
        <v>80</v>
      </c>
      <c r="AL63" s="18" t="s">
        <v>95</v>
      </c>
      <c r="AM63" s="23">
        <v>72</v>
      </c>
      <c r="AN63" s="18" t="s">
        <v>95</v>
      </c>
      <c r="AO63" s="118">
        <f t="shared" si="19"/>
        <v>76.2</v>
      </c>
      <c r="AP63" s="23">
        <v>78</v>
      </c>
      <c r="AQ63" s="18" t="s">
        <v>109</v>
      </c>
      <c r="AR63" s="23">
        <v>79</v>
      </c>
      <c r="AS63" s="18" t="str">
        <f t="shared" si="15"/>
        <v>Mencapai kompetensi dengan baik dalam hal</v>
      </c>
      <c r="AT63" s="113">
        <v>1</v>
      </c>
      <c r="AU63" s="113" t="s">
        <v>81</v>
      </c>
      <c r="AV63" s="113" t="s">
        <v>81</v>
      </c>
      <c r="AW63" s="7">
        <v>1</v>
      </c>
      <c r="AX63" s="12" t="s">
        <v>82</v>
      </c>
      <c r="AY63" s="17" t="s">
        <v>83</v>
      </c>
      <c r="AZ63" s="12" t="s">
        <v>84</v>
      </c>
      <c r="BA63" s="15" t="str">
        <f t="shared" si="20"/>
        <v>Baik</v>
      </c>
      <c r="BB63" s="7">
        <v>2</v>
      </c>
      <c r="BC63" s="17" t="s">
        <v>170</v>
      </c>
      <c r="BD63" s="18" t="s">
        <v>83</v>
      </c>
      <c r="BE63" s="7" t="s">
        <v>84</v>
      </c>
      <c r="BF63" s="15" t="str">
        <f t="shared" si="21"/>
        <v>Baik</v>
      </c>
      <c r="BG63" s="7"/>
      <c r="BH63" s="7"/>
      <c r="BI63" s="7"/>
      <c r="BJ63" s="7"/>
      <c r="BK63" s="15"/>
      <c r="BM63" s="20"/>
      <c r="BN63" s="20"/>
    </row>
    <row r="64" spans="1:66" ht="24.95" customHeight="1" thickTop="1" thickBot="1" x14ac:dyDescent="0.3">
      <c r="A64" s="23">
        <v>63</v>
      </c>
      <c r="B64" s="23">
        <v>2525538</v>
      </c>
      <c r="C64" s="23" t="s">
        <v>1279</v>
      </c>
      <c r="D64" s="18" t="s">
        <v>1280</v>
      </c>
      <c r="E64" s="23" t="s">
        <v>1224</v>
      </c>
      <c r="F64" s="23" t="s">
        <v>1151</v>
      </c>
      <c r="G64" s="23" t="s">
        <v>1225</v>
      </c>
      <c r="H64" s="23" t="s">
        <v>1226</v>
      </c>
      <c r="I64" s="60" t="s">
        <v>76</v>
      </c>
      <c r="J64" s="61" t="s">
        <v>77</v>
      </c>
      <c r="K64" s="23">
        <v>78</v>
      </c>
      <c r="L64" s="18" t="s">
        <v>109</v>
      </c>
      <c r="M64" s="23">
        <v>77</v>
      </c>
      <c r="N64" s="18" t="s">
        <v>109</v>
      </c>
      <c r="O64" s="23">
        <v>78</v>
      </c>
      <c r="P64" s="18" t="s">
        <v>109</v>
      </c>
      <c r="Q64" s="23">
        <v>79</v>
      </c>
      <c r="R64" s="18" t="s">
        <v>109</v>
      </c>
      <c r="S64" s="23">
        <v>78</v>
      </c>
      <c r="T64" s="18" t="s">
        <v>109</v>
      </c>
      <c r="U64" s="23">
        <v>78</v>
      </c>
      <c r="V64" s="18" t="s">
        <v>109</v>
      </c>
      <c r="W64" s="23">
        <v>78</v>
      </c>
      <c r="X64" s="18" t="s">
        <v>109</v>
      </c>
      <c r="Y64" s="23">
        <v>82</v>
      </c>
      <c r="Z64" s="18" t="s">
        <v>109</v>
      </c>
      <c r="AA64" s="23">
        <v>78</v>
      </c>
      <c r="AB64" s="18" t="s">
        <v>109</v>
      </c>
      <c r="AC64" s="23">
        <v>75</v>
      </c>
      <c r="AD64" s="18" t="s">
        <v>109</v>
      </c>
      <c r="AE64" s="23">
        <v>75</v>
      </c>
      <c r="AF64" s="18" t="s">
        <v>109</v>
      </c>
      <c r="AG64" s="23">
        <v>81</v>
      </c>
      <c r="AH64" s="18" t="s">
        <v>109</v>
      </c>
      <c r="AI64" s="23">
        <v>75</v>
      </c>
      <c r="AJ64" s="18" t="s">
        <v>109</v>
      </c>
      <c r="AK64" s="23">
        <v>70</v>
      </c>
      <c r="AL64" s="18" t="s">
        <v>95</v>
      </c>
      <c r="AM64" s="23">
        <v>74</v>
      </c>
      <c r="AN64" s="18" t="s">
        <v>95</v>
      </c>
      <c r="AO64" s="118">
        <f t="shared" si="19"/>
        <v>75</v>
      </c>
      <c r="AP64" s="23">
        <v>78</v>
      </c>
      <c r="AQ64" s="18" t="s">
        <v>109</v>
      </c>
      <c r="AR64" s="23">
        <v>77</v>
      </c>
      <c r="AS64" s="18" t="str">
        <f t="shared" si="15"/>
        <v>Mencapai kompetensi dengan baik dalam hal</v>
      </c>
      <c r="AT64" s="113">
        <v>1</v>
      </c>
      <c r="AU64" s="113" t="s">
        <v>81</v>
      </c>
      <c r="AV64" s="113" t="s">
        <v>81</v>
      </c>
      <c r="AW64" s="7">
        <v>1</v>
      </c>
      <c r="AX64" s="12" t="s">
        <v>82</v>
      </c>
      <c r="AY64" s="17" t="s">
        <v>83</v>
      </c>
      <c r="AZ64" s="12" t="s">
        <v>86</v>
      </c>
      <c r="BA64" s="15" t="str">
        <f t="shared" si="20"/>
        <v>Sangat baik</v>
      </c>
      <c r="BB64" s="7">
        <v>2</v>
      </c>
      <c r="BC64" s="17" t="s">
        <v>429</v>
      </c>
      <c r="BD64" s="18" t="s">
        <v>83</v>
      </c>
      <c r="BE64" s="7" t="s">
        <v>86</v>
      </c>
      <c r="BF64" s="15" t="str">
        <f t="shared" si="21"/>
        <v>Sangat baik</v>
      </c>
      <c r="BG64" s="7"/>
      <c r="BH64" s="7"/>
      <c r="BI64" s="7"/>
      <c r="BJ64" s="7"/>
      <c r="BK64" s="15"/>
      <c r="BM64" s="20"/>
      <c r="BN64" s="20"/>
    </row>
    <row r="65" spans="1:66" ht="24.95" customHeight="1" thickTop="1" thickBot="1" x14ac:dyDescent="0.3">
      <c r="A65" s="23">
        <v>64</v>
      </c>
      <c r="B65" s="23">
        <v>2525539</v>
      </c>
      <c r="C65" s="23" t="s">
        <v>1281</v>
      </c>
      <c r="D65" s="18" t="s">
        <v>1282</v>
      </c>
      <c r="E65" s="23" t="s">
        <v>1224</v>
      </c>
      <c r="F65" s="23" t="s">
        <v>1151</v>
      </c>
      <c r="G65" s="23" t="s">
        <v>1225</v>
      </c>
      <c r="H65" s="23" t="s">
        <v>1226</v>
      </c>
      <c r="I65" s="60" t="s">
        <v>76</v>
      </c>
      <c r="J65" s="61" t="s">
        <v>77</v>
      </c>
      <c r="K65" s="23">
        <v>80</v>
      </c>
      <c r="L65" s="18" t="s">
        <v>109</v>
      </c>
      <c r="M65" s="23">
        <v>80</v>
      </c>
      <c r="N65" s="18" t="s">
        <v>109</v>
      </c>
      <c r="O65" s="23">
        <v>81</v>
      </c>
      <c r="P65" s="18" t="s">
        <v>109</v>
      </c>
      <c r="Q65" s="23">
        <v>80</v>
      </c>
      <c r="R65" s="18" t="s">
        <v>109</v>
      </c>
      <c r="S65" s="23">
        <v>83</v>
      </c>
      <c r="T65" s="18" t="s">
        <v>109</v>
      </c>
      <c r="U65" s="23">
        <v>78</v>
      </c>
      <c r="V65" s="18" t="s">
        <v>109</v>
      </c>
      <c r="W65" s="23">
        <v>83</v>
      </c>
      <c r="X65" s="18" t="s">
        <v>109</v>
      </c>
      <c r="Y65" s="23">
        <v>81</v>
      </c>
      <c r="Z65" s="18" t="s">
        <v>109</v>
      </c>
      <c r="AA65" s="23">
        <v>85</v>
      </c>
      <c r="AB65" s="18" t="s">
        <v>109</v>
      </c>
      <c r="AC65" s="23">
        <v>76</v>
      </c>
      <c r="AD65" s="18" t="s">
        <v>109</v>
      </c>
      <c r="AE65" s="23">
        <v>82</v>
      </c>
      <c r="AF65" s="18" t="s">
        <v>109</v>
      </c>
      <c r="AG65" s="23">
        <v>83</v>
      </c>
      <c r="AH65" s="18" t="s">
        <v>109</v>
      </c>
      <c r="AI65" s="23">
        <v>82</v>
      </c>
      <c r="AJ65" s="18" t="s">
        <v>109</v>
      </c>
      <c r="AK65" s="23">
        <v>82</v>
      </c>
      <c r="AL65" s="18" t="s">
        <v>95</v>
      </c>
      <c r="AM65" s="23">
        <v>78</v>
      </c>
      <c r="AN65" s="18" t="s">
        <v>95</v>
      </c>
      <c r="AO65" s="118">
        <f t="shared" si="19"/>
        <v>81.400000000000006</v>
      </c>
      <c r="AP65" s="23">
        <v>85</v>
      </c>
      <c r="AQ65" s="18" t="s">
        <v>109</v>
      </c>
      <c r="AR65" s="23">
        <v>80</v>
      </c>
      <c r="AS65" s="18" t="str">
        <f t="shared" si="15"/>
        <v>Mencapai kompetensi dengan baik dalam hal</v>
      </c>
      <c r="AT65" s="113" t="s">
        <v>81</v>
      </c>
      <c r="AU65" s="113" t="s">
        <v>81</v>
      </c>
      <c r="AV65" s="113" t="s">
        <v>81</v>
      </c>
      <c r="AW65" s="7">
        <v>1</v>
      </c>
      <c r="AX65" s="12" t="s">
        <v>82</v>
      </c>
      <c r="AY65" s="17" t="s">
        <v>83</v>
      </c>
      <c r="AZ65" s="12" t="s">
        <v>86</v>
      </c>
      <c r="BA65" s="15" t="str">
        <f t="shared" si="20"/>
        <v>Sangat baik</v>
      </c>
      <c r="BB65" s="7">
        <v>2</v>
      </c>
      <c r="BC65" s="17" t="s">
        <v>429</v>
      </c>
      <c r="BD65" s="18" t="s">
        <v>83</v>
      </c>
      <c r="BE65" s="7" t="s">
        <v>86</v>
      </c>
      <c r="BF65" s="15" t="str">
        <f t="shared" si="21"/>
        <v>Sangat baik</v>
      </c>
      <c r="BG65" s="7"/>
      <c r="BH65" s="7"/>
      <c r="BI65" s="7"/>
      <c r="BJ65" s="7"/>
      <c r="BK65" s="15"/>
      <c r="BM65" s="20"/>
      <c r="BN65" s="20"/>
    </row>
    <row r="66" spans="1:66" ht="24.95" customHeight="1" thickTop="1" thickBot="1" x14ac:dyDescent="0.3">
      <c r="A66" s="23">
        <v>65</v>
      </c>
      <c r="B66" s="23">
        <v>2525540</v>
      </c>
      <c r="C66" s="23" t="s">
        <v>1283</v>
      </c>
      <c r="D66" s="18" t="s">
        <v>1284</v>
      </c>
      <c r="E66" s="23" t="s">
        <v>1224</v>
      </c>
      <c r="F66" s="23" t="s">
        <v>1151</v>
      </c>
      <c r="G66" s="23" t="s">
        <v>1225</v>
      </c>
      <c r="H66" s="23" t="s">
        <v>1226</v>
      </c>
      <c r="I66" s="60" t="s">
        <v>76</v>
      </c>
      <c r="J66" s="61" t="s">
        <v>77</v>
      </c>
      <c r="K66" s="23">
        <v>79</v>
      </c>
      <c r="L66" s="18" t="s">
        <v>109</v>
      </c>
      <c r="M66" s="23">
        <v>75</v>
      </c>
      <c r="N66" s="18" t="s">
        <v>109</v>
      </c>
      <c r="O66" s="23">
        <v>80</v>
      </c>
      <c r="P66" s="18" t="s">
        <v>109</v>
      </c>
      <c r="Q66" s="23">
        <v>79</v>
      </c>
      <c r="R66" s="18" t="s">
        <v>109</v>
      </c>
      <c r="S66" s="23">
        <v>77</v>
      </c>
      <c r="T66" s="18" t="s">
        <v>109</v>
      </c>
      <c r="U66" s="23">
        <v>78</v>
      </c>
      <c r="V66" s="18" t="s">
        <v>109</v>
      </c>
      <c r="W66" s="23">
        <v>80</v>
      </c>
      <c r="X66" s="18" t="s">
        <v>109</v>
      </c>
      <c r="Y66" s="23">
        <v>80</v>
      </c>
      <c r="Z66" s="18" t="s">
        <v>109</v>
      </c>
      <c r="AA66" s="23">
        <v>78</v>
      </c>
      <c r="AB66" s="18" t="s">
        <v>109</v>
      </c>
      <c r="AC66" s="23">
        <v>82</v>
      </c>
      <c r="AD66" s="18" t="s">
        <v>109</v>
      </c>
      <c r="AE66" s="23">
        <v>80</v>
      </c>
      <c r="AF66" s="18" t="s">
        <v>109</v>
      </c>
      <c r="AG66" s="23">
        <v>79</v>
      </c>
      <c r="AH66" s="18" t="s">
        <v>109</v>
      </c>
      <c r="AI66" s="23">
        <v>76</v>
      </c>
      <c r="AJ66" s="18" t="s">
        <v>109</v>
      </c>
      <c r="AK66" s="23">
        <v>78</v>
      </c>
      <c r="AL66" s="18" t="s">
        <v>95</v>
      </c>
      <c r="AM66" s="23">
        <v>72</v>
      </c>
      <c r="AN66" s="18" t="s">
        <v>95</v>
      </c>
      <c r="AO66" s="118">
        <f t="shared" si="19"/>
        <v>77</v>
      </c>
      <c r="AP66" s="23">
        <v>78</v>
      </c>
      <c r="AQ66" s="18" t="s">
        <v>109</v>
      </c>
      <c r="AR66" s="23">
        <v>79</v>
      </c>
      <c r="AS66" s="18" t="str">
        <f t="shared" si="15"/>
        <v>Mencapai kompetensi dengan baik dalam hal</v>
      </c>
      <c r="AT66" s="113">
        <v>3</v>
      </c>
      <c r="AU66" s="113" t="s">
        <v>81</v>
      </c>
      <c r="AV66" s="113" t="s">
        <v>81</v>
      </c>
      <c r="AW66" s="7">
        <v>1</v>
      </c>
      <c r="AX66" s="12" t="s">
        <v>82</v>
      </c>
      <c r="AY66" s="17" t="s">
        <v>83</v>
      </c>
      <c r="AZ66" s="12" t="s">
        <v>86</v>
      </c>
      <c r="BA66" s="15" t="str">
        <f t="shared" ref="BA66:BA97" si="23">VLOOKUP(AZ66,grades4,2,TRUE)</f>
        <v>Sangat baik</v>
      </c>
      <c r="BB66" s="7">
        <v>2</v>
      </c>
      <c r="BC66" s="17" t="s">
        <v>170</v>
      </c>
      <c r="BD66" s="18" t="s">
        <v>83</v>
      </c>
      <c r="BE66" s="7" t="s">
        <v>104</v>
      </c>
      <c r="BF66" s="15" t="str">
        <f t="shared" ref="BF66:BF97" si="24">VLOOKUP(BE66,grades4,2,TRUE)</f>
        <v>Cukup</v>
      </c>
      <c r="BG66" s="7">
        <v>3</v>
      </c>
      <c r="BH66" s="7" t="s">
        <v>87</v>
      </c>
      <c r="BI66" s="7" t="s">
        <v>83</v>
      </c>
      <c r="BJ66" s="7" t="s">
        <v>84</v>
      </c>
      <c r="BK66" s="15" t="str">
        <f>VLOOKUP(BJ66,grades4,2,TRUE)</f>
        <v>Baik</v>
      </c>
      <c r="BM66" s="20"/>
      <c r="BN66" s="20"/>
    </row>
    <row r="67" spans="1:66" ht="24.95" customHeight="1" thickTop="1" thickBot="1" x14ac:dyDescent="0.3">
      <c r="A67" s="23">
        <v>66</v>
      </c>
      <c r="B67" s="23">
        <v>2525541</v>
      </c>
      <c r="C67" s="23" t="s">
        <v>1285</v>
      </c>
      <c r="D67" s="18" t="s">
        <v>1286</v>
      </c>
      <c r="E67" s="23" t="s">
        <v>1224</v>
      </c>
      <c r="F67" s="23" t="s">
        <v>1151</v>
      </c>
      <c r="G67" s="23" t="s">
        <v>1225</v>
      </c>
      <c r="H67" s="23" t="s">
        <v>1226</v>
      </c>
      <c r="I67" s="60" t="s">
        <v>76</v>
      </c>
      <c r="J67" s="61" t="s">
        <v>77</v>
      </c>
      <c r="K67" s="23">
        <v>80</v>
      </c>
      <c r="L67" s="18" t="s">
        <v>109</v>
      </c>
      <c r="M67" s="23">
        <v>77</v>
      </c>
      <c r="N67" s="18" t="s">
        <v>109</v>
      </c>
      <c r="O67" s="23">
        <v>81</v>
      </c>
      <c r="P67" s="18" t="s">
        <v>109</v>
      </c>
      <c r="Q67" s="23">
        <v>80</v>
      </c>
      <c r="R67" s="18" t="s">
        <v>109</v>
      </c>
      <c r="S67" s="23">
        <v>78</v>
      </c>
      <c r="T67" s="18" t="s">
        <v>109</v>
      </c>
      <c r="U67" s="23">
        <v>82</v>
      </c>
      <c r="V67" s="18" t="s">
        <v>109</v>
      </c>
      <c r="W67" s="23">
        <v>80</v>
      </c>
      <c r="X67" s="18" t="s">
        <v>109</v>
      </c>
      <c r="Y67" s="23">
        <v>80</v>
      </c>
      <c r="Z67" s="18" t="s">
        <v>109</v>
      </c>
      <c r="AA67" s="23">
        <v>89</v>
      </c>
      <c r="AB67" s="18" t="s">
        <v>109</v>
      </c>
      <c r="AC67" s="23">
        <v>80</v>
      </c>
      <c r="AD67" s="18" t="s">
        <v>109</v>
      </c>
      <c r="AE67" s="23">
        <v>81</v>
      </c>
      <c r="AF67" s="18" t="s">
        <v>109</v>
      </c>
      <c r="AG67" s="23">
        <v>83</v>
      </c>
      <c r="AH67" s="18" t="s">
        <v>109</v>
      </c>
      <c r="AI67" s="23">
        <v>78</v>
      </c>
      <c r="AJ67" s="18" t="s">
        <v>109</v>
      </c>
      <c r="AK67" s="23">
        <v>82</v>
      </c>
      <c r="AL67" s="18" t="s">
        <v>95</v>
      </c>
      <c r="AM67" s="23">
        <v>79</v>
      </c>
      <c r="AN67" s="18" t="s">
        <v>95</v>
      </c>
      <c r="AO67" s="118">
        <f t="shared" ref="AO67:AO106" si="25">AVERAGE(AM67,AK67,AI67,AG67,AE67)</f>
        <v>80.599999999999994</v>
      </c>
      <c r="AP67" s="23">
        <v>89</v>
      </c>
      <c r="AQ67" s="18" t="s">
        <v>109</v>
      </c>
      <c r="AR67" s="23">
        <v>79</v>
      </c>
      <c r="AS67" s="18" t="str">
        <f t="shared" si="15"/>
        <v>Mencapai kompetensi dengan baik dalam hal</v>
      </c>
      <c r="AT67" s="113" t="s">
        <v>81</v>
      </c>
      <c r="AU67" s="113" t="s">
        <v>81</v>
      </c>
      <c r="AV67" s="113" t="s">
        <v>81</v>
      </c>
      <c r="AW67" s="7">
        <v>1</v>
      </c>
      <c r="AX67" s="12" t="s">
        <v>82</v>
      </c>
      <c r="AY67" s="17" t="s">
        <v>83</v>
      </c>
      <c r="AZ67" s="12" t="s">
        <v>86</v>
      </c>
      <c r="BA67" s="15" t="str">
        <f t="shared" si="23"/>
        <v>Sangat baik</v>
      </c>
      <c r="BB67" s="7">
        <v>2</v>
      </c>
      <c r="BC67" s="17" t="s">
        <v>119</v>
      </c>
      <c r="BD67" s="18" t="s">
        <v>83</v>
      </c>
      <c r="BE67" s="7" t="s">
        <v>104</v>
      </c>
      <c r="BF67" s="15" t="str">
        <f t="shared" si="24"/>
        <v>Cukup</v>
      </c>
      <c r="BG67" s="7"/>
      <c r="BH67" s="7"/>
      <c r="BI67" s="7"/>
      <c r="BJ67" s="7"/>
      <c r="BK67" s="15"/>
      <c r="BM67" s="20"/>
      <c r="BN67" s="20"/>
    </row>
    <row r="68" spans="1:66" ht="24.95" customHeight="1" thickTop="1" thickBot="1" x14ac:dyDescent="0.3">
      <c r="A68" s="23">
        <v>67</v>
      </c>
      <c r="B68" s="23">
        <v>2525542</v>
      </c>
      <c r="C68" s="23" t="s">
        <v>1287</v>
      </c>
      <c r="D68" s="18" t="s">
        <v>1288</v>
      </c>
      <c r="E68" s="23" t="s">
        <v>1224</v>
      </c>
      <c r="F68" s="23" t="s">
        <v>1151</v>
      </c>
      <c r="G68" s="23" t="s">
        <v>1225</v>
      </c>
      <c r="H68" s="23" t="s">
        <v>1226</v>
      </c>
      <c r="I68" s="60" t="s">
        <v>76</v>
      </c>
      <c r="J68" s="61" t="s">
        <v>77</v>
      </c>
      <c r="K68" s="23">
        <v>79</v>
      </c>
      <c r="L68" s="18" t="s">
        <v>109</v>
      </c>
      <c r="M68" s="23">
        <v>82</v>
      </c>
      <c r="N68" s="18" t="s">
        <v>109</v>
      </c>
      <c r="O68" s="23">
        <v>82</v>
      </c>
      <c r="P68" s="18" t="s">
        <v>109</v>
      </c>
      <c r="Q68" s="23">
        <v>79</v>
      </c>
      <c r="R68" s="18" t="s">
        <v>109</v>
      </c>
      <c r="S68" s="23">
        <v>81</v>
      </c>
      <c r="T68" s="18" t="s">
        <v>109</v>
      </c>
      <c r="U68" s="23">
        <v>82</v>
      </c>
      <c r="V68" s="18" t="s">
        <v>109</v>
      </c>
      <c r="W68" s="23">
        <v>80</v>
      </c>
      <c r="X68" s="18" t="s">
        <v>109</v>
      </c>
      <c r="Y68" s="23">
        <v>80</v>
      </c>
      <c r="Z68" s="18" t="s">
        <v>109</v>
      </c>
      <c r="AA68" s="23">
        <v>78</v>
      </c>
      <c r="AB68" s="18" t="s">
        <v>109</v>
      </c>
      <c r="AC68" s="23">
        <v>72</v>
      </c>
      <c r="AD68" s="18" t="s">
        <v>95</v>
      </c>
      <c r="AE68" s="23">
        <v>75</v>
      </c>
      <c r="AF68" s="18" t="s">
        <v>109</v>
      </c>
      <c r="AG68" s="23">
        <v>81</v>
      </c>
      <c r="AH68" s="18" t="s">
        <v>109</v>
      </c>
      <c r="AI68" s="23">
        <v>76</v>
      </c>
      <c r="AJ68" s="18" t="s">
        <v>109</v>
      </c>
      <c r="AK68" s="23">
        <v>81</v>
      </c>
      <c r="AL68" s="18" t="s">
        <v>95</v>
      </c>
      <c r="AM68" s="23">
        <v>77</v>
      </c>
      <c r="AN68" s="18" t="s">
        <v>95</v>
      </c>
      <c r="AO68" s="118">
        <f t="shared" si="25"/>
        <v>78</v>
      </c>
      <c r="AP68" s="23">
        <v>78</v>
      </c>
      <c r="AQ68" s="18" t="s">
        <v>109</v>
      </c>
      <c r="AR68" s="23">
        <v>79</v>
      </c>
      <c r="AS68" s="18" t="str">
        <f t="shared" si="15"/>
        <v>Mencapai kompetensi dengan baik dalam hal</v>
      </c>
      <c r="AT68" s="113" t="s">
        <v>81</v>
      </c>
      <c r="AU68" s="113" t="s">
        <v>81</v>
      </c>
      <c r="AV68" s="113" t="s">
        <v>81</v>
      </c>
      <c r="AW68" s="7">
        <v>1</v>
      </c>
      <c r="AX68" s="12" t="s">
        <v>82</v>
      </c>
      <c r="AY68" s="17" t="s">
        <v>83</v>
      </c>
      <c r="AZ68" s="12" t="s">
        <v>86</v>
      </c>
      <c r="BA68" s="15" t="str">
        <f t="shared" si="23"/>
        <v>Sangat baik</v>
      </c>
      <c r="BB68" s="7">
        <v>2</v>
      </c>
      <c r="BC68" s="17" t="s">
        <v>170</v>
      </c>
      <c r="BD68" s="18" t="s">
        <v>83</v>
      </c>
      <c r="BE68" s="7" t="s">
        <v>84</v>
      </c>
      <c r="BF68" s="15" t="str">
        <f t="shared" si="24"/>
        <v>Baik</v>
      </c>
      <c r="BG68" s="7"/>
      <c r="BH68" s="7"/>
      <c r="BI68" s="7"/>
      <c r="BJ68" s="7"/>
      <c r="BK68" s="15"/>
      <c r="BM68" s="20"/>
      <c r="BN68" s="20"/>
    </row>
    <row r="69" spans="1:66" ht="24.95" customHeight="1" thickTop="1" thickBot="1" x14ac:dyDescent="0.3">
      <c r="A69" s="23">
        <v>68</v>
      </c>
      <c r="B69" s="23">
        <v>2525543</v>
      </c>
      <c r="C69" s="23" t="s">
        <v>1289</v>
      </c>
      <c r="D69" s="18" t="s">
        <v>1290</v>
      </c>
      <c r="E69" s="23" t="s">
        <v>1224</v>
      </c>
      <c r="F69" s="23" t="s">
        <v>1151</v>
      </c>
      <c r="G69" s="23" t="s">
        <v>1225</v>
      </c>
      <c r="H69" s="23" t="s">
        <v>1226</v>
      </c>
      <c r="I69" s="60" t="s">
        <v>76</v>
      </c>
      <c r="J69" s="61" t="s">
        <v>77</v>
      </c>
      <c r="K69" s="23">
        <v>80</v>
      </c>
      <c r="L69" s="18" t="s">
        <v>109</v>
      </c>
      <c r="M69" s="23">
        <v>78</v>
      </c>
      <c r="N69" s="18" t="s">
        <v>109</v>
      </c>
      <c r="O69" s="23">
        <v>82</v>
      </c>
      <c r="P69" s="18" t="s">
        <v>109</v>
      </c>
      <c r="Q69" s="23">
        <v>79</v>
      </c>
      <c r="R69" s="18" t="s">
        <v>109</v>
      </c>
      <c r="S69" s="23">
        <v>80</v>
      </c>
      <c r="T69" s="18" t="s">
        <v>109</v>
      </c>
      <c r="U69" s="23">
        <v>81</v>
      </c>
      <c r="V69" s="18" t="s">
        <v>109</v>
      </c>
      <c r="W69" s="23">
        <v>80</v>
      </c>
      <c r="X69" s="18" t="s">
        <v>109</v>
      </c>
      <c r="Y69" s="23">
        <v>80</v>
      </c>
      <c r="Z69" s="18" t="s">
        <v>109</v>
      </c>
      <c r="AA69" s="23">
        <v>78</v>
      </c>
      <c r="AB69" s="18" t="s">
        <v>109</v>
      </c>
      <c r="AC69" s="23">
        <v>78</v>
      </c>
      <c r="AD69" s="18" t="s">
        <v>109</v>
      </c>
      <c r="AE69" s="23">
        <v>75</v>
      </c>
      <c r="AF69" s="18" t="s">
        <v>109</v>
      </c>
      <c r="AG69" s="23">
        <v>81</v>
      </c>
      <c r="AH69" s="18" t="s">
        <v>109</v>
      </c>
      <c r="AI69" s="23">
        <v>75</v>
      </c>
      <c r="AJ69" s="18" t="s">
        <v>109</v>
      </c>
      <c r="AK69" s="23">
        <v>80</v>
      </c>
      <c r="AL69" s="18" t="s">
        <v>95</v>
      </c>
      <c r="AM69" s="23">
        <v>75</v>
      </c>
      <c r="AN69" s="18" t="s">
        <v>95</v>
      </c>
      <c r="AO69" s="118">
        <f t="shared" si="25"/>
        <v>77.2</v>
      </c>
      <c r="AP69" s="23">
        <v>78</v>
      </c>
      <c r="AQ69" s="18" t="s">
        <v>109</v>
      </c>
      <c r="AR69" s="23">
        <v>80</v>
      </c>
      <c r="AS69" s="18" t="str">
        <f t="shared" si="15"/>
        <v>Mencapai kompetensi dengan baik dalam hal</v>
      </c>
      <c r="AT69" s="113">
        <v>1</v>
      </c>
      <c r="AU69" s="113" t="s">
        <v>81</v>
      </c>
      <c r="AV69" s="113" t="s">
        <v>81</v>
      </c>
      <c r="AW69" s="7">
        <v>1</v>
      </c>
      <c r="AX69" s="12" t="s">
        <v>82</v>
      </c>
      <c r="AY69" s="17" t="s">
        <v>83</v>
      </c>
      <c r="AZ69" s="12" t="s">
        <v>84</v>
      </c>
      <c r="BA69" s="15" t="str">
        <f t="shared" si="23"/>
        <v>Baik</v>
      </c>
      <c r="BB69" s="7">
        <v>2</v>
      </c>
      <c r="BC69" s="17" t="s">
        <v>85</v>
      </c>
      <c r="BD69" s="18" t="s">
        <v>83</v>
      </c>
      <c r="BE69" s="7" t="s">
        <v>86</v>
      </c>
      <c r="BF69" s="15" t="str">
        <f t="shared" si="24"/>
        <v>Sangat baik</v>
      </c>
      <c r="BG69" s="7"/>
      <c r="BH69" s="7"/>
      <c r="BI69" s="7"/>
      <c r="BJ69" s="7"/>
      <c r="BK69" s="15"/>
      <c r="BM69" s="20"/>
      <c r="BN69" s="20"/>
    </row>
    <row r="70" spans="1:66" s="130" customFormat="1" ht="24.95" customHeight="1" thickTop="1" thickBot="1" x14ac:dyDescent="0.3">
      <c r="A70" s="120">
        <v>69</v>
      </c>
      <c r="B70" s="120">
        <v>2525544</v>
      </c>
      <c r="C70" s="120" t="s">
        <v>1291</v>
      </c>
      <c r="D70" s="121" t="s">
        <v>1292</v>
      </c>
      <c r="E70" s="120" t="s">
        <v>1224</v>
      </c>
      <c r="F70" s="120" t="s">
        <v>1151</v>
      </c>
      <c r="G70" s="120" t="s">
        <v>1225</v>
      </c>
      <c r="H70" s="120" t="s">
        <v>1226</v>
      </c>
      <c r="I70" s="122" t="s">
        <v>76</v>
      </c>
      <c r="J70" s="123" t="s">
        <v>77</v>
      </c>
      <c r="K70" s="120">
        <v>80</v>
      </c>
      <c r="L70" s="121" t="s">
        <v>109</v>
      </c>
      <c r="M70" s="120">
        <v>78</v>
      </c>
      <c r="N70" s="121" t="s">
        <v>109</v>
      </c>
      <c r="O70" s="120">
        <v>82</v>
      </c>
      <c r="P70" s="121" t="s">
        <v>109</v>
      </c>
      <c r="Q70" s="120">
        <v>79</v>
      </c>
      <c r="R70" s="121" t="s">
        <v>109</v>
      </c>
      <c r="S70" s="120">
        <v>81</v>
      </c>
      <c r="T70" s="121" t="s">
        <v>109</v>
      </c>
      <c r="U70" s="120">
        <v>80</v>
      </c>
      <c r="V70" s="121" t="s">
        <v>109</v>
      </c>
      <c r="W70" s="120">
        <v>80</v>
      </c>
      <c r="X70" s="121" t="s">
        <v>109</v>
      </c>
      <c r="Y70" s="120">
        <v>82</v>
      </c>
      <c r="Z70" s="121" t="s">
        <v>109</v>
      </c>
      <c r="AA70" s="120">
        <v>78</v>
      </c>
      <c r="AB70" s="121" t="s">
        <v>109</v>
      </c>
      <c r="AC70" s="120">
        <v>79</v>
      </c>
      <c r="AD70" s="121" t="s">
        <v>109</v>
      </c>
      <c r="AE70" s="120">
        <v>82</v>
      </c>
      <c r="AF70" s="121" t="s">
        <v>109</v>
      </c>
      <c r="AG70" s="120">
        <v>82</v>
      </c>
      <c r="AH70" s="121" t="s">
        <v>109</v>
      </c>
      <c r="AI70" s="120">
        <v>79</v>
      </c>
      <c r="AJ70" s="121" t="s">
        <v>109</v>
      </c>
      <c r="AK70" s="120">
        <v>81</v>
      </c>
      <c r="AL70" s="121" t="s">
        <v>95</v>
      </c>
      <c r="AM70" s="120">
        <v>76</v>
      </c>
      <c r="AN70" s="121" t="s">
        <v>95</v>
      </c>
      <c r="AO70" s="124">
        <f t="shared" si="25"/>
        <v>80</v>
      </c>
      <c r="AP70" s="120">
        <v>78</v>
      </c>
      <c r="AQ70" s="121" t="s">
        <v>109</v>
      </c>
      <c r="AR70" s="120">
        <v>80</v>
      </c>
      <c r="AS70" s="121" t="str">
        <f t="shared" si="15"/>
        <v>Mencapai kompetensi dengan baik dalam hal</v>
      </c>
      <c r="AT70" s="125">
        <v>1</v>
      </c>
      <c r="AU70" s="125" t="s">
        <v>81</v>
      </c>
      <c r="AV70" s="125" t="s">
        <v>81</v>
      </c>
      <c r="AW70" s="126">
        <v>1</v>
      </c>
      <c r="AX70" s="127" t="s">
        <v>82</v>
      </c>
      <c r="AY70" s="128" t="s">
        <v>83</v>
      </c>
      <c r="AZ70" s="127" t="s">
        <v>86</v>
      </c>
      <c r="BA70" s="129" t="str">
        <f t="shared" si="23"/>
        <v>Sangat baik</v>
      </c>
      <c r="BB70" s="126">
        <v>2</v>
      </c>
      <c r="BC70" s="128" t="s">
        <v>170</v>
      </c>
      <c r="BD70" s="121" t="s">
        <v>83</v>
      </c>
      <c r="BE70" s="126" t="s">
        <v>86</v>
      </c>
      <c r="BF70" s="129" t="str">
        <f t="shared" si="24"/>
        <v>Sangat baik</v>
      </c>
      <c r="BG70" s="126"/>
      <c r="BH70" s="126"/>
      <c r="BI70" s="126"/>
      <c r="BJ70" s="126"/>
      <c r="BK70" s="129"/>
      <c r="BM70" s="131"/>
      <c r="BN70" s="131"/>
    </row>
    <row r="71" spans="1:66" ht="24.95" customHeight="1" thickTop="1" thickBot="1" x14ac:dyDescent="0.3">
      <c r="A71" s="23">
        <v>70</v>
      </c>
      <c r="B71" s="23">
        <v>2525546</v>
      </c>
      <c r="C71" s="23" t="s">
        <v>1293</v>
      </c>
      <c r="D71" s="18" t="s">
        <v>1294</v>
      </c>
      <c r="E71" s="23" t="s">
        <v>1295</v>
      </c>
      <c r="F71" s="23" t="s">
        <v>1151</v>
      </c>
      <c r="G71" s="23" t="s">
        <v>1296</v>
      </c>
      <c r="H71" s="23" t="s">
        <v>1297</v>
      </c>
      <c r="I71" s="60" t="s">
        <v>76</v>
      </c>
      <c r="J71" s="61" t="s">
        <v>77</v>
      </c>
      <c r="K71" s="23">
        <v>78</v>
      </c>
      <c r="L71" s="18" t="str">
        <f t="shared" si="0"/>
        <v>Mencapai kompetensi dengan baik dalam hal</v>
      </c>
      <c r="M71" s="23">
        <v>75</v>
      </c>
      <c r="N71" s="18" t="str">
        <f t="shared" si="1"/>
        <v>Mencapai kompetensi dengan baik dalam hal</v>
      </c>
      <c r="O71" s="23">
        <v>80</v>
      </c>
      <c r="P71" s="18" t="str">
        <f t="shared" si="2"/>
        <v>Mencapai kompetensi dengan baik dalam hal</v>
      </c>
      <c r="Q71" s="23">
        <v>79</v>
      </c>
      <c r="R71" s="18" t="str">
        <f t="shared" si="3"/>
        <v>Mencapai kompetensi dengan baik dalam hal</v>
      </c>
      <c r="S71" s="23">
        <v>81</v>
      </c>
      <c r="T71" s="18" t="str">
        <f t="shared" si="4"/>
        <v>Mencapai kompetensi dengan baik dalam hal</v>
      </c>
      <c r="U71" s="23">
        <v>78</v>
      </c>
      <c r="V71" s="18" t="str">
        <f t="shared" si="5"/>
        <v>Mencapai kompetensi dengan baik dalam hal</v>
      </c>
      <c r="W71" s="23">
        <v>76</v>
      </c>
      <c r="X71" s="18" t="str">
        <f t="shared" si="6"/>
        <v>Mencapai kompetensi dengan baik dalam hal</v>
      </c>
      <c r="Y71" s="23">
        <v>75</v>
      </c>
      <c r="Z71" s="18" t="str">
        <f t="shared" si="7"/>
        <v>Mencapai kompetensi dengan baik dalam hal</v>
      </c>
      <c r="AA71" s="23">
        <v>80</v>
      </c>
      <c r="AB71" s="18" t="str">
        <f t="shared" si="8"/>
        <v>Mencapai kompetensi dengan baik dalam hal</v>
      </c>
      <c r="AC71" s="23">
        <v>75</v>
      </c>
      <c r="AD71" s="18" t="str">
        <f t="shared" ref="AD71:AD102" si="26">VLOOKUP(AC71,grades1,2,TRUE)</f>
        <v>Mencapai kompetensi dengan baik dalam hal</v>
      </c>
      <c r="AE71" s="23">
        <v>75</v>
      </c>
      <c r="AF71" s="18" t="str">
        <f t="shared" si="22"/>
        <v>Mencapai kompetensi dengan baik dalam hal</v>
      </c>
      <c r="AG71" s="23">
        <v>80</v>
      </c>
      <c r="AH71" s="18" t="str">
        <f t="shared" si="10"/>
        <v>Mencapai kompetensi dengan baik dalam hal</v>
      </c>
      <c r="AI71" s="23">
        <v>76</v>
      </c>
      <c r="AJ71" s="18" t="str">
        <f t="shared" si="11"/>
        <v>Mencapai kompetensi dengan baik dalam hal</v>
      </c>
      <c r="AK71" s="23">
        <v>77</v>
      </c>
      <c r="AL71" s="18" t="str">
        <f t="shared" si="12"/>
        <v>Mencapai kompetensi dengan baik dalam hal</v>
      </c>
      <c r="AM71" s="23">
        <v>76</v>
      </c>
      <c r="AN71" s="18" t="str">
        <f t="shared" si="13"/>
        <v>Mencapai kompetensi dengan baik dalam hal</v>
      </c>
      <c r="AO71" s="118">
        <f t="shared" si="25"/>
        <v>76.8</v>
      </c>
      <c r="AP71" s="23">
        <v>80</v>
      </c>
      <c r="AQ71" s="18" t="str">
        <f t="shared" si="14"/>
        <v>Mencapai kompetensi dengan baik dalam hal</v>
      </c>
      <c r="AR71" s="23">
        <v>70</v>
      </c>
      <c r="AS71" s="18" t="str">
        <f t="shared" si="15"/>
        <v>Perlu peningkatan dalam hal</v>
      </c>
      <c r="AT71" s="113">
        <v>2</v>
      </c>
      <c r="AU71" s="113">
        <v>1</v>
      </c>
      <c r="AV71" s="113" t="s">
        <v>81</v>
      </c>
      <c r="AW71" s="7">
        <v>1</v>
      </c>
      <c r="AX71" s="12" t="s">
        <v>82</v>
      </c>
      <c r="AY71" s="17" t="s">
        <v>83</v>
      </c>
      <c r="AZ71" s="12" t="s">
        <v>84</v>
      </c>
      <c r="BA71" s="15" t="str">
        <f t="shared" si="23"/>
        <v>Baik</v>
      </c>
      <c r="BB71" s="7">
        <v>2</v>
      </c>
      <c r="BC71" s="17" t="s">
        <v>103</v>
      </c>
      <c r="BD71" s="18" t="s">
        <v>83</v>
      </c>
      <c r="BE71" s="7" t="s">
        <v>84</v>
      </c>
      <c r="BF71" s="15" t="str">
        <f t="shared" si="24"/>
        <v>Baik</v>
      </c>
      <c r="BG71" s="7"/>
      <c r="BH71" s="7"/>
      <c r="BI71" s="7"/>
      <c r="BJ71" s="7"/>
      <c r="BK71" s="15"/>
    </row>
    <row r="72" spans="1:66" ht="24.95" customHeight="1" thickTop="1" thickBot="1" x14ac:dyDescent="0.3">
      <c r="A72" s="23">
        <v>71</v>
      </c>
      <c r="B72" s="23">
        <v>2525547</v>
      </c>
      <c r="C72" s="23" t="s">
        <v>1298</v>
      </c>
      <c r="D72" s="18" t="s">
        <v>1299</v>
      </c>
      <c r="E72" s="23" t="s">
        <v>1295</v>
      </c>
      <c r="F72" s="23" t="s">
        <v>1151</v>
      </c>
      <c r="G72" s="23" t="s">
        <v>1296</v>
      </c>
      <c r="H72" s="23" t="s">
        <v>1297</v>
      </c>
      <c r="I72" s="60" t="s">
        <v>76</v>
      </c>
      <c r="J72" s="61" t="s">
        <v>77</v>
      </c>
      <c r="K72" s="23">
        <v>80</v>
      </c>
      <c r="L72" s="18" t="str">
        <f t="shared" si="0"/>
        <v>Mencapai kompetensi dengan baik dalam hal</v>
      </c>
      <c r="M72" s="23">
        <v>79</v>
      </c>
      <c r="N72" s="18" t="str">
        <f t="shared" si="1"/>
        <v>Mencapai kompetensi dengan baik dalam hal</v>
      </c>
      <c r="O72" s="23">
        <v>80</v>
      </c>
      <c r="P72" s="18" t="str">
        <f t="shared" si="2"/>
        <v>Mencapai kompetensi dengan baik dalam hal</v>
      </c>
      <c r="Q72" s="23">
        <v>80</v>
      </c>
      <c r="R72" s="18" t="str">
        <f t="shared" si="3"/>
        <v>Mencapai kompetensi dengan baik dalam hal</v>
      </c>
      <c r="S72" s="23">
        <v>80</v>
      </c>
      <c r="T72" s="18" t="str">
        <f t="shared" si="4"/>
        <v>Mencapai kompetensi dengan baik dalam hal</v>
      </c>
      <c r="U72" s="23">
        <v>82</v>
      </c>
      <c r="V72" s="18" t="str">
        <f t="shared" si="5"/>
        <v>Mencapai kompetensi dengan baik dalam hal</v>
      </c>
      <c r="W72" s="23">
        <v>79</v>
      </c>
      <c r="X72" s="18" t="str">
        <f t="shared" si="6"/>
        <v>Mencapai kompetensi dengan baik dalam hal</v>
      </c>
      <c r="Y72" s="23">
        <v>78</v>
      </c>
      <c r="Z72" s="18" t="str">
        <f t="shared" si="7"/>
        <v>Mencapai kompetensi dengan baik dalam hal</v>
      </c>
      <c r="AA72" s="23">
        <v>88</v>
      </c>
      <c r="AB72" s="18" t="str">
        <f t="shared" si="8"/>
        <v>Mencapai kompetensi dengan baik dalam hal</v>
      </c>
      <c r="AC72" s="23">
        <v>75</v>
      </c>
      <c r="AD72" s="18" t="str">
        <f t="shared" si="26"/>
        <v>Mencapai kompetensi dengan baik dalam hal</v>
      </c>
      <c r="AE72" s="23">
        <v>79</v>
      </c>
      <c r="AF72" s="18" t="str">
        <f t="shared" si="22"/>
        <v>Mencapai kompetensi dengan baik dalam hal</v>
      </c>
      <c r="AG72" s="23">
        <v>86</v>
      </c>
      <c r="AH72" s="18" t="str">
        <f t="shared" si="10"/>
        <v>Mencapai kompetensi dengan baik dalam hal</v>
      </c>
      <c r="AI72" s="23">
        <v>79</v>
      </c>
      <c r="AJ72" s="18" t="str">
        <f t="shared" si="11"/>
        <v>Mencapai kompetensi dengan baik dalam hal</v>
      </c>
      <c r="AK72" s="23">
        <v>75</v>
      </c>
      <c r="AL72" s="18" t="str">
        <f t="shared" si="12"/>
        <v>Mencapai kompetensi dengan baik dalam hal</v>
      </c>
      <c r="AM72" s="23">
        <v>76</v>
      </c>
      <c r="AN72" s="18" t="str">
        <f t="shared" si="13"/>
        <v>Mencapai kompetensi dengan baik dalam hal</v>
      </c>
      <c r="AO72" s="118">
        <f t="shared" si="25"/>
        <v>79</v>
      </c>
      <c r="AP72" s="23">
        <v>88</v>
      </c>
      <c r="AQ72" s="18" t="str">
        <f t="shared" si="14"/>
        <v>Mencapai kompetensi dengan baik dalam hal</v>
      </c>
      <c r="AR72" s="23">
        <v>79</v>
      </c>
      <c r="AS72" s="18" t="str">
        <f t="shared" si="15"/>
        <v>Mencapai kompetensi dengan baik dalam hal</v>
      </c>
      <c r="AT72" s="113">
        <v>1</v>
      </c>
      <c r="AU72" s="113" t="s">
        <v>81</v>
      </c>
      <c r="AV72" s="113" t="s">
        <v>81</v>
      </c>
      <c r="AW72" s="7">
        <v>1</v>
      </c>
      <c r="AX72" s="12" t="s">
        <v>82</v>
      </c>
      <c r="AY72" s="17" t="s">
        <v>83</v>
      </c>
      <c r="AZ72" s="12" t="s">
        <v>86</v>
      </c>
      <c r="BA72" s="15" t="str">
        <f t="shared" si="23"/>
        <v>Sangat baik</v>
      </c>
      <c r="BB72" s="7">
        <v>2</v>
      </c>
      <c r="BC72" s="17" t="s">
        <v>212</v>
      </c>
      <c r="BD72" s="18" t="s">
        <v>83</v>
      </c>
      <c r="BE72" s="7" t="s">
        <v>86</v>
      </c>
      <c r="BF72" s="15" t="str">
        <f t="shared" si="24"/>
        <v>Sangat baik</v>
      </c>
      <c r="BG72" s="7"/>
      <c r="BH72" s="7"/>
      <c r="BI72" s="7"/>
      <c r="BJ72" s="7"/>
      <c r="BK72" s="15"/>
    </row>
    <row r="73" spans="1:66" ht="24.95" customHeight="1" thickTop="1" thickBot="1" x14ac:dyDescent="0.3">
      <c r="A73" s="23">
        <v>72</v>
      </c>
      <c r="B73" s="23">
        <v>2525548</v>
      </c>
      <c r="C73" s="23" t="s">
        <v>1300</v>
      </c>
      <c r="D73" s="18" t="s">
        <v>1301</v>
      </c>
      <c r="E73" s="23" t="s">
        <v>1295</v>
      </c>
      <c r="F73" s="23" t="s">
        <v>1151</v>
      </c>
      <c r="G73" s="23" t="s">
        <v>1296</v>
      </c>
      <c r="H73" s="23" t="s">
        <v>1297</v>
      </c>
      <c r="I73" s="60" t="s">
        <v>76</v>
      </c>
      <c r="J73" s="61" t="s">
        <v>77</v>
      </c>
      <c r="K73" s="23">
        <v>80</v>
      </c>
      <c r="L73" s="18" t="str">
        <f t="shared" si="0"/>
        <v>Mencapai kompetensi dengan baik dalam hal</v>
      </c>
      <c r="M73" s="23">
        <v>77</v>
      </c>
      <c r="N73" s="18" t="str">
        <f t="shared" si="1"/>
        <v>Mencapai kompetensi dengan baik dalam hal</v>
      </c>
      <c r="O73" s="23">
        <v>81</v>
      </c>
      <c r="P73" s="18" t="str">
        <f t="shared" si="2"/>
        <v>Mencapai kompetensi dengan baik dalam hal</v>
      </c>
      <c r="Q73" s="23">
        <v>80</v>
      </c>
      <c r="R73" s="18" t="str">
        <f t="shared" si="3"/>
        <v>Mencapai kompetensi dengan baik dalam hal</v>
      </c>
      <c r="S73" s="23">
        <v>75</v>
      </c>
      <c r="T73" s="18" t="str">
        <f t="shared" si="4"/>
        <v>Mencapai kompetensi dengan baik dalam hal</v>
      </c>
      <c r="U73" s="23">
        <v>80</v>
      </c>
      <c r="V73" s="18" t="str">
        <f t="shared" si="5"/>
        <v>Mencapai kompetensi dengan baik dalam hal</v>
      </c>
      <c r="W73" s="23">
        <v>76</v>
      </c>
      <c r="X73" s="18" t="str">
        <f t="shared" si="6"/>
        <v>Mencapai kompetensi dengan baik dalam hal</v>
      </c>
      <c r="Y73" s="23">
        <v>76</v>
      </c>
      <c r="Z73" s="18" t="str">
        <f t="shared" si="7"/>
        <v>Mencapai kompetensi dengan baik dalam hal</v>
      </c>
      <c r="AA73" s="23">
        <v>88</v>
      </c>
      <c r="AB73" s="18" t="str">
        <f t="shared" si="8"/>
        <v>Mencapai kompetensi dengan baik dalam hal</v>
      </c>
      <c r="AC73" s="23">
        <v>84</v>
      </c>
      <c r="AD73" s="18" t="str">
        <f t="shared" si="26"/>
        <v>Mencapai kompetensi dengan baik dalam hal</v>
      </c>
      <c r="AE73" s="23">
        <v>77</v>
      </c>
      <c r="AF73" s="18" t="str">
        <f t="shared" si="22"/>
        <v>Mencapai kompetensi dengan baik dalam hal</v>
      </c>
      <c r="AG73" s="23">
        <v>84</v>
      </c>
      <c r="AH73" s="18" t="str">
        <f t="shared" si="10"/>
        <v>Mencapai kompetensi dengan baik dalam hal</v>
      </c>
      <c r="AI73" s="23">
        <v>75</v>
      </c>
      <c r="AJ73" s="18" t="str">
        <f t="shared" si="11"/>
        <v>Mencapai kompetensi dengan baik dalam hal</v>
      </c>
      <c r="AK73" s="23">
        <v>75</v>
      </c>
      <c r="AL73" s="18" t="str">
        <f t="shared" si="12"/>
        <v>Mencapai kompetensi dengan baik dalam hal</v>
      </c>
      <c r="AM73" s="23">
        <v>75</v>
      </c>
      <c r="AN73" s="18" t="str">
        <f t="shared" si="13"/>
        <v>Mencapai kompetensi dengan baik dalam hal</v>
      </c>
      <c r="AO73" s="118">
        <f t="shared" si="25"/>
        <v>77.2</v>
      </c>
      <c r="AP73" s="23">
        <v>88</v>
      </c>
      <c r="AQ73" s="18" t="str">
        <f t="shared" si="14"/>
        <v>Mencapai kompetensi dengan baik dalam hal</v>
      </c>
      <c r="AR73" s="23">
        <v>76</v>
      </c>
      <c r="AS73" s="18" t="str">
        <f t="shared" si="15"/>
        <v>Mencapai kompetensi dengan baik dalam hal</v>
      </c>
      <c r="AT73" s="113">
        <v>1</v>
      </c>
      <c r="AU73" s="113" t="s">
        <v>81</v>
      </c>
      <c r="AV73" s="113">
        <v>1</v>
      </c>
      <c r="AW73" s="7">
        <v>1</v>
      </c>
      <c r="AX73" s="12" t="s">
        <v>82</v>
      </c>
      <c r="AY73" s="17" t="s">
        <v>83</v>
      </c>
      <c r="AZ73" s="12" t="s">
        <v>84</v>
      </c>
      <c r="BA73" s="15" t="str">
        <f t="shared" si="23"/>
        <v>Baik</v>
      </c>
      <c r="BB73" s="7">
        <v>2</v>
      </c>
      <c r="BC73" s="17" t="s">
        <v>1073</v>
      </c>
      <c r="BD73" s="18" t="s">
        <v>83</v>
      </c>
      <c r="BE73" s="7" t="s">
        <v>86</v>
      </c>
      <c r="BF73" s="15" t="str">
        <f t="shared" si="24"/>
        <v>Sangat baik</v>
      </c>
      <c r="BG73" s="7"/>
      <c r="BH73" s="7"/>
      <c r="BI73" s="7"/>
      <c r="BJ73" s="7"/>
      <c r="BK73" s="15"/>
    </row>
    <row r="74" spans="1:66" ht="24.95" customHeight="1" thickTop="1" thickBot="1" x14ac:dyDescent="0.3">
      <c r="A74" s="23">
        <v>73</v>
      </c>
      <c r="B74" s="23">
        <v>2525549</v>
      </c>
      <c r="C74" s="23" t="s">
        <v>1302</v>
      </c>
      <c r="D74" s="18" t="s">
        <v>1303</v>
      </c>
      <c r="E74" s="23" t="s">
        <v>1295</v>
      </c>
      <c r="F74" s="23" t="s">
        <v>1151</v>
      </c>
      <c r="G74" s="23" t="s">
        <v>1296</v>
      </c>
      <c r="H74" s="23" t="s">
        <v>1297</v>
      </c>
      <c r="I74" s="60" t="s">
        <v>76</v>
      </c>
      <c r="J74" s="61" t="s">
        <v>77</v>
      </c>
      <c r="K74" s="23">
        <v>78</v>
      </c>
      <c r="L74" s="18" t="str">
        <f t="shared" si="0"/>
        <v>Mencapai kompetensi dengan baik dalam hal</v>
      </c>
      <c r="M74" s="23">
        <v>76</v>
      </c>
      <c r="N74" s="18" t="str">
        <f t="shared" si="1"/>
        <v>Mencapai kompetensi dengan baik dalam hal</v>
      </c>
      <c r="O74" s="23">
        <v>79</v>
      </c>
      <c r="P74" s="18" t="str">
        <f t="shared" si="2"/>
        <v>Mencapai kompetensi dengan baik dalam hal</v>
      </c>
      <c r="Q74" s="23">
        <v>79</v>
      </c>
      <c r="R74" s="18" t="str">
        <f t="shared" si="3"/>
        <v>Mencapai kompetensi dengan baik dalam hal</v>
      </c>
      <c r="S74" s="23">
        <v>79</v>
      </c>
      <c r="T74" s="18" t="str">
        <f t="shared" si="4"/>
        <v>Mencapai kompetensi dengan baik dalam hal</v>
      </c>
      <c r="U74" s="23">
        <v>78</v>
      </c>
      <c r="V74" s="18" t="str">
        <f t="shared" si="5"/>
        <v>Mencapai kompetensi dengan baik dalam hal</v>
      </c>
      <c r="W74" s="23">
        <v>78</v>
      </c>
      <c r="X74" s="18" t="str">
        <f t="shared" si="6"/>
        <v>Mencapai kompetensi dengan baik dalam hal</v>
      </c>
      <c r="Y74" s="23">
        <v>76</v>
      </c>
      <c r="Z74" s="18" t="str">
        <f t="shared" si="7"/>
        <v>Mencapai kompetensi dengan baik dalam hal</v>
      </c>
      <c r="AA74" s="23">
        <v>81</v>
      </c>
      <c r="AB74" s="18" t="str">
        <f t="shared" si="8"/>
        <v>Mencapai kompetensi dengan baik dalam hal</v>
      </c>
      <c r="AC74" s="23">
        <v>75</v>
      </c>
      <c r="AD74" s="18" t="str">
        <f t="shared" si="26"/>
        <v>Mencapai kompetensi dengan baik dalam hal</v>
      </c>
      <c r="AE74" s="23">
        <v>78</v>
      </c>
      <c r="AF74" s="18" t="str">
        <f t="shared" si="22"/>
        <v>Mencapai kompetensi dengan baik dalam hal</v>
      </c>
      <c r="AG74" s="23">
        <v>83</v>
      </c>
      <c r="AH74" s="18" t="str">
        <f t="shared" si="10"/>
        <v>Mencapai kompetensi dengan baik dalam hal</v>
      </c>
      <c r="AI74" s="23">
        <v>76</v>
      </c>
      <c r="AJ74" s="18" t="str">
        <f t="shared" si="11"/>
        <v>Mencapai kompetensi dengan baik dalam hal</v>
      </c>
      <c r="AK74" s="23">
        <v>75</v>
      </c>
      <c r="AL74" s="18" t="str">
        <f t="shared" si="12"/>
        <v>Mencapai kompetensi dengan baik dalam hal</v>
      </c>
      <c r="AM74" s="23">
        <v>75</v>
      </c>
      <c r="AN74" s="18" t="str">
        <f t="shared" si="13"/>
        <v>Mencapai kompetensi dengan baik dalam hal</v>
      </c>
      <c r="AO74" s="118">
        <f t="shared" si="25"/>
        <v>77.400000000000006</v>
      </c>
      <c r="AP74" s="23">
        <v>81</v>
      </c>
      <c r="AQ74" s="18" t="str">
        <f t="shared" si="14"/>
        <v>Mencapai kompetensi dengan baik dalam hal</v>
      </c>
      <c r="AR74" s="23">
        <v>78</v>
      </c>
      <c r="AS74" s="18" t="str">
        <f t="shared" si="15"/>
        <v>Mencapai kompetensi dengan baik dalam hal</v>
      </c>
      <c r="AT74" s="113">
        <v>3</v>
      </c>
      <c r="AU74" s="113" t="s">
        <v>81</v>
      </c>
      <c r="AV74" s="113" t="s">
        <v>81</v>
      </c>
      <c r="AW74" s="7">
        <v>1</v>
      </c>
      <c r="AX74" s="12" t="s">
        <v>82</v>
      </c>
      <c r="AY74" s="17" t="s">
        <v>83</v>
      </c>
      <c r="AZ74" s="12" t="s">
        <v>84</v>
      </c>
      <c r="BA74" s="15" t="str">
        <f t="shared" si="23"/>
        <v>Baik</v>
      </c>
      <c r="BB74" s="7">
        <v>2</v>
      </c>
      <c r="BC74" s="17" t="s">
        <v>1073</v>
      </c>
      <c r="BD74" s="18" t="s">
        <v>83</v>
      </c>
      <c r="BE74" s="7" t="s">
        <v>86</v>
      </c>
      <c r="BF74" s="15" t="str">
        <f t="shared" si="24"/>
        <v>Sangat baik</v>
      </c>
      <c r="BG74" s="7"/>
      <c r="BH74" s="7"/>
      <c r="BI74" s="7"/>
      <c r="BJ74" s="7"/>
      <c r="BK74" s="15"/>
    </row>
    <row r="75" spans="1:66" ht="24.95" customHeight="1" thickTop="1" thickBot="1" x14ac:dyDescent="0.3">
      <c r="A75" s="23">
        <v>74</v>
      </c>
      <c r="B75" s="23">
        <v>2525550</v>
      </c>
      <c r="C75" s="23" t="s">
        <v>1304</v>
      </c>
      <c r="D75" s="18" t="s">
        <v>1305</v>
      </c>
      <c r="E75" s="23" t="s">
        <v>1295</v>
      </c>
      <c r="F75" s="23" t="s">
        <v>1151</v>
      </c>
      <c r="G75" s="23" t="s">
        <v>1296</v>
      </c>
      <c r="H75" s="23" t="s">
        <v>1297</v>
      </c>
      <c r="I75" s="60" t="s">
        <v>76</v>
      </c>
      <c r="J75" s="61" t="s">
        <v>77</v>
      </c>
      <c r="K75" s="23">
        <v>80</v>
      </c>
      <c r="L75" s="18" t="str">
        <f t="shared" si="0"/>
        <v>Mencapai kompetensi dengan baik dalam hal</v>
      </c>
      <c r="M75" s="23">
        <v>77</v>
      </c>
      <c r="N75" s="18" t="str">
        <f t="shared" si="1"/>
        <v>Mencapai kompetensi dengan baik dalam hal</v>
      </c>
      <c r="O75" s="23">
        <v>80</v>
      </c>
      <c r="P75" s="18" t="str">
        <f t="shared" si="2"/>
        <v>Mencapai kompetensi dengan baik dalam hal</v>
      </c>
      <c r="Q75" s="23">
        <v>79</v>
      </c>
      <c r="R75" s="18" t="str">
        <f t="shared" si="3"/>
        <v>Mencapai kompetensi dengan baik dalam hal</v>
      </c>
      <c r="S75" s="23">
        <v>75</v>
      </c>
      <c r="T75" s="18" t="str">
        <f t="shared" si="4"/>
        <v>Mencapai kompetensi dengan baik dalam hal</v>
      </c>
      <c r="U75" s="23">
        <v>80</v>
      </c>
      <c r="V75" s="18" t="str">
        <f t="shared" si="5"/>
        <v>Mencapai kompetensi dengan baik dalam hal</v>
      </c>
      <c r="W75" s="23">
        <v>76</v>
      </c>
      <c r="X75" s="18" t="str">
        <f t="shared" si="6"/>
        <v>Mencapai kompetensi dengan baik dalam hal</v>
      </c>
      <c r="Y75" s="23">
        <v>79</v>
      </c>
      <c r="Z75" s="18" t="str">
        <f t="shared" si="7"/>
        <v>Mencapai kompetensi dengan baik dalam hal</v>
      </c>
      <c r="AA75" s="23">
        <v>87</v>
      </c>
      <c r="AB75" s="18" t="str">
        <f t="shared" si="8"/>
        <v>Mencapai kompetensi dengan baik dalam hal</v>
      </c>
      <c r="AC75" s="23">
        <v>80</v>
      </c>
      <c r="AD75" s="18" t="str">
        <f t="shared" si="26"/>
        <v>Mencapai kompetensi dengan baik dalam hal</v>
      </c>
      <c r="AE75" s="23">
        <v>76</v>
      </c>
      <c r="AF75" s="18" t="str">
        <f t="shared" si="22"/>
        <v>Mencapai kompetensi dengan baik dalam hal</v>
      </c>
      <c r="AG75" s="23">
        <v>86</v>
      </c>
      <c r="AH75" s="18" t="str">
        <f t="shared" si="10"/>
        <v>Mencapai kompetensi dengan baik dalam hal</v>
      </c>
      <c r="AI75" s="23">
        <v>80</v>
      </c>
      <c r="AJ75" s="18" t="str">
        <f t="shared" si="11"/>
        <v>Mencapai kompetensi dengan baik dalam hal</v>
      </c>
      <c r="AK75" s="23">
        <v>75</v>
      </c>
      <c r="AL75" s="18" t="str">
        <f t="shared" si="12"/>
        <v>Mencapai kompetensi dengan baik dalam hal</v>
      </c>
      <c r="AM75" s="23">
        <v>74</v>
      </c>
      <c r="AN75" s="18" t="str">
        <f t="shared" si="13"/>
        <v>Perlu peningkatan dalam hal</v>
      </c>
      <c r="AO75" s="118">
        <f t="shared" si="25"/>
        <v>78.2</v>
      </c>
      <c r="AP75" s="23">
        <v>87</v>
      </c>
      <c r="AQ75" s="18" t="str">
        <f t="shared" si="14"/>
        <v>Mencapai kompetensi dengan baik dalam hal</v>
      </c>
      <c r="AR75" s="23">
        <v>78</v>
      </c>
      <c r="AS75" s="18" t="str">
        <f t="shared" si="15"/>
        <v>Mencapai kompetensi dengan baik dalam hal</v>
      </c>
      <c r="AT75" s="113" t="s">
        <v>81</v>
      </c>
      <c r="AU75" s="113" t="s">
        <v>81</v>
      </c>
      <c r="AV75" s="113">
        <v>2</v>
      </c>
      <c r="AW75" s="7">
        <v>1</v>
      </c>
      <c r="AX75" s="12" t="s">
        <v>82</v>
      </c>
      <c r="AY75" s="17" t="s">
        <v>83</v>
      </c>
      <c r="AZ75" s="12" t="s">
        <v>86</v>
      </c>
      <c r="BA75" s="15" t="str">
        <f t="shared" si="23"/>
        <v>Sangat baik</v>
      </c>
      <c r="BB75" s="7">
        <v>2</v>
      </c>
      <c r="BC75" s="17" t="s">
        <v>125</v>
      </c>
      <c r="BD75" s="18" t="s">
        <v>83</v>
      </c>
      <c r="BE75" s="7" t="s">
        <v>104</v>
      </c>
      <c r="BF75" s="15" t="str">
        <f t="shared" si="24"/>
        <v>Cukup</v>
      </c>
      <c r="BG75" s="7"/>
      <c r="BH75" s="7"/>
      <c r="BI75" s="7"/>
      <c r="BJ75" s="7"/>
      <c r="BK75" s="15"/>
    </row>
    <row r="76" spans="1:66" ht="24.95" customHeight="1" thickTop="1" thickBot="1" x14ac:dyDescent="0.3">
      <c r="A76" s="23">
        <v>75</v>
      </c>
      <c r="B76" s="23">
        <v>2525551</v>
      </c>
      <c r="C76" s="23" t="s">
        <v>1306</v>
      </c>
      <c r="D76" s="18" t="s">
        <v>1307</v>
      </c>
      <c r="E76" s="23" t="s">
        <v>1295</v>
      </c>
      <c r="F76" s="23" t="s">
        <v>1151</v>
      </c>
      <c r="G76" s="23" t="s">
        <v>1296</v>
      </c>
      <c r="H76" s="23" t="s">
        <v>1297</v>
      </c>
      <c r="I76" s="60" t="s">
        <v>76</v>
      </c>
      <c r="J76" s="61" t="s">
        <v>77</v>
      </c>
      <c r="K76" s="23">
        <v>80</v>
      </c>
      <c r="L76" s="18" t="str">
        <f t="shared" si="0"/>
        <v>Mencapai kompetensi dengan baik dalam hal</v>
      </c>
      <c r="M76" s="23">
        <v>77</v>
      </c>
      <c r="N76" s="18" t="str">
        <f t="shared" si="1"/>
        <v>Mencapai kompetensi dengan baik dalam hal</v>
      </c>
      <c r="O76" s="23">
        <v>81</v>
      </c>
      <c r="P76" s="18" t="str">
        <f t="shared" si="2"/>
        <v>Mencapai kompetensi dengan baik dalam hal</v>
      </c>
      <c r="Q76" s="23">
        <v>80</v>
      </c>
      <c r="R76" s="18" t="str">
        <f t="shared" si="3"/>
        <v>Mencapai kompetensi dengan baik dalam hal</v>
      </c>
      <c r="S76" s="23">
        <v>81</v>
      </c>
      <c r="T76" s="18" t="str">
        <f t="shared" si="4"/>
        <v>Mencapai kompetensi dengan baik dalam hal</v>
      </c>
      <c r="U76" s="23">
        <v>78</v>
      </c>
      <c r="V76" s="18" t="str">
        <f t="shared" si="5"/>
        <v>Mencapai kompetensi dengan baik dalam hal</v>
      </c>
      <c r="W76" s="23">
        <v>79</v>
      </c>
      <c r="X76" s="18" t="str">
        <f t="shared" si="6"/>
        <v>Mencapai kompetensi dengan baik dalam hal</v>
      </c>
      <c r="Y76" s="23">
        <v>80</v>
      </c>
      <c r="Z76" s="18" t="str">
        <f t="shared" si="7"/>
        <v>Mencapai kompetensi dengan baik dalam hal</v>
      </c>
      <c r="AA76" s="23">
        <v>80</v>
      </c>
      <c r="AB76" s="18" t="str">
        <f t="shared" si="8"/>
        <v>Mencapai kompetensi dengan baik dalam hal</v>
      </c>
      <c r="AC76" s="23">
        <v>76</v>
      </c>
      <c r="AD76" s="18" t="str">
        <f t="shared" si="26"/>
        <v>Mencapai kompetensi dengan baik dalam hal</v>
      </c>
      <c r="AE76" s="23">
        <v>76</v>
      </c>
      <c r="AF76" s="18" t="str">
        <f t="shared" si="22"/>
        <v>Mencapai kompetensi dengan baik dalam hal</v>
      </c>
      <c r="AG76" s="23">
        <v>82</v>
      </c>
      <c r="AH76" s="18" t="str">
        <f t="shared" si="10"/>
        <v>Mencapai kompetensi dengan baik dalam hal</v>
      </c>
      <c r="AI76" s="23">
        <v>75</v>
      </c>
      <c r="AJ76" s="18" t="str">
        <f t="shared" si="11"/>
        <v>Mencapai kompetensi dengan baik dalam hal</v>
      </c>
      <c r="AK76" s="23">
        <v>75</v>
      </c>
      <c r="AL76" s="18" t="str">
        <f t="shared" si="12"/>
        <v>Mencapai kompetensi dengan baik dalam hal</v>
      </c>
      <c r="AM76" s="23">
        <v>73</v>
      </c>
      <c r="AN76" s="18" t="str">
        <f t="shared" si="13"/>
        <v>Perlu peningkatan dalam hal</v>
      </c>
      <c r="AO76" s="118">
        <f t="shared" si="25"/>
        <v>76.2</v>
      </c>
      <c r="AP76" s="23">
        <v>80</v>
      </c>
      <c r="AQ76" s="18" t="str">
        <f t="shared" si="14"/>
        <v>Mencapai kompetensi dengan baik dalam hal</v>
      </c>
      <c r="AR76" s="23">
        <v>78</v>
      </c>
      <c r="AS76" s="18" t="str">
        <f t="shared" si="15"/>
        <v>Mencapai kompetensi dengan baik dalam hal</v>
      </c>
      <c r="AT76" s="113" t="s">
        <v>81</v>
      </c>
      <c r="AU76" s="113" t="s">
        <v>81</v>
      </c>
      <c r="AV76" s="113" t="s">
        <v>81</v>
      </c>
      <c r="AW76" s="7">
        <v>1</v>
      </c>
      <c r="AX76" s="12" t="s">
        <v>82</v>
      </c>
      <c r="AY76" s="17" t="s">
        <v>83</v>
      </c>
      <c r="AZ76" s="12" t="s">
        <v>84</v>
      </c>
      <c r="BA76" s="15" t="str">
        <f t="shared" si="23"/>
        <v>Baik</v>
      </c>
      <c r="BB76" s="7">
        <v>2</v>
      </c>
      <c r="BC76" s="17" t="s">
        <v>170</v>
      </c>
      <c r="BD76" s="18" t="s">
        <v>83</v>
      </c>
      <c r="BE76" s="7" t="s">
        <v>84</v>
      </c>
      <c r="BF76" s="15" t="str">
        <f t="shared" si="24"/>
        <v>Baik</v>
      </c>
      <c r="BG76" s="7"/>
      <c r="BH76" s="7"/>
      <c r="BI76" s="7"/>
      <c r="BJ76" s="7"/>
      <c r="BK76" s="15"/>
    </row>
    <row r="77" spans="1:66" ht="24.95" customHeight="1" thickTop="1" thickBot="1" x14ac:dyDescent="0.3">
      <c r="A77" s="23">
        <v>76</v>
      </c>
      <c r="B77" s="23">
        <v>2525552</v>
      </c>
      <c r="C77" s="23" t="s">
        <v>1308</v>
      </c>
      <c r="D77" s="18" t="s">
        <v>1309</v>
      </c>
      <c r="E77" s="23" t="s">
        <v>1295</v>
      </c>
      <c r="F77" s="23" t="s">
        <v>1151</v>
      </c>
      <c r="G77" s="23" t="s">
        <v>1296</v>
      </c>
      <c r="H77" s="23" t="s">
        <v>1297</v>
      </c>
      <c r="I77" s="60" t="s">
        <v>76</v>
      </c>
      <c r="J77" s="61" t="s">
        <v>77</v>
      </c>
      <c r="K77" s="23">
        <v>79</v>
      </c>
      <c r="L77" s="18" t="str">
        <f t="shared" si="0"/>
        <v>Mencapai kompetensi dengan baik dalam hal</v>
      </c>
      <c r="M77" s="23">
        <v>76</v>
      </c>
      <c r="N77" s="18" t="str">
        <f t="shared" si="1"/>
        <v>Mencapai kompetensi dengan baik dalam hal</v>
      </c>
      <c r="O77" s="23">
        <v>79</v>
      </c>
      <c r="P77" s="18" t="str">
        <f t="shared" si="2"/>
        <v>Mencapai kompetensi dengan baik dalam hal</v>
      </c>
      <c r="Q77" s="23">
        <v>80</v>
      </c>
      <c r="R77" s="18" t="str">
        <f t="shared" si="3"/>
        <v>Mencapai kompetensi dengan baik dalam hal</v>
      </c>
      <c r="S77" s="23">
        <v>79</v>
      </c>
      <c r="T77" s="18" t="str">
        <f t="shared" si="4"/>
        <v>Mencapai kompetensi dengan baik dalam hal</v>
      </c>
      <c r="U77" s="23">
        <v>77</v>
      </c>
      <c r="V77" s="18" t="str">
        <f t="shared" si="5"/>
        <v>Mencapai kompetensi dengan baik dalam hal</v>
      </c>
      <c r="W77" s="23">
        <v>76</v>
      </c>
      <c r="X77" s="18" t="str">
        <f t="shared" si="6"/>
        <v>Mencapai kompetensi dengan baik dalam hal</v>
      </c>
      <c r="Y77" s="23">
        <v>75</v>
      </c>
      <c r="Z77" s="18" t="str">
        <f t="shared" si="7"/>
        <v>Mencapai kompetensi dengan baik dalam hal</v>
      </c>
      <c r="AA77" s="23">
        <v>76</v>
      </c>
      <c r="AB77" s="18" t="str">
        <f t="shared" si="8"/>
        <v>Mencapai kompetensi dengan baik dalam hal</v>
      </c>
      <c r="AC77" s="23">
        <v>75</v>
      </c>
      <c r="AD77" s="18" t="str">
        <f t="shared" si="26"/>
        <v>Mencapai kompetensi dengan baik dalam hal</v>
      </c>
      <c r="AE77" s="23">
        <v>77</v>
      </c>
      <c r="AF77" s="18" t="str">
        <f t="shared" si="22"/>
        <v>Mencapai kompetensi dengan baik dalam hal</v>
      </c>
      <c r="AG77" s="23">
        <v>80</v>
      </c>
      <c r="AH77" s="18" t="str">
        <f t="shared" si="10"/>
        <v>Mencapai kompetensi dengan baik dalam hal</v>
      </c>
      <c r="AI77" s="23">
        <v>75</v>
      </c>
      <c r="AJ77" s="18" t="str">
        <f t="shared" si="11"/>
        <v>Mencapai kompetensi dengan baik dalam hal</v>
      </c>
      <c r="AK77" s="23">
        <v>75</v>
      </c>
      <c r="AL77" s="18" t="str">
        <f t="shared" si="12"/>
        <v>Mencapai kompetensi dengan baik dalam hal</v>
      </c>
      <c r="AM77" s="23">
        <v>72</v>
      </c>
      <c r="AN77" s="18" t="str">
        <f t="shared" si="13"/>
        <v>Perlu peningkatan dalam hal</v>
      </c>
      <c r="AO77" s="118">
        <f t="shared" si="25"/>
        <v>75.8</v>
      </c>
      <c r="AP77" s="23">
        <v>76</v>
      </c>
      <c r="AQ77" s="18" t="str">
        <f t="shared" si="14"/>
        <v>Mencapai kompetensi dengan baik dalam hal</v>
      </c>
      <c r="AR77" s="23">
        <v>78</v>
      </c>
      <c r="AS77" s="18" t="str">
        <f t="shared" si="15"/>
        <v>Mencapai kompetensi dengan baik dalam hal</v>
      </c>
      <c r="AT77" s="113">
        <v>1</v>
      </c>
      <c r="AU77" s="113">
        <v>2</v>
      </c>
      <c r="AV77" s="113">
        <v>1</v>
      </c>
      <c r="AW77" s="7">
        <v>1</v>
      </c>
      <c r="AX77" s="12" t="s">
        <v>82</v>
      </c>
      <c r="AY77" s="17" t="s">
        <v>83</v>
      </c>
      <c r="AZ77" s="12" t="s">
        <v>84</v>
      </c>
      <c r="BA77" s="15" t="str">
        <f t="shared" si="23"/>
        <v>Baik</v>
      </c>
      <c r="BB77" s="7">
        <v>2</v>
      </c>
      <c r="BC77" s="17" t="s">
        <v>170</v>
      </c>
      <c r="BD77" s="18" t="s">
        <v>83</v>
      </c>
      <c r="BE77" s="7" t="s">
        <v>110</v>
      </c>
      <c r="BF77" s="15" t="str">
        <f t="shared" si="24"/>
        <v>Kurang</v>
      </c>
      <c r="BG77" s="7"/>
      <c r="BH77" s="7"/>
      <c r="BI77" s="7"/>
      <c r="BJ77" s="7"/>
      <c r="BK77" s="15"/>
    </row>
    <row r="78" spans="1:66" ht="24.95" customHeight="1" thickTop="1" thickBot="1" x14ac:dyDescent="0.3">
      <c r="A78" s="23">
        <v>77</v>
      </c>
      <c r="B78" s="23">
        <v>2525553</v>
      </c>
      <c r="C78" s="23" t="s">
        <v>1310</v>
      </c>
      <c r="D78" s="18" t="s">
        <v>1311</v>
      </c>
      <c r="E78" s="23" t="s">
        <v>1295</v>
      </c>
      <c r="F78" s="23" t="s">
        <v>1151</v>
      </c>
      <c r="G78" s="23" t="s">
        <v>1296</v>
      </c>
      <c r="H78" s="23" t="s">
        <v>1297</v>
      </c>
      <c r="I78" s="60" t="s">
        <v>76</v>
      </c>
      <c r="J78" s="61" t="s">
        <v>77</v>
      </c>
      <c r="K78" s="23">
        <v>80</v>
      </c>
      <c r="L78" s="18" t="str">
        <f t="shared" si="0"/>
        <v>Mencapai kompetensi dengan baik dalam hal</v>
      </c>
      <c r="M78" s="23">
        <v>76</v>
      </c>
      <c r="N78" s="18" t="str">
        <f t="shared" si="1"/>
        <v>Mencapai kompetensi dengan baik dalam hal</v>
      </c>
      <c r="O78" s="23">
        <v>81</v>
      </c>
      <c r="P78" s="18" t="str">
        <f t="shared" si="2"/>
        <v>Mencapai kompetensi dengan baik dalam hal</v>
      </c>
      <c r="Q78" s="23">
        <v>80</v>
      </c>
      <c r="R78" s="18" t="str">
        <f t="shared" si="3"/>
        <v>Mencapai kompetensi dengan baik dalam hal</v>
      </c>
      <c r="S78" s="23">
        <v>80</v>
      </c>
      <c r="T78" s="18" t="str">
        <f t="shared" si="4"/>
        <v>Mencapai kompetensi dengan baik dalam hal</v>
      </c>
      <c r="U78" s="23">
        <v>83</v>
      </c>
      <c r="V78" s="18" t="str">
        <f t="shared" si="5"/>
        <v>Mencapai kompetensi dengan baik dalam hal</v>
      </c>
      <c r="W78" s="23">
        <v>78</v>
      </c>
      <c r="X78" s="18" t="str">
        <f t="shared" si="6"/>
        <v>Mencapai kompetensi dengan baik dalam hal</v>
      </c>
      <c r="Y78" s="23">
        <v>78</v>
      </c>
      <c r="Z78" s="18" t="str">
        <f t="shared" si="7"/>
        <v>Mencapai kompetensi dengan baik dalam hal</v>
      </c>
      <c r="AA78" s="23">
        <v>85</v>
      </c>
      <c r="AB78" s="18" t="str">
        <f t="shared" si="8"/>
        <v>Mencapai kompetensi dengan baik dalam hal</v>
      </c>
      <c r="AC78" s="23">
        <v>77</v>
      </c>
      <c r="AD78" s="18" t="str">
        <f t="shared" si="26"/>
        <v>Mencapai kompetensi dengan baik dalam hal</v>
      </c>
      <c r="AE78" s="23">
        <v>75</v>
      </c>
      <c r="AF78" s="18" t="str">
        <f t="shared" si="22"/>
        <v>Mencapai kompetensi dengan baik dalam hal</v>
      </c>
      <c r="AG78" s="23">
        <v>83</v>
      </c>
      <c r="AH78" s="18" t="str">
        <f t="shared" si="10"/>
        <v>Mencapai kompetensi dengan baik dalam hal</v>
      </c>
      <c r="AI78" s="23">
        <v>77</v>
      </c>
      <c r="AJ78" s="18" t="str">
        <f t="shared" si="11"/>
        <v>Mencapai kompetensi dengan baik dalam hal</v>
      </c>
      <c r="AK78" s="23">
        <v>77</v>
      </c>
      <c r="AL78" s="18" t="str">
        <f t="shared" si="12"/>
        <v>Mencapai kompetensi dengan baik dalam hal</v>
      </c>
      <c r="AM78" s="23">
        <v>74</v>
      </c>
      <c r="AN78" s="18" t="str">
        <f t="shared" si="13"/>
        <v>Perlu peningkatan dalam hal</v>
      </c>
      <c r="AO78" s="118">
        <f t="shared" si="25"/>
        <v>77.2</v>
      </c>
      <c r="AP78" s="23">
        <v>85</v>
      </c>
      <c r="AQ78" s="18" t="str">
        <f t="shared" si="14"/>
        <v>Mencapai kompetensi dengan baik dalam hal</v>
      </c>
      <c r="AR78" s="23">
        <v>78</v>
      </c>
      <c r="AS78" s="18" t="str">
        <f t="shared" si="15"/>
        <v>Mencapai kompetensi dengan baik dalam hal</v>
      </c>
      <c r="AT78" s="113" t="s">
        <v>81</v>
      </c>
      <c r="AU78" s="113" t="s">
        <v>81</v>
      </c>
      <c r="AV78" s="113" t="s">
        <v>81</v>
      </c>
      <c r="AW78" s="7">
        <v>1</v>
      </c>
      <c r="AX78" s="12" t="s">
        <v>82</v>
      </c>
      <c r="AY78" s="17" t="s">
        <v>83</v>
      </c>
      <c r="AZ78" s="12" t="s">
        <v>84</v>
      </c>
      <c r="BA78" s="15" t="str">
        <f t="shared" si="23"/>
        <v>Baik</v>
      </c>
      <c r="BB78" s="7">
        <v>2</v>
      </c>
      <c r="BC78" s="17" t="s">
        <v>429</v>
      </c>
      <c r="BD78" s="18" t="s">
        <v>83</v>
      </c>
      <c r="BE78" s="7" t="s">
        <v>86</v>
      </c>
      <c r="BF78" s="15" t="str">
        <f t="shared" si="24"/>
        <v>Sangat baik</v>
      </c>
      <c r="BG78" s="7"/>
      <c r="BH78" s="7"/>
      <c r="BI78" s="7"/>
      <c r="BJ78" s="7"/>
      <c r="BK78" s="15"/>
    </row>
    <row r="79" spans="1:66" ht="24.95" customHeight="1" thickTop="1" thickBot="1" x14ac:dyDescent="0.3">
      <c r="A79" s="23">
        <v>78</v>
      </c>
      <c r="B79" s="23">
        <v>2525554</v>
      </c>
      <c r="C79" s="23" t="s">
        <v>1312</v>
      </c>
      <c r="D79" s="18" t="s">
        <v>1313</v>
      </c>
      <c r="E79" s="23" t="s">
        <v>1295</v>
      </c>
      <c r="F79" s="23" t="s">
        <v>1151</v>
      </c>
      <c r="G79" s="23" t="s">
        <v>1296</v>
      </c>
      <c r="H79" s="23" t="s">
        <v>1297</v>
      </c>
      <c r="I79" s="60" t="s">
        <v>76</v>
      </c>
      <c r="J79" s="61" t="s">
        <v>77</v>
      </c>
      <c r="K79" s="23">
        <v>80</v>
      </c>
      <c r="L79" s="18" t="str">
        <f t="shared" si="0"/>
        <v>Mencapai kompetensi dengan baik dalam hal</v>
      </c>
      <c r="M79" s="23">
        <v>77</v>
      </c>
      <c r="N79" s="18" t="str">
        <f t="shared" si="1"/>
        <v>Mencapai kompetensi dengan baik dalam hal</v>
      </c>
      <c r="O79" s="23">
        <v>81</v>
      </c>
      <c r="P79" s="18" t="str">
        <f t="shared" si="2"/>
        <v>Mencapai kompetensi dengan baik dalam hal</v>
      </c>
      <c r="Q79" s="23">
        <v>79</v>
      </c>
      <c r="R79" s="18" t="str">
        <f t="shared" si="3"/>
        <v>Mencapai kompetensi dengan baik dalam hal</v>
      </c>
      <c r="S79" s="23">
        <v>83</v>
      </c>
      <c r="T79" s="18" t="str">
        <f t="shared" si="4"/>
        <v>Mencapai kompetensi dengan baik dalam hal</v>
      </c>
      <c r="U79" s="23">
        <v>90</v>
      </c>
      <c r="V79" s="18" t="str">
        <f t="shared" si="5"/>
        <v>Mencapai kompetensi dengan sangat baik dalam hal</v>
      </c>
      <c r="W79" s="23">
        <v>79</v>
      </c>
      <c r="X79" s="18" t="str">
        <f t="shared" si="6"/>
        <v>Mencapai kompetensi dengan baik dalam hal</v>
      </c>
      <c r="Y79" s="23">
        <v>78</v>
      </c>
      <c r="Z79" s="18" t="str">
        <f t="shared" si="7"/>
        <v>Mencapai kompetensi dengan baik dalam hal</v>
      </c>
      <c r="AA79" s="23">
        <v>86</v>
      </c>
      <c r="AB79" s="18" t="str">
        <f t="shared" si="8"/>
        <v>Mencapai kompetensi dengan baik dalam hal</v>
      </c>
      <c r="AC79" s="23">
        <v>80</v>
      </c>
      <c r="AD79" s="18" t="str">
        <f t="shared" si="26"/>
        <v>Mencapai kompetensi dengan baik dalam hal</v>
      </c>
      <c r="AE79" s="23">
        <v>75</v>
      </c>
      <c r="AF79" s="18" t="str">
        <f t="shared" si="22"/>
        <v>Mencapai kompetensi dengan baik dalam hal</v>
      </c>
      <c r="AG79" s="23">
        <v>80</v>
      </c>
      <c r="AH79" s="18" t="str">
        <f t="shared" si="10"/>
        <v>Mencapai kompetensi dengan baik dalam hal</v>
      </c>
      <c r="AI79" s="23">
        <v>76</v>
      </c>
      <c r="AJ79" s="18" t="str">
        <f t="shared" si="11"/>
        <v>Mencapai kompetensi dengan baik dalam hal</v>
      </c>
      <c r="AK79" s="23">
        <v>77</v>
      </c>
      <c r="AL79" s="18" t="str">
        <f t="shared" si="12"/>
        <v>Mencapai kompetensi dengan baik dalam hal</v>
      </c>
      <c r="AM79" s="23">
        <v>80</v>
      </c>
      <c r="AN79" s="18" t="str">
        <f t="shared" si="13"/>
        <v>Mencapai kompetensi dengan baik dalam hal</v>
      </c>
      <c r="AO79" s="118">
        <f t="shared" si="25"/>
        <v>77.599999999999994</v>
      </c>
      <c r="AP79" s="23">
        <v>86</v>
      </c>
      <c r="AQ79" s="18" t="str">
        <f t="shared" si="14"/>
        <v>Mencapai kompetensi dengan baik dalam hal</v>
      </c>
      <c r="AR79" s="23">
        <v>78</v>
      </c>
      <c r="AS79" s="18" t="str">
        <f t="shared" si="15"/>
        <v>Mencapai kompetensi dengan baik dalam hal</v>
      </c>
      <c r="AT79" s="113" t="s">
        <v>81</v>
      </c>
      <c r="AU79" s="113" t="s">
        <v>81</v>
      </c>
      <c r="AV79" s="113">
        <v>2</v>
      </c>
      <c r="AW79" s="7">
        <v>1</v>
      </c>
      <c r="AX79" s="12" t="s">
        <v>82</v>
      </c>
      <c r="AY79" s="17" t="s">
        <v>83</v>
      </c>
      <c r="AZ79" s="12" t="s">
        <v>86</v>
      </c>
      <c r="BA79" s="15" t="str">
        <f t="shared" si="23"/>
        <v>Sangat baik</v>
      </c>
      <c r="BB79" s="7">
        <v>2</v>
      </c>
      <c r="BC79" s="17" t="s">
        <v>162</v>
      </c>
      <c r="BD79" s="18" t="s">
        <v>83</v>
      </c>
      <c r="BE79" s="7" t="s">
        <v>86</v>
      </c>
      <c r="BF79" s="15" t="str">
        <f t="shared" si="24"/>
        <v>Sangat baik</v>
      </c>
      <c r="BG79" s="7">
        <v>3</v>
      </c>
      <c r="BH79" s="7" t="s">
        <v>87</v>
      </c>
      <c r="BI79" s="7" t="s">
        <v>83</v>
      </c>
      <c r="BJ79" s="7" t="s">
        <v>84</v>
      </c>
      <c r="BK79" s="15" t="str">
        <f>VLOOKUP(BJ79,grades4,2,TRUE)</f>
        <v>Baik</v>
      </c>
      <c r="BM79" s="22"/>
      <c r="BN79" s="22"/>
    </row>
    <row r="80" spans="1:66" ht="24.95" customHeight="1" thickTop="1" thickBot="1" x14ac:dyDescent="0.3">
      <c r="A80" s="23">
        <v>79</v>
      </c>
      <c r="B80" s="23">
        <v>2525555</v>
      </c>
      <c r="C80" s="23" t="s">
        <v>1314</v>
      </c>
      <c r="D80" s="18" t="s">
        <v>1315</v>
      </c>
      <c r="E80" s="23" t="s">
        <v>1295</v>
      </c>
      <c r="F80" s="23" t="s">
        <v>1151</v>
      </c>
      <c r="G80" s="23" t="s">
        <v>1296</v>
      </c>
      <c r="H80" s="23" t="s">
        <v>1297</v>
      </c>
      <c r="I80" s="60" t="s">
        <v>76</v>
      </c>
      <c r="J80" s="61" t="s">
        <v>77</v>
      </c>
      <c r="K80" s="23">
        <v>83</v>
      </c>
      <c r="L80" s="18" t="str">
        <f t="shared" si="0"/>
        <v>Mencapai kompetensi dengan baik dalam hal</v>
      </c>
      <c r="M80" s="23">
        <v>78</v>
      </c>
      <c r="N80" s="18" t="str">
        <f t="shared" si="1"/>
        <v>Mencapai kompetensi dengan baik dalam hal</v>
      </c>
      <c r="O80" s="23">
        <v>82</v>
      </c>
      <c r="P80" s="18" t="str">
        <f t="shared" si="2"/>
        <v>Mencapai kompetensi dengan baik dalam hal</v>
      </c>
      <c r="Q80" s="23">
        <v>79</v>
      </c>
      <c r="R80" s="18" t="str">
        <f t="shared" si="3"/>
        <v>Mencapai kompetensi dengan baik dalam hal</v>
      </c>
      <c r="S80" s="23">
        <v>82</v>
      </c>
      <c r="T80" s="18" t="str">
        <f t="shared" si="4"/>
        <v>Mencapai kompetensi dengan baik dalam hal</v>
      </c>
      <c r="U80" s="23">
        <v>82</v>
      </c>
      <c r="V80" s="18" t="str">
        <f t="shared" si="5"/>
        <v>Mencapai kompetensi dengan baik dalam hal</v>
      </c>
      <c r="W80" s="23">
        <v>79</v>
      </c>
      <c r="X80" s="18" t="str">
        <f t="shared" si="6"/>
        <v>Mencapai kompetensi dengan baik dalam hal</v>
      </c>
      <c r="Y80" s="23">
        <v>78</v>
      </c>
      <c r="Z80" s="18" t="str">
        <f t="shared" si="7"/>
        <v>Mencapai kompetensi dengan baik dalam hal</v>
      </c>
      <c r="AA80" s="23">
        <v>88</v>
      </c>
      <c r="AB80" s="18" t="str">
        <f t="shared" si="8"/>
        <v>Mencapai kompetensi dengan baik dalam hal</v>
      </c>
      <c r="AC80" s="23">
        <v>90</v>
      </c>
      <c r="AD80" s="18" t="str">
        <f t="shared" si="26"/>
        <v>Mencapai kompetensi dengan sangat baik dalam hal</v>
      </c>
      <c r="AE80" s="23">
        <v>77</v>
      </c>
      <c r="AF80" s="18" t="str">
        <f t="shared" si="22"/>
        <v>Mencapai kompetensi dengan baik dalam hal</v>
      </c>
      <c r="AG80" s="23">
        <v>83</v>
      </c>
      <c r="AH80" s="18" t="str">
        <f t="shared" si="10"/>
        <v>Mencapai kompetensi dengan baik dalam hal</v>
      </c>
      <c r="AI80" s="23">
        <v>82</v>
      </c>
      <c r="AJ80" s="18" t="str">
        <f t="shared" si="11"/>
        <v>Mencapai kompetensi dengan baik dalam hal</v>
      </c>
      <c r="AK80" s="23">
        <v>75</v>
      </c>
      <c r="AL80" s="18" t="str">
        <f t="shared" si="12"/>
        <v>Mencapai kompetensi dengan baik dalam hal</v>
      </c>
      <c r="AM80" s="23">
        <v>78</v>
      </c>
      <c r="AN80" s="18" t="str">
        <f t="shared" si="13"/>
        <v>Mencapai kompetensi dengan baik dalam hal</v>
      </c>
      <c r="AO80" s="118">
        <f t="shared" si="25"/>
        <v>79</v>
      </c>
      <c r="AP80" s="23">
        <v>88</v>
      </c>
      <c r="AQ80" s="18" t="str">
        <f t="shared" si="14"/>
        <v>Mencapai kompetensi dengan baik dalam hal</v>
      </c>
      <c r="AR80" s="23">
        <v>79</v>
      </c>
      <c r="AS80" s="18" t="str">
        <f t="shared" si="15"/>
        <v>Mencapai kompetensi dengan baik dalam hal</v>
      </c>
      <c r="AT80" s="113" t="s">
        <v>81</v>
      </c>
      <c r="AU80" s="113" t="s">
        <v>81</v>
      </c>
      <c r="AV80" s="113" t="s">
        <v>81</v>
      </c>
      <c r="AW80" s="7">
        <v>1</v>
      </c>
      <c r="AX80" s="12" t="s">
        <v>82</v>
      </c>
      <c r="AY80" s="17" t="s">
        <v>83</v>
      </c>
      <c r="AZ80" s="12" t="s">
        <v>84</v>
      </c>
      <c r="BA80" s="15" t="str">
        <f t="shared" si="23"/>
        <v>Baik</v>
      </c>
      <c r="BB80" s="7">
        <v>2</v>
      </c>
      <c r="BC80" s="17" t="s">
        <v>119</v>
      </c>
      <c r="BD80" s="18" t="s">
        <v>83</v>
      </c>
      <c r="BE80" s="7" t="s">
        <v>86</v>
      </c>
      <c r="BF80" s="15" t="str">
        <f t="shared" si="24"/>
        <v>Sangat baik</v>
      </c>
      <c r="BG80" s="7"/>
      <c r="BH80" s="7"/>
      <c r="BI80" s="7"/>
      <c r="BJ80" s="7"/>
      <c r="BK80" s="15"/>
      <c r="BM80" s="22"/>
      <c r="BN80" s="22"/>
    </row>
    <row r="81" spans="1:63" ht="24.95" customHeight="1" thickTop="1" thickBot="1" x14ac:dyDescent="0.3">
      <c r="A81" s="23">
        <v>80</v>
      </c>
      <c r="B81" s="23">
        <v>2525556</v>
      </c>
      <c r="C81" s="23" t="s">
        <v>1316</v>
      </c>
      <c r="D81" s="18" t="s">
        <v>1317</v>
      </c>
      <c r="E81" s="23" t="s">
        <v>1295</v>
      </c>
      <c r="F81" s="23" t="s">
        <v>1151</v>
      </c>
      <c r="G81" s="23" t="s">
        <v>1296</v>
      </c>
      <c r="H81" s="23" t="s">
        <v>1297</v>
      </c>
      <c r="I81" s="60" t="s">
        <v>76</v>
      </c>
      <c r="J81" s="61" t="s">
        <v>77</v>
      </c>
      <c r="K81" s="23">
        <v>82</v>
      </c>
      <c r="L81" s="18" t="str">
        <f t="shared" si="0"/>
        <v>Mencapai kompetensi dengan baik dalam hal</v>
      </c>
      <c r="M81" s="23">
        <v>77</v>
      </c>
      <c r="N81" s="18" t="str">
        <f t="shared" si="1"/>
        <v>Mencapai kompetensi dengan baik dalam hal</v>
      </c>
      <c r="O81" s="23">
        <v>82</v>
      </c>
      <c r="P81" s="18" t="str">
        <f t="shared" si="2"/>
        <v>Mencapai kompetensi dengan baik dalam hal</v>
      </c>
      <c r="Q81" s="23">
        <v>79</v>
      </c>
      <c r="R81" s="18" t="str">
        <f t="shared" si="3"/>
        <v>Mencapai kompetensi dengan baik dalam hal</v>
      </c>
      <c r="S81" s="23">
        <v>84</v>
      </c>
      <c r="T81" s="18" t="str">
        <f t="shared" si="4"/>
        <v>Mencapai kompetensi dengan baik dalam hal</v>
      </c>
      <c r="U81" s="23">
        <v>80</v>
      </c>
      <c r="V81" s="18" t="str">
        <f t="shared" si="5"/>
        <v>Mencapai kompetensi dengan baik dalam hal</v>
      </c>
      <c r="W81" s="23">
        <v>76</v>
      </c>
      <c r="X81" s="18" t="str">
        <f t="shared" si="6"/>
        <v>Mencapai kompetensi dengan baik dalam hal</v>
      </c>
      <c r="Y81" s="23">
        <v>79</v>
      </c>
      <c r="Z81" s="18" t="str">
        <f t="shared" si="7"/>
        <v>Mencapai kompetensi dengan baik dalam hal</v>
      </c>
      <c r="AA81" s="23">
        <v>88</v>
      </c>
      <c r="AB81" s="18" t="str">
        <f t="shared" si="8"/>
        <v>Mencapai kompetensi dengan baik dalam hal</v>
      </c>
      <c r="AC81" s="23">
        <v>78</v>
      </c>
      <c r="AD81" s="18" t="str">
        <f t="shared" si="26"/>
        <v>Mencapai kompetensi dengan baik dalam hal</v>
      </c>
      <c r="AE81" s="23">
        <v>76</v>
      </c>
      <c r="AF81" s="18" t="str">
        <f t="shared" si="22"/>
        <v>Mencapai kompetensi dengan baik dalam hal</v>
      </c>
      <c r="AG81" s="23">
        <v>84</v>
      </c>
      <c r="AH81" s="18" t="str">
        <f t="shared" si="10"/>
        <v>Mencapai kompetensi dengan baik dalam hal</v>
      </c>
      <c r="AI81" s="23">
        <v>76</v>
      </c>
      <c r="AJ81" s="18" t="str">
        <f t="shared" si="11"/>
        <v>Mencapai kompetensi dengan baik dalam hal</v>
      </c>
      <c r="AK81" s="23">
        <v>75</v>
      </c>
      <c r="AL81" s="18" t="str">
        <f t="shared" si="12"/>
        <v>Mencapai kompetensi dengan baik dalam hal</v>
      </c>
      <c r="AM81" s="23">
        <v>75</v>
      </c>
      <c r="AN81" s="18" t="str">
        <f t="shared" si="13"/>
        <v>Mencapai kompetensi dengan baik dalam hal</v>
      </c>
      <c r="AO81" s="118">
        <f t="shared" si="25"/>
        <v>77.2</v>
      </c>
      <c r="AP81" s="23">
        <v>88</v>
      </c>
      <c r="AQ81" s="18" t="str">
        <f t="shared" si="14"/>
        <v>Mencapai kompetensi dengan baik dalam hal</v>
      </c>
      <c r="AR81" s="23">
        <v>78</v>
      </c>
      <c r="AS81" s="18" t="str">
        <f t="shared" si="15"/>
        <v>Mencapai kompetensi dengan baik dalam hal</v>
      </c>
      <c r="AT81" s="113" t="s">
        <v>81</v>
      </c>
      <c r="AU81" s="113" t="s">
        <v>81</v>
      </c>
      <c r="AV81" s="113">
        <v>1</v>
      </c>
      <c r="AW81" s="7">
        <v>1</v>
      </c>
      <c r="AX81" s="12" t="s">
        <v>82</v>
      </c>
      <c r="AY81" s="17" t="s">
        <v>83</v>
      </c>
      <c r="AZ81" s="12" t="s">
        <v>86</v>
      </c>
      <c r="BA81" s="15" t="str">
        <f t="shared" si="23"/>
        <v>Sangat baik</v>
      </c>
      <c r="BB81" s="7">
        <v>2</v>
      </c>
      <c r="BC81" s="17" t="s">
        <v>162</v>
      </c>
      <c r="BD81" s="18" t="s">
        <v>83</v>
      </c>
      <c r="BE81" s="7" t="s">
        <v>86</v>
      </c>
      <c r="BF81" s="15" t="str">
        <f t="shared" si="24"/>
        <v>Sangat baik</v>
      </c>
      <c r="BG81" s="7"/>
      <c r="BH81" s="7"/>
      <c r="BI81" s="7"/>
      <c r="BJ81" s="7"/>
      <c r="BK81" s="15"/>
    </row>
    <row r="82" spans="1:63" ht="24.95" customHeight="1" thickTop="1" thickBot="1" x14ac:dyDescent="0.3">
      <c r="A82" s="23">
        <v>81</v>
      </c>
      <c r="B82" s="23">
        <v>2525557</v>
      </c>
      <c r="C82" s="23" t="s">
        <v>1318</v>
      </c>
      <c r="D82" s="18" t="s">
        <v>1319</v>
      </c>
      <c r="E82" s="23" t="s">
        <v>1295</v>
      </c>
      <c r="F82" s="23" t="s">
        <v>1151</v>
      </c>
      <c r="G82" s="23" t="s">
        <v>1296</v>
      </c>
      <c r="H82" s="23" t="s">
        <v>1297</v>
      </c>
      <c r="I82" s="60" t="s">
        <v>76</v>
      </c>
      <c r="J82" s="61" t="s">
        <v>77</v>
      </c>
      <c r="K82" s="23">
        <v>80</v>
      </c>
      <c r="L82" s="18" t="str">
        <f t="shared" si="0"/>
        <v>Mencapai kompetensi dengan baik dalam hal</v>
      </c>
      <c r="M82" s="23">
        <v>76</v>
      </c>
      <c r="N82" s="18" t="str">
        <f t="shared" si="1"/>
        <v>Mencapai kompetensi dengan baik dalam hal</v>
      </c>
      <c r="O82" s="23">
        <v>80</v>
      </c>
      <c r="P82" s="18" t="str">
        <f t="shared" si="2"/>
        <v>Mencapai kompetensi dengan baik dalam hal</v>
      </c>
      <c r="Q82" s="23">
        <v>80</v>
      </c>
      <c r="R82" s="18" t="str">
        <f t="shared" si="3"/>
        <v>Mencapai kompetensi dengan baik dalam hal</v>
      </c>
      <c r="S82" s="23">
        <v>81</v>
      </c>
      <c r="T82" s="18" t="str">
        <f t="shared" si="4"/>
        <v>Mencapai kompetensi dengan baik dalam hal</v>
      </c>
      <c r="U82" s="23">
        <v>83</v>
      </c>
      <c r="V82" s="18" t="str">
        <f t="shared" si="5"/>
        <v>Mencapai kompetensi dengan baik dalam hal</v>
      </c>
      <c r="W82" s="23">
        <v>80</v>
      </c>
      <c r="X82" s="18" t="str">
        <f t="shared" si="6"/>
        <v>Mencapai kompetensi dengan baik dalam hal</v>
      </c>
      <c r="Y82" s="23">
        <v>75</v>
      </c>
      <c r="Z82" s="18" t="str">
        <f t="shared" si="7"/>
        <v>Mencapai kompetensi dengan baik dalam hal</v>
      </c>
      <c r="AA82" s="23">
        <v>86</v>
      </c>
      <c r="AB82" s="18" t="str">
        <f t="shared" si="8"/>
        <v>Mencapai kompetensi dengan baik dalam hal</v>
      </c>
      <c r="AC82" s="23">
        <v>82</v>
      </c>
      <c r="AD82" s="18" t="str">
        <f t="shared" si="26"/>
        <v>Mencapai kompetensi dengan baik dalam hal</v>
      </c>
      <c r="AE82" s="23">
        <v>76</v>
      </c>
      <c r="AF82" s="18" t="str">
        <f t="shared" si="22"/>
        <v>Mencapai kompetensi dengan baik dalam hal</v>
      </c>
      <c r="AG82" s="23">
        <v>75</v>
      </c>
      <c r="AH82" s="18" t="str">
        <f t="shared" si="10"/>
        <v>Mencapai kompetensi dengan baik dalam hal</v>
      </c>
      <c r="AI82" s="23">
        <v>76</v>
      </c>
      <c r="AJ82" s="18" t="str">
        <f t="shared" si="11"/>
        <v>Mencapai kompetensi dengan baik dalam hal</v>
      </c>
      <c r="AK82" s="23">
        <v>75</v>
      </c>
      <c r="AL82" s="18" t="str">
        <f t="shared" si="12"/>
        <v>Mencapai kompetensi dengan baik dalam hal</v>
      </c>
      <c r="AM82" s="23">
        <v>72</v>
      </c>
      <c r="AN82" s="18" t="str">
        <f t="shared" si="13"/>
        <v>Perlu peningkatan dalam hal</v>
      </c>
      <c r="AO82" s="118">
        <f t="shared" si="25"/>
        <v>74.8</v>
      </c>
      <c r="AP82" s="23">
        <v>86</v>
      </c>
      <c r="AQ82" s="18" t="str">
        <f t="shared" si="14"/>
        <v>Mencapai kompetensi dengan baik dalam hal</v>
      </c>
      <c r="AR82" s="23">
        <v>78</v>
      </c>
      <c r="AS82" s="18" t="str">
        <f t="shared" si="15"/>
        <v>Mencapai kompetensi dengan baik dalam hal</v>
      </c>
      <c r="AT82" s="113" t="s">
        <v>81</v>
      </c>
      <c r="AU82" s="113" t="s">
        <v>81</v>
      </c>
      <c r="AV82" s="113" t="s">
        <v>81</v>
      </c>
      <c r="AW82" s="7">
        <v>1</v>
      </c>
      <c r="AX82" s="12" t="s">
        <v>82</v>
      </c>
      <c r="AY82" s="17" t="s">
        <v>83</v>
      </c>
      <c r="AZ82" s="12" t="s">
        <v>84</v>
      </c>
      <c r="BA82" s="15" t="str">
        <f t="shared" si="23"/>
        <v>Baik</v>
      </c>
      <c r="BB82" s="7">
        <v>2</v>
      </c>
      <c r="BC82" s="17" t="s">
        <v>170</v>
      </c>
      <c r="BD82" s="18" t="s">
        <v>83</v>
      </c>
      <c r="BE82" s="7" t="s">
        <v>86</v>
      </c>
      <c r="BF82" s="15" t="str">
        <f t="shared" si="24"/>
        <v>Sangat baik</v>
      </c>
      <c r="BG82" s="7"/>
      <c r="BH82" s="7"/>
      <c r="BI82" s="7"/>
      <c r="BJ82" s="7"/>
      <c r="BK82" s="15"/>
    </row>
    <row r="83" spans="1:63" ht="24.95" customHeight="1" thickTop="1" thickBot="1" x14ac:dyDescent="0.3">
      <c r="A83" s="23">
        <v>82</v>
      </c>
      <c r="B83" s="23">
        <v>2525558</v>
      </c>
      <c r="C83" s="23" t="s">
        <v>1320</v>
      </c>
      <c r="D83" s="18" t="s">
        <v>1321</v>
      </c>
      <c r="E83" s="23" t="s">
        <v>1295</v>
      </c>
      <c r="F83" s="23" t="s">
        <v>1151</v>
      </c>
      <c r="G83" s="23" t="s">
        <v>1296</v>
      </c>
      <c r="H83" s="23" t="s">
        <v>1297</v>
      </c>
      <c r="I83" s="60" t="s">
        <v>76</v>
      </c>
      <c r="J83" s="61" t="s">
        <v>77</v>
      </c>
      <c r="K83" s="23">
        <v>79</v>
      </c>
      <c r="L83" s="18" t="str">
        <f t="shared" si="0"/>
        <v>Mencapai kompetensi dengan baik dalam hal</v>
      </c>
      <c r="M83" s="23">
        <v>75</v>
      </c>
      <c r="N83" s="18" t="str">
        <f t="shared" si="1"/>
        <v>Mencapai kompetensi dengan baik dalam hal</v>
      </c>
      <c r="O83" s="23">
        <v>80</v>
      </c>
      <c r="P83" s="18" t="str">
        <f t="shared" si="2"/>
        <v>Mencapai kompetensi dengan baik dalam hal</v>
      </c>
      <c r="Q83" s="23">
        <v>78</v>
      </c>
      <c r="R83" s="18" t="str">
        <f t="shared" si="3"/>
        <v>Mencapai kompetensi dengan baik dalam hal</v>
      </c>
      <c r="S83" s="23">
        <v>76</v>
      </c>
      <c r="T83" s="18" t="str">
        <f t="shared" si="4"/>
        <v>Mencapai kompetensi dengan baik dalam hal</v>
      </c>
      <c r="U83" s="23">
        <v>80</v>
      </c>
      <c r="V83" s="18" t="str">
        <f t="shared" si="5"/>
        <v>Mencapai kompetensi dengan baik dalam hal</v>
      </c>
      <c r="W83" s="23">
        <v>77</v>
      </c>
      <c r="X83" s="18" t="str">
        <f t="shared" si="6"/>
        <v>Mencapai kompetensi dengan baik dalam hal</v>
      </c>
      <c r="Y83" s="23">
        <v>75</v>
      </c>
      <c r="Z83" s="18" t="str">
        <f t="shared" si="7"/>
        <v>Mencapai kompetensi dengan baik dalam hal</v>
      </c>
      <c r="AA83" s="23">
        <v>83</v>
      </c>
      <c r="AB83" s="18" t="str">
        <f t="shared" si="8"/>
        <v>Mencapai kompetensi dengan baik dalam hal</v>
      </c>
      <c r="AC83" s="23">
        <v>75</v>
      </c>
      <c r="AD83" s="18" t="str">
        <f t="shared" si="26"/>
        <v>Mencapai kompetensi dengan baik dalam hal</v>
      </c>
      <c r="AE83" s="23">
        <v>72</v>
      </c>
      <c r="AF83" s="18" t="str">
        <f t="shared" si="22"/>
        <v>Perlu peningkatan dalam hal</v>
      </c>
      <c r="AG83" s="23">
        <v>80</v>
      </c>
      <c r="AH83" s="18" t="str">
        <f t="shared" si="10"/>
        <v>Mencapai kompetensi dengan baik dalam hal</v>
      </c>
      <c r="AI83" s="23">
        <v>75</v>
      </c>
      <c r="AJ83" s="18" t="str">
        <f t="shared" si="11"/>
        <v>Mencapai kompetensi dengan baik dalam hal</v>
      </c>
      <c r="AK83" s="23">
        <v>75</v>
      </c>
      <c r="AL83" s="18" t="str">
        <f t="shared" si="12"/>
        <v>Mencapai kompetensi dengan baik dalam hal</v>
      </c>
      <c r="AM83" s="23">
        <v>76</v>
      </c>
      <c r="AN83" s="18" t="str">
        <f t="shared" si="13"/>
        <v>Mencapai kompetensi dengan baik dalam hal</v>
      </c>
      <c r="AO83" s="118">
        <f t="shared" si="25"/>
        <v>75.599999999999994</v>
      </c>
      <c r="AP83" s="23">
        <v>83</v>
      </c>
      <c r="AQ83" s="18" t="str">
        <f t="shared" si="14"/>
        <v>Mencapai kompetensi dengan baik dalam hal</v>
      </c>
      <c r="AR83" s="23">
        <v>76</v>
      </c>
      <c r="AS83" s="18" t="str">
        <f t="shared" si="15"/>
        <v>Mencapai kompetensi dengan baik dalam hal</v>
      </c>
      <c r="AT83" s="113" t="s">
        <v>81</v>
      </c>
      <c r="AU83" s="113">
        <v>3</v>
      </c>
      <c r="AV83" s="113">
        <v>2</v>
      </c>
      <c r="AW83" s="7">
        <v>1</v>
      </c>
      <c r="AX83" s="12" t="s">
        <v>82</v>
      </c>
      <c r="AY83" s="17" t="s">
        <v>83</v>
      </c>
      <c r="AZ83" s="12" t="s">
        <v>84</v>
      </c>
      <c r="BA83" s="15" t="str">
        <f t="shared" si="23"/>
        <v>Baik</v>
      </c>
      <c r="BB83" s="7">
        <v>2</v>
      </c>
      <c r="BC83" s="17" t="s">
        <v>103</v>
      </c>
      <c r="BD83" s="18" t="s">
        <v>83</v>
      </c>
      <c r="BE83" s="7" t="s">
        <v>104</v>
      </c>
      <c r="BF83" s="15" t="str">
        <f t="shared" si="24"/>
        <v>Cukup</v>
      </c>
      <c r="BG83" s="7"/>
      <c r="BH83" s="7"/>
      <c r="BI83" s="7"/>
      <c r="BJ83" s="7"/>
      <c r="BK83" s="15"/>
    </row>
    <row r="84" spans="1:63" ht="24.95" customHeight="1" thickTop="1" thickBot="1" x14ac:dyDescent="0.3">
      <c r="A84" s="23">
        <v>83</v>
      </c>
      <c r="B84" s="23">
        <v>2525559</v>
      </c>
      <c r="C84" s="23" t="s">
        <v>1322</v>
      </c>
      <c r="D84" s="18" t="s">
        <v>1323</v>
      </c>
      <c r="E84" s="23" t="s">
        <v>1295</v>
      </c>
      <c r="F84" s="23" t="s">
        <v>1151</v>
      </c>
      <c r="G84" s="23" t="s">
        <v>1296</v>
      </c>
      <c r="H84" s="23" t="s">
        <v>1297</v>
      </c>
      <c r="I84" s="60" t="s">
        <v>76</v>
      </c>
      <c r="J84" s="61" t="s">
        <v>77</v>
      </c>
      <c r="K84" s="23">
        <v>80</v>
      </c>
      <c r="L84" s="18" t="str">
        <f t="shared" si="0"/>
        <v>Mencapai kompetensi dengan baik dalam hal</v>
      </c>
      <c r="M84" s="23">
        <v>77</v>
      </c>
      <c r="N84" s="18" t="str">
        <f t="shared" si="1"/>
        <v>Mencapai kompetensi dengan baik dalam hal</v>
      </c>
      <c r="O84" s="23">
        <v>81</v>
      </c>
      <c r="P84" s="18" t="str">
        <f t="shared" si="2"/>
        <v>Mencapai kompetensi dengan baik dalam hal</v>
      </c>
      <c r="Q84" s="23">
        <v>80</v>
      </c>
      <c r="R84" s="18" t="str">
        <f t="shared" si="3"/>
        <v>Mencapai kompetensi dengan baik dalam hal</v>
      </c>
      <c r="S84" s="23">
        <v>82</v>
      </c>
      <c r="T84" s="18" t="str">
        <f t="shared" si="4"/>
        <v>Mencapai kompetensi dengan baik dalam hal</v>
      </c>
      <c r="U84" s="23">
        <v>81</v>
      </c>
      <c r="V84" s="18" t="str">
        <f t="shared" si="5"/>
        <v>Mencapai kompetensi dengan baik dalam hal</v>
      </c>
      <c r="W84" s="23">
        <v>77</v>
      </c>
      <c r="X84" s="18" t="str">
        <f t="shared" si="6"/>
        <v>Mencapai kompetensi dengan baik dalam hal</v>
      </c>
      <c r="Y84" s="23">
        <v>79</v>
      </c>
      <c r="Z84" s="18" t="str">
        <f t="shared" si="7"/>
        <v>Mencapai kompetensi dengan baik dalam hal</v>
      </c>
      <c r="AA84" s="23">
        <v>88</v>
      </c>
      <c r="AB84" s="18" t="str">
        <f t="shared" si="8"/>
        <v>Mencapai kompetensi dengan baik dalam hal</v>
      </c>
      <c r="AC84" s="23">
        <v>82</v>
      </c>
      <c r="AD84" s="18" t="str">
        <f t="shared" si="26"/>
        <v>Mencapai kompetensi dengan baik dalam hal</v>
      </c>
      <c r="AE84" s="23">
        <v>79</v>
      </c>
      <c r="AF84" s="18" t="str">
        <f t="shared" si="22"/>
        <v>Mencapai kompetensi dengan baik dalam hal</v>
      </c>
      <c r="AG84" s="23">
        <v>84</v>
      </c>
      <c r="AH84" s="18" t="str">
        <f t="shared" si="10"/>
        <v>Mencapai kompetensi dengan baik dalam hal</v>
      </c>
      <c r="AI84" s="23">
        <v>77</v>
      </c>
      <c r="AJ84" s="18" t="str">
        <f t="shared" si="11"/>
        <v>Mencapai kompetensi dengan baik dalam hal</v>
      </c>
      <c r="AK84" s="23">
        <v>78</v>
      </c>
      <c r="AL84" s="18" t="str">
        <f t="shared" si="12"/>
        <v>Mencapai kompetensi dengan baik dalam hal</v>
      </c>
      <c r="AM84" s="23">
        <v>75</v>
      </c>
      <c r="AN84" s="18" t="str">
        <f t="shared" si="13"/>
        <v>Mencapai kompetensi dengan baik dalam hal</v>
      </c>
      <c r="AO84" s="118">
        <f t="shared" si="25"/>
        <v>78.599999999999994</v>
      </c>
      <c r="AP84" s="23">
        <v>88</v>
      </c>
      <c r="AQ84" s="18" t="str">
        <f t="shared" si="14"/>
        <v>Mencapai kompetensi dengan baik dalam hal</v>
      </c>
      <c r="AR84" s="23">
        <v>78</v>
      </c>
      <c r="AS84" s="18" t="str">
        <f t="shared" si="15"/>
        <v>Mencapai kompetensi dengan baik dalam hal</v>
      </c>
      <c r="AT84" s="113" t="s">
        <v>81</v>
      </c>
      <c r="AU84" s="113" t="s">
        <v>81</v>
      </c>
      <c r="AV84" s="113">
        <v>1</v>
      </c>
      <c r="AW84" s="7">
        <v>1</v>
      </c>
      <c r="AX84" s="12" t="s">
        <v>82</v>
      </c>
      <c r="AY84" s="17" t="s">
        <v>83</v>
      </c>
      <c r="AZ84" s="12" t="s">
        <v>86</v>
      </c>
      <c r="BA84" s="15" t="str">
        <f t="shared" si="23"/>
        <v>Sangat baik</v>
      </c>
      <c r="BB84" s="7">
        <v>2</v>
      </c>
      <c r="BC84" s="17" t="s">
        <v>429</v>
      </c>
      <c r="BD84" s="18" t="s">
        <v>83</v>
      </c>
      <c r="BE84" s="7" t="s">
        <v>86</v>
      </c>
      <c r="BF84" s="15" t="str">
        <f t="shared" si="24"/>
        <v>Sangat baik</v>
      </c>
      <c r="BG84" s="7"/>
      <c r="BH84" s="7"/>
      <c r="BI84" s="7"/>
      <c r="BJ84" s="7"/>
      <c r="BK84" s="15"/>
    </row>
    <row r="85" spans="1:63" ht="24.95" customHeight="1" thickTop="1" thickBot="1" x14ac:dyDescent="0.3">
      <c r="A85" s="23">
        <v>84</v>
      </c>
      <c r="B85" s="23">
        <v>2525560</v>
      </c>
      <c r="C85" s="23" t="s">
        <v>1324</v>
      </c>
      <c r="D85" s="18" t="s">
        <v>1325</v>
      </c>
      <c r="E85" s="23" t="s">
        <v>1295</v>
      </c>
      <c r="F85" s="23" t="s">
        <v>1151</v>
      </c>
      <c r="G85" s="23" t="s">
        <v>1296</v>
      </c>
      <c r="H85" s="23" t="s">
        <v>1297</v>
      </c>
      <c r="I85" s="60" t="s">
        <v>76</v>
      </c>
      <c r="J85" s="61" t="s">
        <v>77</v>
      </c>
      <c r="K85" s="23">
        <v>80</v>
      </c>
      <c r="L85" s="18" t="str">
        <f t="shared" si="0"/>
        <v>Mencapai kompetensi dengan baik dalam hal</v>
      </c>
      <c r="M85" s="23">
        <v>79</v>
      </c>
      <c r="N85" s="18" t="str">
        <f t="shared" si="1"/>
        <v>Mencapai kompetensi dengan baik dalam hal</v>
      </c>
      <c r="O85" s="23">
        <v>81</v>
      </c>
      <c r="P85" s="18" t="str">
        <f t="shared" si="2"/>
        <v>Mencapai kompetensi dengan baik dalam hal</v>
      </c>
      <c r="Q85" s="23">
        <v>80</v>
      </c>
      <c r="R85" s="18" t="str">
        <f t="shared" si="3"/>
        <v>Mencapai kompetensi dengan baik dalam hal</v>
      </c>
      <c r="S85" s="23">
        <v>79</v>
      </c>
      <c r="T85" s="18" t="str">
        <f t="shared" si="4"/>
        <v>Mencapai kompetensi dengan baik dalam hal</v>
      </c>
      <c r="U85" s="23">
        <v>81</v>
      </c>
      <c r="V85" s="18" t="str">
        <f t="shared" si="5"/>
        <v>Mencapai kompetensi dengan baik dalam hal</v>
      </c>
      <c r="W85" s="23">
        <v>80</v>
      </c>
      <c r="X85" s="18" t="str">
        <f t="shared" si="6"/>
        <v>Mencapai kompetensi dengan baik dalam hal</v>
      </c>
      <c r="Y85" s="23">
        <v>76</v>
      </c>
      <c r="Z85" s="18" t="str">
        <f t="shared" si="7"/>
        <v>Mencapai kompetensi dengan baik dalam hal</v>
      </c>
      <c r="AA85" s="23">
        <v>88</v>
      </c>
      <c r="AB85" s="18" t="str">
        <f t="shared" si="8"/>
        <v>Mencapai kompetensi dengan baik dalam hal</v>
      </c>
      <c r="AC85" s="23">
        <v>79</v>
      </c>
      <c r="AD85" s="18" t="str">
        <f t="shared" si="26"/>
        <v>Mencapai kompetensi dengan baik dalam hal</v>
      </c>
      <c r="AE85" s="23">
        <v>79</v>
      </c>
      <c r="AF85" s="18" t="str">
        <f t="shared" si="22"/>
        <v>Mencapai kompetensi dengan baik dalam hal</v>
      </c>
      <c r="AG85" s="23">
        <v>82</v>
      </c>
      <c r="AH85" s="18" t="str">
        <f t="shared" si="10"/>
        <v>Mencapai kompetensi dengan baik dalam hal</v>
      </c>
      <c r="AI85" s="23">
        <v>75</v>
      </c>
      <c r="AJ85" s="18" t="str">
        <f t="shared" si="11"/>
        <v>Mencapai kompetensi dengan baik dalam hal</v>
      </c>
      <c r="AK85" s="23">
        <v>78</v>
      </c>
      <c r="AL85" s="18" t="str">
        <f t="shared" si="12"/>
        <v>Mencapai kompetensi dengan baik dalam hal</v>
      </c>
      <c r="AM85" s="23">
        <v>79</v>
      </c>
      <c r="AN85" s="18" t="str">
        <f t="shared" si="13"/>
        <v>Mencapai kompetensi dengan baik dalam hal</v>
      </c>
      <c r="AO85" s="118">
        <f t="shared" si="25"/>
        <v>78.599999999999994</v>
      </c>
      <c r="AP85" s="23">
        <v>88</v>
      </c>
      <c r="AQ85" s="18" t="str">
        <f t="shared" si="14"/>
        <v>Mencapai kompetensi dengan baik dalam hal</v>
      </c>
      <c r="AR85" s="23">
        <v>79</v>
      </c>
      <c r="AS85" s="18" t="str">
        <f t="shared" si="15"/>
        <v>Mencapai kompetensi dengan baik dalam hal</v>
      </c>
      <c r="AT85" s="113">
        <v>1</v>
      </c>
      <c r="AU85" s="113" t="s">
        <v>81</v>
      </c>
      <c r="AV85" s="113">
        <v>1</v>
      </c>
      <c r="AW85" s="7">
        <v>1</v>
      </c>
      <c r="AX85" s="12" t="s">
        <v>82</v>
      </c>
      <c r="AY85" s="17" t="s">
        <v>83</v>
      </c>
      <c r="AZ85" s="12" t="s">
        <v>86</v>
      </c>
      <c r="BA85" s="15" t="str">
        <f t="shared" si="23"/>
        <v>Sangat baik</v>
      </c>
      <c r="BB85" s="7">
        <v>2</v>
      </c>
      <c r="BC85" s="17" t="s">
        <v>212</v>
      </c>
      <c r="BD85" s="18" t="s">
        <v>83</v>
      </c>
      <c r="BE85" s="7" t="s">
        <v>86</v>
      </c>
      <c r="BF85" s="15" t="str">
        <f t="shared" si="24"/>
        <v>Sangat baik</v>
      </c>
      <c r="BG85" s="7"/>
      <c r="BH85" s="7"/>
      <c r="BI85" s="7"/>
      <c r="BJ85" s="7"/>
      <c r="BK85" s="15"/>
    </row>
    <row r="86" spans="1:63" ht="24.95" customHeight="1" thickTop="1" thickBot="1" x14ac:dyDescent="0.3">
      <c r="A86" s="23">
        <v>85</v>
      </c>
      <c r="B86" s="23">
        <v>2525561</v>
      </c>
      <c r="C86" s="23" t="s">
        <v>1326</v>
      </c>
      <c r="D86" s="18" t="s">
        <v>1327</v>
      </c>
      <c r="E86" s="23" t="s">
        <v>1295</v>
      </c>
      <c r="F86" s="23" t="s">
        <v>1151</v>
      </c>
      <c r="G86" s="23" t="s">
        <v>1296</v>
      </c>
      <c r="H86" s="23" t="s">
        <v>1297</v>
      </c>
      <c r="I86" s="60" t="s">
        <v>76</v>
      </c>
      <c r="J86" s="61" t="s">
        <v>77</v>
      </c>
      <c r="K86" s="23">
        <v>80</v>
      </c>
      <c r="L86" s="18" t="str">
        <f t="shared" si="0"/>
        <v>Mencapai kompetensi dengan baik dalam hal</v>
      </c>
      <c r="M86" s="23">
        <v>76</v>
      </c>
      <c r="N86" s="18" t="str">
        <f t="shared" si="1"/>
        <v>Mencapai kompetensi dengan baik dalam hal</v>
      </c>
      <c r="O86" s="23">
        <v>82</v>
      </c>
      <c r="P86" s="18" t="str">
        <f t="shared" si="2"/>
        <v>Mencapai kompetensi dengan baik dalam hal</v>
      </c>
      <c r="Q86" s="23">
        <v>80</v>
      </c>
      <c r="R86" s="18" t="str">
        <f t="shared" si="3"/>
        <v>Mencapai kompetensi dengan baik dalam hal</v>
      </c>
      <c r="S86" s="23">
        <v>83</v>
      </c>
      <c r="T86" s="18" t="str">
        <f t="shared" si="4"/>
        <v>Mencapai kompetensi dengan baik dalam hal</v>
      </c>
      <c r="U86" s="23">
        <v>84</v>
      </c>
      <c r="V86" s="18" t="str">
        <f t="shared" si="5"/>
        <v>Mencapai kompetensi dengan baik dalam hal</v>
      </c>
      <c r="W86" s="23">
        <v>80</v>
      </c>
      <c r="X86" s="18" t="str">
        <f t="shared" si="6"/>
        <v>Mencapai kompetensi dengan baik dalam hal</v>
      </c>
      <c r="Y86" s="23">
        <v>81</v>
      </c>
      <c r="Z86" s="18" t="str">
        <f t="shared" si="7"/>
        <v>Mencapai kompetensi dengan baik dalam hal</v>
      </c>
      <c r="AA86" s="23">
        <v>86</v>
      </c>
      <c r="AB86" s="18" t="str">
        <f t="shared" si="8"/>
        <v>Mencapai kompetensi dengan baik dalam hal</v>
      </c>
      <c r="AC86" s="23">
        <v>82</v>
      </c>
      <c r="AD86" s="18" t="str">
        <f t="shared" si="26"/>
        <v>Mencapai kompetensi dengan baik dalam hal</v>
      </c>
      <c r="AE86" s="23">
        <v>75</v>
      </c>
      <c r="AF86" s="18" t="str">
        <f t="shared" si="22"/>
        <v>Mencapai kompetensi dengan baik dalam hal</v>
      </c>
      <c r="AG86" s="23">
        <v>85</v>
      </c>
      <c r="AH86" s="18" t="str">
        <f t="shared" si="10"/>
        <v>Mencapai kompetensi dengan baik dalam hal</v>
      </c>
      <c r="AI86" s="23">
        <v>75</v>
      </c>
      <c r="AJ86" s="18" t="str">
        <f t="shared" si="11"/>
        <v>Mencapai kompetensi dengan baik dalam hal</v>
      </c>
      <c r="AK86" s="23">
        <v>75</v>
      </c>
      <c r="AL86" s="18" t="str">
        <f t="shared" si="12"/>
        <v>Mencapai kompetensi dengan baik dalam hal</v>
      </c>
      <c r="AM86" s="23">
        <v>74</v>
      </c>
      <c r="AN86" s="18" t="str">
        <f t="shared" si="13"/>
        <v>Perlu peningkatan dalam hal</v>
      </c>
      <c r="AO86" s="118">
        <f t="shared" si="25"/>
        <v>76.8</v>
      </c>
      <c r="AP86" s="23">
        <v>86</v>
      </c>
      <c r="AQ86" s="18" t="str">
        <f t="shared" si="14"/>
        <v>Mencapai kompetensi dengan baik dalam hal</v>
      </c>
      <c r="AR86" s="23">
        <v>80</v>
      </c>
      <c r="AS86" s="18" t="str">
        <f t="shared" si="15"/>
        <v>Mencapai kompetensi dengan baik dalam hal</v>
      </c>
      <c r="AT86" s="113">
        <v>1</v>
      </c>
      <c r="AU86" s="113" t="s">
        <v>81</v>
      </c>
      <c r="AV86" s="113">
        <v>2</v>
      </c>
      <c r="AW86" s="7">
        <v>1</v>
      </c>
      <c r="AX86" s="12" t="s">
        <v>82</v>
      </c>
      <c r="AY86" s="17" t="s">
        <v>83</v>
      </c>
      <c r="AZ86" s="12" t="s">
        <v>86</v>
      </c>
      <c r="BA86" s="15" t="str">
        <f t="shared" si="23"/>
        <v>Sangat baik</v>
      </c>
      <c r="BB86" s="7">
        <v>2</v>
      </c>
      <c r="BC86" s="17" t="s">
        <v>227</v>
      </c>
      <c r="BD86" s="18" t="s">
        <v>83</v>
      </c>
      <c r="BE86" s="7" t="s">
        <v>104</v>
      </c>
      <c r="BF86" s="15" t="str">
        <f t="shared" si="24"/>
        <v>Cukup</v>
      </c>
      <c r="BG86" s="7"/>
      <c r="BH86" s="7"/>
      <c r="BI86" s="7"/>
      <c r="BJ86" s="7"/>
      <c r="BK86" s="15"/>
    </row>
    <row r="87" spans="1:63" ht="24.95" customHeight="1" thickTop="1" thickBot="1" x14ac:dyDescent="0.3">
      <c r="A87" s="23">
        <v>86</v>
      </c>
      <c r="B87" s="23">
        <v>2525562</v>
      </c>
      <c r="C87" s="23" t="s">
        <v>1328</v>
      </c>
      <c r="D87" s="18" t="s">
        <v>1329</v>
      </c>
      <c r="E87" s="23" t="s">
        <v>1295</v>
      </c>
      <c r="F87" s="23" t="s">
        <v>1151</v>
      </c>
      <c r="G87" s="23" t="s">
        <v>1296</v>
      </c>
      <c r="H87" s="23" t="s">
        <v>1297</v>
      </c>
      <c r="I87" s="60" t="s">
        <v>76</v>
      </c>
      <c r="J87" s="61" t="s">
        <v>77</v>
      </c>
      <c r="K87" s="23">
        <v>79</v>
      </c>
      <c r="L87" s="18" t="str">
        <f t="shared" si="0"/>
        <v>Mencapai kompetensi dengan baik dalam hal</v>
      </c>
      <c r="M87" s="23">
        <v>77</v>
      </c>
      <c r="N87" s="18" t="str">
        <f t="shared" si="1"/>
        <v>Mencapai kompetensi dengan baik dalam hal</v>
      </c>
      <c r="O87" s="23">
        <v>80</v>
      </c>
      <c r="P87" s="18" t="str">
        <f t="shared" si="2"/>
        <v>Mencapai kompetensi dengan baik dalam hal</v>
      </c>
      <c r="Q87" s="23">
        <v>80</v>
      </c>
      <c r="R87" s="18" t="str">
        <f t="shared" si="3"/>
        <v>Mencapai kompetensi dengan baik dalam hal</v>
      </c>
      <c r="S87" s="23">
        <v>81</v>
      </c>
      <c r="T87" s="18" t="str">
        <f t="shared" si="4"/>
        <v>Mencapai kompetensi dengan baik dalam hal</v>
      </c>
      <c r="U87" s="23">
        <v>80</v>
      </c>
      <c r="V87" s="18" t="str">
        <f t="shared" si="5"/>
        <v>Mencapai kompetensi dengan baik dalam hal</v>
      </c>
      <c r="W87" s="23">
        <v>78</v>
      </c>
      <c r="X87" s="18" t="str">
        <f t="shared" si="6"/>
        <v>Mencapai kompetensi dengan baik dalam hal</v>
      </c>
      <c r="Y87" s="23">
        <v>79</v>
      </c>
      <c r="Z87" s="18" t="str">
        <f t="shared" si="7"/>
        <v>Mencapai kompetensi dengan baik dalam hal</v>
      </c>
      <c r="AA87" s="23">
        <v>82</v>
      </c>
      <c r="AB87" s="18" t="str">
        <f t="shared" si="8"/>
        <v>Mencapai kompetensi dengan baik dalam hal</v>
      </c>
      <c r="AC87" s="23">
        <v>76</v>
      </c>
      <c r="AD87" s="18" t="str">
        <f t="shared" si="26"/>
        <v>Mencapai kompetensi dengan baik dalam hal</v>
      </c>
      <c r="AE87" s="23">
        <v>75</v>
      </c>
      <c r="AF87" s="18" t="str">
        <f t="shared" si="22"/>
        <v>Mencapai kompetensi dengan baik dalam hal</v>
      </c>
      <c r="AG87" s="23">
        <v>81</v>
      </c>
      <c r="AH87" s="18" t="str">
        <f t="shared" si="10"/>
        <v>Mencapai kompetensi dengan baik dalam hal</v>
      </c>
      <c r="AI87" s="23">
        <v>75</v>
      </c>
      <c r="AJ87" s="18" t="str">
        <f t="shared" si="11"/>
        <v>Mencapai kompetensi dengan baik dalam hal</v>
      </c>
      <c r="AK87" s="23">
        <v>75</v>
      </c>
      <c r="AL87" s="18" t="str">
        <f t="shared" si="12"/>
        <v>Mencapai kompetensi dengan baik dalam hal</v>
      </c>
      <c r="AM87" s="23">
        <v>73</v>
      </c>
      <c r="AN87" s="18" t="str">
        <f t="shared" si="13"/>
        <v>Perlu peningkatan dalam hal</v>
      </c>
      <c r="AO87" s="118">
        <f t="shared" si="25"/>
        <v>75.8</v>
      </c>
      <c r="AP87" s="23">
        <v>82</v>
      </c>
      <c r="AQ87" s="18" t="str">
        <f t="shared" si="14"/>
        <v>Mencapai kompetensi dengan baik dalam hal</v>
      </c>
      <c r="AR87" s="23">
        <v>79</v>
      </c>
      <c r="AS87" s="18" t="str">
        <f t="shared" si="15"/>
        <v>Mencapai kompetensi dengan baik dalam hal</v>
      </c>
      <c r="AT87" s="113" t="s">
        <v>81</v>
      </c>
      <c r="AU87" s="113" t="s">
        <v>81</v>
      </c>
      <c r="AV87" s="113" t="s">
        <v>81</v>
      </c>
      <c r="AW87" s="7">
        <v>1</v>
      </c>
      <c r="AX87" s="12" t="s">
        <v>82</v>
      </c>
      <c r="AY87" s="17" t="s">
        <v>83</v>
      </c>
      <c r="AZ87" s="12" t="s">
        <v>86</v>
      </c>
      <c r="BA87" s="15" t="str">
        <f t="shared" si="23"/>
        <v>Sangat baik</v>
      </c>
      <c r="BB87" s="7">
        <v>2</v>
      </c>
      <c r="BC87" s="17" t="s">
        <v>429</v>
      </c>
      <c r="BD87" s="18" t="s">
        <v>83</v>
      </c>
      <c r="BE87" s="7" t="s">
        <v>86</v>
      </c>
      <c r="BF87" s="15" t="str">
        <f t="shared" si="24"/>
        <v>Sangat baik</v>
      </c>
      <c r="BG87" s="7"/>
      <c r="BH87" s="7"/>
      <c r="BI87" s="7"/>
      <c r="BJ87" s="7"/>
      <c r="BK87" s="15"/>
    </row>
    <row r="88" spans="1:63" ht="24.95" customHeight="1" thickTop="1" thickBot="1" x14ac:dyDescent="0.3">
      <c r="A88" s="23">
        <v>87</v>
      </c>
      <c r="B88" s="23">
        <v>2525563</v>
      </c>
      <c r="C88" s="23" t="s">
        <v>1330</v>
      </c>
      <c r="D88" s="18" t="s">
        <v>1331</v>
      </c>
      <c r="E88" s="23" t="s">
        <v>1295</v>
      </c>
      <c r="F88" s="23" t="s">
        <v>1151</v>
      </c>
      <c r="G88" s="23" t="s">
        <v>1296</v>
      </c>
      <c r="H88" s="23" t="s">
        <v>1297</v>
      </c>
      <c r="I88" s="60" t="s">
        <v>76</v>
      </c>
      <c r="J88" s="61" t="s">
        <v>77</v>
      </c>
      <c r="K88" s="23">
        <v>80</v>
      </c>
      <c r="L88" s="18" t="str">
        <f t="shared" si="0"/>
        <v>Mencapai kompetensi dengan baik dalam hal</v>
      </c>
      <c r="M88" s="23">
        <v>77</v>
      </c>
      <c r="N88" s="18" t="str">
        <f t="shared" si="1"/>
        <v>Mencapai kompetensi dengan baik dalam hal</v>
      </c>
      <c r="O88" s="23">
        <v>80</v>
      </c>
      <c r="P88" s="18" t="str">
        <f t="shared" si="2"/>
        <v>Mencapai kompetensi dengan baik dalam hal</v>
      </c>
      <c r="Q88" s="23">
        <v>80</v>
      </c>
      <c r="R88" s="18" t="str">
        <f t="shared" si="3"/>
        <v>Mencapai kompetensi dengan baik dalam hal</v>
      </c>
      <c r="S88" s="23">
        <v>82</v>
      </c>
      <c r="T88" s="18" t="str">
        <f t="shared" si="4"/>
        <v>Mencapai kompetensi dengan baik dalam hal</v>
      </c>
      <c r="U88" s="23">
        <v>80</v>
      </c>
      <c r="V88" s="18" t="str">
        <f t="shared" si="5"/>
        <v>Mencapai kompetensi dengan baik dalam hal</v>
      </c>
      <c r="W88" s="23">
        <v>77</v>
      </c>
      <c r="X88" s="18" t="str">
        <f t="shared" si="6"/>
        <v>Mencapai kompetensi dengan baik dalam hal</v>
      </c>
      <c r="Y88" s="23">
        <v>75</v>
      </c>
      <c r="Z88" s="18" t="str">
        <f t="shared" si="7"/>
        <v>Mencapai kompetensi dengan baik dalam hal</v>
      </c>
      <c r="AA88" s="23">
        <v>87</v>
      </c>
      <c r="AB88" s="18" t="str">
        <f t="shared" si="8"/>
        <v>Mencapai kompetensi dengan baik dalam hal</v>
      </c>
      <c r="AC88" s="23">
        <v>80</v>
      </c>
      <c r="AD88" s="18" t="str">
        <f t="shared" si="26"/>
        <v>Mencapai kompetensi dengan baik dalam hal</v>
      </c>
      <c r="AE88" s="23">
        <v>72</v>
      </c>
      <c r="AF88" s="18" t="str">
        <f t="shared" si="22"/>
        <v>Perlu peningkatan dalam hal</v>
      </c>
      <c r="AG88" s="23">
        <v>80</v>
      </c>
      <c r="AH88" s="18" t="str">
        <f t="shared" si="10"/>
        <v>Mencapai kompetensi dengan baik dalam hal</v>
      </c>
      <c r="AI88" s="23">
        <v>76</v>
      </c>
      <c r="AJ88" s="18" t="str">
        <f t="shared" si="11"/>
        <v>Mencapai kompetensi dengan baik dalam hal</v>
      </c>
      <c r="AK88" s="23">
        <v>75</v>
      </c>
      <c r="AL88" s="18" t="str">
        <f t="shared" si="12"/>
        <v>Mencapai kompetensi dengan baik dalam hal</v>
      </c>
      <c r="AM88" s="23">
        <v>76</v>
      </c>
      <c r="AN88" s="18" t="str">
        <f t="shared" si="13"/>
        <v>Mencapai kompetensi dengan baik dalam hal</v>
      </c>
      <c r="AO88" s="118">
        <f t="shared" si="25"/>
        <v>75.8</v>
      </c>
      <c r="AP88" s="23">
        <v>87</v>
      </c>
      <c r="AQ88" s="18" t="str">
        <f t="shared" si="14"/>
        <v>Mencapai kompetensi dengan baik dalam hal</v>
      </c>
      <c r="AR88" s="23">
        <v>76</v>
      </c>
      <c r="AS88" s="18" t="str">
        <f t="shared" si="15"/>
        <v>Mencapai kompetensi dengan baik dalam hal</v>
      </c>
      <c r="AT88" s="113" t="s">
        <v>81</v>
      </c>
      <c r="AU88" s="113" t="s">
        <v>81</v>
      </c>
      <c r="AV88" s="113" t="s">
        <v>81</v>
      </c>
      <c r="AW88" s="7">
        <v>1</v>
      </c>
      <c r="AX88" s="12" t="s">
        <v>82</v>
      </c>
      <c r="AY88" s="17" t="s">
        <v>83</v>
      </c>
      <c r="AZ88" s="12" t="s">
        <v>84</v>
      </c>
      <c r="BA88" s="15" t="str">
        <f t="shared" si="23"/>
        <v>Baik</v>
      </c>
      <c r="BB88" s="7">
        <v>2</v>
      </c>
      <c r="BC88" s="17" t="s">
        <v>119</v>
      </c>
      <c r="BD88" s="18" t="s">
        <v>83</v>
      </c>
      <c r="BE88" s="7" t="s">
        <v>86</v>
      </c>
      <c r="BF88" s="15" t="str">
        <f t="shared" si="24"/>
        <v>Sangat baik</v>
      </c>
      <c r="BG88" s="7"/>
      <c r="BH88" s="7"/>
      <c r="BI88" s="7"/>
      <c r="BJ88" s="7"/>
      <c r="BK88" s="15"/>
    </row>
    <row r="89" spans="1:63" ht="24.95" customHeight="1" thickTop="1" thickBot="1" x14ac:dyDescent="0.3">
      <c r="A89" s="23">
        <v>88</v>
      </c>
      <c r="B89" s="23">
        <v>2525564</v>
      </c>
      <c r="C89" s="23" t="s">
        <v>1332</v>
      </c>
      <c r="D89" s="18" t="s">
        <v>1333</v>
      </c>
      <c r="E89" s="23" t="s">
        <v>1295</v>
      </c>
      <c r="F89" s="23" t="s">
        <v>1151</v>
      </c>
      <c r="G89" s="23" t="s">
        <v>1296</v>
      </c>
      <c r="H89" s="23" t="s">
        <v>1297</v>
      </c>
      <c r="I89" s="60" t="s">
        <v>76</v>
      </c>
      <c r="J89" s="61" t="s">
        <v>77</v>
      </c>
      <c r="K89" s="23">
        <v>79</v>
      </c>
      <c r="L89" s="18" t="str">
        <f t="shared" si="0"/>
        <v>Mencapai kompetensi dengan baik dalam hal</v>
      </c>
      <c r="M89" s="23">
        <v>76</v>
      </c>
      <c r="N89" s="18" t="str">
        <f t="shared" si="1"/>
        <v>Mencapai kompetensi dengan baik dalam hal</v>
      </c>
      <c r="O89" s="23">
        <v>79</v>
      </c>
      <c r="P89" s="18" t="str">
        <f t="shared" si="2"/>
        <v>Mencapai kompetensi dengan baik dalam hal</v>
      </c>
      <c r="Q89" s="23">
        <v>78</v>
      </c>
      <c r="R89" s="18" t="str">
        <f t="shared" si="3"/>
        <v>Mencapai kompetensi dengan baik dalam hal</v>
      </c>
      <c r="S89" s="23">
        <v>76</v>
      </c>
      <c r="T89" s="18" t="str">
        <f t="shared" si="4"/>
        <v>Mencapai kompetensi dengan baik dalam hal</v>
      </c>
      <c r="U89" s="23">
        <v>78</v>
      </c>
      <c r="V89" s="18" t="str">
        <f t="shared" si="5"/>
        <v>Mencapai kompetensi dengan baik dalam hal</v>
      </c>
      <c r="W89" s="23">
        <v>76</v>
      </c>
      <c r="X89" s="18" t="str">
        <f t="shared" si="6"/>
        <v>Mencapai kompetensi dengan baik dalam hal</v>
      </c>
      <c r="Y89" s="23">
        <v>75</v>
      </c>
      <c r="Z89" s="18" t="str">
        <f t="shared" si="7"/>
        <v>Mencapai kompetensi dengan baik dalam hal</v>
      </c>
      <c r="AA89" s="23">
        <v>76</v>
      </c>
      <c r="AB89" s="18" t="str">
        <f t="shared" si="8"/>
        <v>Mencapai kompetensi dengan baik dalam hal</v>
      </c>
      <c r="AC89" s="23">
        <v>80</v>
      </c>
      <c r="AD89" s="18" t="str">
        <f t="shared" si="26"/>
        <v>Mencapai kompetensi dengan baik dalam hal</v>
      </c>
      <c r="AE89" s="23">
        <v>75</v>
      </c>
      <c r="AF89" s="18" t="str">
        <f t="shared" si="22"/>
        <v>Mencapai kompetensi dengan baik dalam hal</v>
      </c>
      <c r="AG89" s="23">
        <v>84</v>
      </c>
      <c r="AH89" s="18" t="str">
        <f t="shared" si="10"/>
        <v>Mencapai kompetensi dengan baik dalam hal</v>
      </c>
      <c r="AI89" s="23">
        <v>75</v>
      </c>
      <c r="AJ89" s="18" t="str">
        <f t="shared" si="11"/>
        <v>Mencapai kompetensi dengan baik dalam hal</v>
      </c>
      <c r="AK89" s="23">
        <v>70</v>
      </c>
      <c r="AL89" s="18" t="str">
        <f t="shared" si="12"/>
        <v>Perlu peningkatan dalam hal</v>
      </c>
      <c r="AM89" s="23">
        <v>70</v>
      </c>
      <c r="AN89" s="18" t="str">
        <f t="shared" si="13"/>
        <v>Perlu peningkatan dalam hal</v>
      </c>
      <c r="AO89" s="118">
        <f t="shared" si="25"/>
        <v>74.8</v>
      </c>
      <c r="AP89" s="23">
        <v>76</v>
      </c>
      <c r="AQ89" s="18" t="str">
        <f t="shared" si="14"/>
        <v>Mencapai kompetensi dengan baik dalam hal</v>
      </c>
      <c r="AR89" s="23">
        <v>77</v>
      </c>
      <c r="AS89" s="18" t="str">
        <f t="shared" si="15"/>
        <v>Mencapai kompetensi dengan baik dalam hal</v>
      </c>
      <c r="AT89" s="113">
        <v>2</v>
      </c>
      <c r="AU89" s="113" t="s">
        <v>81</v>
      </c>
      <c r="AV89" s="113">
        <v>4</v>
      </c>
      <c r="AW89" s="7">
        <v>1</v>
      </c>
      <c r="AX89" s="12" t="s">
        <v>82</v>
      </c>
      <c r="AY89" s="17" t="s">
        <v>83</v>
      </c>
      <c r="AZ89" s="12" t="s">
        <v>84</v>
      </c>
      <c r="BA89" s="15" t="str">
        <f t="shared" si="23"/>
        <v>Baik</v>
      </c>
      <c r="BB89" s="7">
        <v>2</v>
      </c>
      <c r="BC89" s="17" t="s">
        <v>125</v>
      </c>
      <c r="BD89" s="18" t="s">
        <v>83</v>
      </c>
      <c r="BE89" s="7" t="s">
        <v>104</v>
      </c>
      <c r="BF89" s="15" t="str">
        <f t="shared" si="24"/>
        <v>Cukup</v>
      </c>
      <c r="BG89" s="7"/>
      <c r="BH89" s="7"/>
      <c r="BI89" s="7"/>
      <c r="BJ89" s="7"/>
      <c r="BK89" s="15"/>
    </row>
    <row r="90" spans="1:63" ht="24.95" customHeight="1" thickTop="1" thickBot="1" x14ac:dyDescent="0.3">
      <c r="A90" s="23">
        <v>89</v>
      </c>
      <c r="B90" s="23">
        <v>2525565</v>
      </c>
      <c r="C90" s="23" t="s">
        <v>1334</v>
      </c>
      <c r="D90" s="18" t="s">
        <v>1335</v>
      </c>
      <c r="E90" s="23" t="s">
        <v>1295</v>
      </c>
      <c r="F90" s="23" t="s">
        <v>1151</v>
      </c>
      <c r="G90" s="23" t="s">
        <v>1296</v>
      </c>
      <c r="H90" s="23" t="s">
        <v>1297</v>
      </c>
      <c r="I90" s="60" t="s">
        <v>76</v>
      </c>
      <c r="J90" s="61" t="s">
        <v>77</v>
      </c>
      <c r="K90" s="23">
        <v>80</v>
      </c>
      <c r="L90" s="18" t="str">
        <f t="shared" si="0"/>
        <v>Mencapai kompetensi dengan baik dalam hal</v>
      </c>
      <c r="M90" s="23">
        <v>75</v>
      </c>
      <c r="N90" s="18" t="str">
        <f t="shared" si="1"/>
        <v>Mencapai kompetensi dengan baik dalam hal</v>
      </c>
      <c r="O90" s="23">
        <v>80</v>
      </c>
      <c r="P90" s="18" t="str">
        <f t="shared" si="2"/>
        <v>Mencapai kompetensi dengan baik dalam hal</v>
      </c>
      <c r="Q90" s="23">
        <v>80</v>
      </c>
      <c r="R90" s="18" t="str">
        <f t="shared" si="3"/>
        <v>Mencapai kompetensi dengan baik dalam hal</v>
      </c>
      <c r="S90" s="23">
        <v>82</v>
      </c>
      <c r="T90" s="18" t="str">
        <f t="shared" si="4"/>
        <v>Mencapai kompetensi dengan baik dalam hal</v>
      </c>
      <c r="U90" s="23">
        <v>78</v>
      </c>
      <c r="V90" s="18" t="str">
        <f t="shared" si="5"/>
        <v>Mencapai kompetensi dengan baik dalam hal</v>
      </c>
      <c r="W90" s="23">
        <v>78</v>
      </c>
      <c r="X90" s="18" t="str">
        <f t="shared" si="6"/>
        <v>Mencapai kompetensi dengan baik dalam hal</v>
      </c>
      <c r="Y90" s="23">
        <v>75</v>
      </c>
      <c r="Z90" s="18" t="str">
        <f t="shared" si="7"/>
        <v>Mencapai kompetensi dengan baik dalam hal</v>
      </c>
      <c r="AA90" s="23">
        <v>85</v>
      </c>
      <c r="AB90" s="18" t="str">
        <f t="shared" si="8"/>
        <v>Mencapai kompetensi dengan baik dalam hal</v>
      </c>
      <c r="AC90" s="23">
        <v>79</v>
      </c>
      <c r="AD90" s="18" t="str">
        <f t="shared" si="26"/>
        <v>Mencapai kompetensi dengan baik dalam hal</v>
      </c>
      <c r="AE90" s="23">
        <v>79</v>
      </c>
      <c r="AF90" s="18" t="str">
        <f t="shared" si="22"/>
        <v>Mencapai kompetensi dengan baik dalam hal</v>
      </c>
      <c r="AG90" s="23">
        <v>85</v>
      </c>
      <c r="AH90" s="18" t="str">
        <f t="shared" si="10"/>
        <v>Mencapai kompetensi dengan baik dalam hal</v>
      </c>
      <c r="AI90" s="23">
        <v>75</v>
      </c>
      <c r="AJ90" s="18" t="str">
        <f t="shared" si="11"/>
        <v>Mencapai kompetensi dengan baik dalam hal</v>
      </c>
      <c r="AK90" s="23">
        <v>77</v>
      </c>
      <c r="AL90" s="18" t="str">
        <f t="shared" si="12"/>
        <v>Mencapai kompetensi dengan baik dalam hal</v>
      </c>
      <c r="AM90" s="23">
        <v>77</v>
      </c>
      <c r="AN90" s="18" t="str">
        <f t="shared" si="13"/>
        <v>Mencapai kompetensi dengan baik dalam hal</v>
      </c>
      <c r="AO90" s="118">
        <f t="shared" si="25"/>
        <v>78.599999999999994</v>
      </c>
      <c r="AP90" s="23">
        <v>85</v>
      </c>
      <c r="AQ90" s="18" t="str">
        <f t="shared" si="14"/>
        <v>Mencapai kompetensi dengan baik dalam hal</v>
      </c>
      <c r="AR90" s="23">
        <v>78</v>
      </c>
      <c r="AS90" s="18" t="str">
        <f t="shared" si="15"/>
        <v>Mencapai kompetensi dengan baik dalam hal</v>
      </c>
      <c r="AT90" s="113" t="s">
        <v>81</v>
      </c>
      <c r="AU90" s="113" t="s">
        <v>81</v>
      </c>
      <c r="AV90" s="113">
        <v>1</v>
      </c>
      <c r="AW90" s="7">
        <v>1</v>
      </c>
      <c r="AX90" s="12" t="s">
        <v>82</v>
      </c>
      <c r="AY90" s="17" t="s">
        <v>83</v>
      </c>
      <c r="AZ90" s="12" t="s">
        <v>84</v>
      </c>
      <c r="BA90" s="15" t="str">
        <f t="shared" si="23"/>
        <v>Baik</v>
      </c>
      <c r="BB90" s="7">
        <v>2</v>
      </c>
      <c r="BC90" s="17" t="s">
        <v>170</v>
      </c>
      <c r="BD90" s="18" t="s">
        <v>83</v>
      </c>
      <c r="BE90" s="7" t="s">
        <v>104</v>
      </c>
      <c r="BF90" s="15" t="str">
        <f t="shared" si="24"/>
        <v>Cukup</v>
      </c>
      <c r="BG90" s="7"/>
      <c r="BH90" s="7"/>
      <c r="BI90" s="7"/>
      <c r="BJ90" s="7"/>
      <c r="BK90" s="15"/>
    </row>
    <row r="91" spans="1:63" ht="24.95" customHeight="1" thickTop="1" thickBot="1" x14ac:dyDescent="0.3">
      <c r="A91" s="23">
        <v>90</v>
      </c>
      <c r="B91" s="23">
        <v>2525566</v>
      </c>
      <c r="C91" s="23" t="s">
        <v>1336</v>
      </c>
      <c r="D91" s="18" t="s">
        <v>1337</v>
      </c>
      <c r="E91" s="23" t="s">
        <v>1295</v>
      </c>
      <c r="F91" s="23" t="s">
        <v>1151</v>
      </c>
      <c r="G91" s="23" t="s">
        <v>1296</v>
      </c>
      <c r="H91" s="23" t="s">
        <v>1297</v>
      </c>
      <c r="I91" s="60" t="s">
        <v>76</v>
      </c>
      <c r="J91" s="61" t="s">
        <v>77</v>
      </c>
      <c r="K91" s="23">
        <v>78</v>
      </c>
      <c r="L91" s="18" t="str">
        <f t="shared" si="0"/>
        <v>Mencapai kompetensi dengan baik dalam hal</v>
      </c>
      <c r="M91" s="23">
        <v>75</v>
      </c>
      <c r="N91" s="18" t="str">
        <f t="shared" si="1"/>
        <v>Mencapai kompetensi dengan baik dalam hal</v>
      </c>
      <c r="O91" s="23">
        <v>79</v>
      </c>
      <c r="P91" s="18" t="str">
        <f t="shared" si="2"/>
        <v>Mencapai kompetensi dengan baik dalam hal</v>
      </c>
      <c r="Q91" s="23">
        <v>78</v>
      </c>
      <c r="R91" s="18" t="str">
        <f t="shared" si="3"/>
        <v>Mencapai kompetensi dengan baik dalam hal</v>
      </c>
      <c r="S91" s="23">
        <v>81</v>
      </c>
      <c r="T91" s="18" t="str">
        <f t="shared" si="4"/>
        <v>Mencapai kompetensi dengan baik dalam hal</v>
      </c>
      <c r="U91" s="23">
        <v>78</v>
      </c>
      <c r="V91" s="18" t="str">
        <f t="shared" si="5"/>
        <v>Mencapai kompetensi dengan baik dalam hal</v>
      </c>
      <c r="W91" s="23">
        <v>78</v>
      </c>
      <c r="X91" s="18" t="str">
        <f t="shared" si="6"/>
        <v>Mencapai kompetensi dengan baik dalam hal</v>
      </c>
      <c r="Y91" s="23">
        <v>75</v>
      </c>
      <c r="Z91" s="18" t="str">
        <f t="shared" si="7"/>
        <v>Mencapai kompetensi dengan baik dalam hal</v>
      </c>
      <c r="AA91" s="23">
        <v>75</v>
      </c>
      <c r="AB91" s="18" t="str">
        <f t="shared" si="8"/>
        <v>Mencapai kompetensi dengan baik dalam hal</v>
      </c>
      <c r="AC91" s="23">
        <v>70</v>
      </c>
      <c r="AD91" s="18" t="str">
        <f t="shared" si="26"/>
        <v>Perlu peningkatan dalam hal</v>
      </c>
      <c r="AE91" s="23">
        <v>72</v>
      </c>
      <c r="AF91" s="18" t="str">
        <f t="shared" si="22"/>
        <v>Perlu peningkatan dalam hal</v>
      </c>
      <c r="AG91" s="23">
        <v>80</v>
      </c>
      <c r="AH91" s="18" t="str">
        <f t="shared" si="10"/>
        <v>Mencapai kompetensi dengan baik dalam hal</v>
      </c>
      <c r="AI91" s="23">
        <v>75</v>
      </c>
      <c r="AJ91" s="18" t="str">
        <f t="shared" si="11"/>
        <v>Mencapai kompetensi dengan baik dalam hal</v>
      </c>
      <c r="AK91" s="23">
        <v>68</v>
      </c>
      <c r="AL91" s="18" t="str">
        <f t="shared" si="12"/>
        <v>Perlu peningkatan dalam hal</v>
      </c>
      <c r="AM91" s="23">
        <v>69</v>
      </c>
      <c r="AN91" s="18" t="str">
        <f t="shared" si="13"/>
        <v>Perlu peningkatan dalam hal</v>
      </c>
      <c r="AO91" s="118">
        <f t="shared" si="25"/>
        <v>72.8</v>
      </c>
      <c r="AP91" s="23">
        <v>75</v>
      </c>
      <c r="AQ91" s="18" t="str">
        <f t="shared" si="14"/>
        <v>Mencapai kompetensi dengan baik dalam hal</v>
      </c>
      <c r="AR91" s="23">
        <v>77</v>
      </c>
      <c r="AS91" s="18" t="str">
        <f t="shared" si="15"/>
        <v>Mencapai kompetensi dengan baik dalam hal</v>
      </c>
      <c r="AT91" s="113">
        <v>10</v>
      </c>
      <c r="AU91" s="113" t="s">
        <v>81</v>
      </c>
      <c r="AV91" s="113">
        <v>4</v>
      </c>
      <c r="AW91" s="7">
        <v>1</v>
      </c>
      <c r="AX91" s="12" t="s">
        <v>82</v>
      </c>
      <c r="AY91" s="17" t="s">
        <v>83</v>
      </c>
      <c r="AZ91" s="12" t="s">
        <v>84</v>
      </c>
      <c r="BA91" s="15" t="str">
        <f t="shared" si="23"/>
        <v>Baik</v>
      </c>
      <c r="BB91" s="7">
        <v>2</v>
      </c>
      <c r="BC91" s="17" t="s">
        <v>170</v>
      </c>
      <c r="BD91" s="18" t="s">
        <v>83</v>
      </c>
      <c r="BE91" s="7" t="s">
        <v>110</v>
      </c>
      <c r="BF91" s="15" t="str">
        <f t="shared" si="24"/>
        <v>Kurang</v>
      </c>
      <c r="BG91" s="7"/>
      <c r="BH91" s="7"/>
      <c r="BI91" s="7"/>
      <c r="BJ91" s="7"/>
      <c r="BK91" s="15"/>
    </row>
    <row r="92" spans="1:63" ht="24.95" customHeight="1" thickTop="1" thickBot="1" x14ac:dyDescent="0.3">
      <c r="A92" s="23">
        <v>91</v>
      </c>
      <c r="B92" s="23">
        <v>2525567</v>
      </c>
      <c r="C92" s="23" t="s">
        <v>1338</v>
      </c>
      <c r="D92" s="18" t="s">
        <v>1339</v>
      </c>
      <c r="E92" s="23" t="s">
        <v>1295</v>
      </c>
      <c r="F92" s="23" t="s">
        <v>1151</v>
      </c>
      <c r="G92" s="23" t="s">
        <v>1296</v>
      </c>
      <c r="H92" s="23" t="s">
        <v>1297</v>
      </c>
      <c r="I92" s="60" t="s">
        <v>76</v>
      </c>
      <c r="J92" s="61" t="s">
        <v>77</v>
      </c>
      <c r="K92" s="23">
        <v>80</v>
      </c>
      <c r="L92" s="18" t="str">
        <f t="shared" si="0"/>
        <v>Mencapai kompetensi dengan baik dalam hal</v>
      </c>
      <c r="M92" s="23">
        <v>76</v>
      </c>
      <c r="N92" s="18" t="str">
        <f t="shared" si="1"/>
        <v>Mencapai kompetensi dengan baik dalam hal</v>
      </c>
      <c r="O92" s="23">
        <v>81</v>
      </c>
      <c r="P92" s="18" t="str">
        <f t="shared" si="2"/>
        <v>Mencapai kompetensi dengan baik dalam hal</v>
      </c>
      <c r="Q92" s="23">
        <v>78</v>
      </c>
      <c r="R92" s="18" t="str">
        <f t="shared" si="3"/>
        <v>Mencapai kompetensi dengan baik dalam hal</v>
      </c>
      <c r="S92" s="23">
        <v>78</v>
      </c>
      <c r="T92" s="18" t="str">
        <f t="shared" si="4"/>
        <v>Mencapai kompetensi dengan baik dalam hal</v>
      </c>
      <c r="U92" s="23">
        <v>83</v>
      </c>
      <c r="V92" s="18" t="str">
        <f t="shared" si="5"/>
        <v>Mencapai kompetensi dengan baik dalam hal</v>
      </c>
      <c r="W92" s="23">
        <v>81</v>
      </c>
      <c r="X92" s="18" t="str">
        <f t="shared" si="6"/>
        <v>Mencapai kompetensi dengan baik dalam hal</v>
      </c>
      <c r="Y92" s="23">
        <v>79</v>
      </c>
      <c r="Z92" s="18" t="str">
        <f t="shared" si="7"/>
        <v>Mencapai kompetensi dengan baik dalam hal</v>
      </c>
      <c r="AA92" s="23">
        <v>85</v>
      </c>
      <c r="AB92" s="18" t="str">
        <f t="shared" si="8"/>
        <v>Mencapai kompetensi dengan baik dalam hal</v>
      </c>
      <c r="AC92" s="23">
        <v>80</v>
      </c>
      <c r="AD92" s="18" t="str">
        <f t="shared" si="26"/>
        <v>Mencapai kompetensi dengan baik dalam hal</v>
      </c>
      <c r="AE92" s="23">
        <v>80</v>
      </c>
      <c r="AF92" s="18" t="str">
        <f t="shared" si="22"/>
        <v>Mencapai kompetensi dengan baik dalam hal</v>
      </c>
      <c r="AG92" s="23">
        <v>83</v>
      </c>
      <c r="AH92" s="18" t="str">
        <f t="shared" si="10"/>
        <v>Mencapai kompetensi dengan baik dalam hal</v>
      </c>
      <c r="AI92" s="23">
        <v>81</v>
      </c>
      <c r="AJ92" s="18" t="str">
        <f t="shared" si="11"/>
        <v>Mencapai kompetensi dengan baik dalam hal</v>
      </c>
      <c r="AK92" s="23">
        <v>82</v>
      </c>
      <c r="AL92" s="18" t="str">
        <f t="shared" si="12"/>
        <v>Mencapai kompetensi dengan baik dalam hal</v>
      </c>
      <c r="AM92" s="23">
        <v>81</v>
      </c>
      <c r="AN92" s="18" t="str">
        <f t="shared" si="13"/>
        <v>Mencapai kompetensi dengan baik dalam hal</v>
      </c>
      <c r="AO92" s="118">
        <f t="shared" si="25"/>
        <v>81.400000000000006</v>
      </c>
      <c r="AP92" s="23">
        <v>85</v>
      </c>
      <c r="AQ92" s="18" t="str">
        <f t="shared" si="14"/>
        <v>Mencapai kompetensi dengan baik dalam hal</v>
      </c>
      <c r="AR92" s="23">
        <v>80</v>
      </c>
      <c r="AS92" s="18" t="str">
        <f t="shared" si="15"/>
        <v>Mencapai kompetensi dengan baik dalam hal</v>
      </c>
      <c r="AT92" s="113">
        <v>3</v>
      </c>
      <c r="AU92" s="113" t="s">
        <v>81</v>
      </c>
      <c r="AV92" s="113" t="s">
        <v>81</v>
      </c>
      <c r="AW92" s="7">
        <v>1</v>
      </c>
      <c r="AX92" s="12" t="s">
        <v>82</v>
      </c>
      <c r="AY92" s="17" t="s">
        <v>83</v>
      </c>
      <c r="AZ92" s="12" t="s">
        <v>84</v>
      </c>
      <c r="BA92" s="15" t="str">
        <f t="shared" si="23"/>
        <v>Baik</v>
      </c>
      <c r="BB92" s="7">
        <v>2</v>
      </c>
      <c r="BC92" s="17" t="s">
        <v>119</v>
      </c>
      <c r="BD92" s="18" t="s">
        <v>83</v>
      </c>
      <c r="BE92" s="7" t="s">
        <v>84</v>
      </c>
      <c r="BF92" s="15" t="str">
        <f t="shared" si="24"/>
        <v>Baik</v>
      </c>
      <c r="BG92" s="7"/>
      <c r="BH92" s="7"/>
      <c r="BI92" s="7"/>
      <c r="BJ92" s="7"/>
      <c r="BK92" s="15"/>
    </row>
    <row r="93" spans="1:63" ht="24.95" customHeight="1" thickTop="1" thickBot="1" x14ac:dyDescent="0.3">
      <c r="A93" s="23">
        <v>92</v>
      </c>
      <c r="B93" s="23">
        <v>2525568</v>
      </c>
      <c r="C93" s="23" t="s">
        <v>1340</v>
      </c>
      <c r="D93" s="18" t="s">
        <v>1341</v>
      </c>
      <c r="E93" s="23" t="s">
        <v>1295</v>
      </c>
      <c r="F93" s="23" t="s">
        <v>1151</v>
      </c>
      <c r="G93" s="23" t="s">
        <v>1296</v>
      </c>
      <c r="H93" s="23" t="s">
        <v>1297</v>
      </c>
      <c r="I93" s="60" t="s">
        <v>76</v>
      </c>
      <c r="J93" s="61" t="s">
        <v>77</v>
      </c>
      <c r="K93" s="23">
        <v>79</v>
      </c>
      <c r="L93" s="18" t="str">
        <f t="shared" si="0"/>
        <v>Mencapai kompetensi dengan baik dalam hal</v>
      </c>
      <c r="M93" s="23">
        <v>77</v>
      </c>
      <c r="N93" s="18" t="str">
        <f t="shared" si="1"/>
        <v>Mencapai kompetensi dengan baik dalam hal</v>
      </c>
      <c r="O93" s="23">
        <v>81</v>
      </c>
      <c r="P93" s="18" t="str">
        <f t="shared" si="2"/>
        <v>Mencapai kompetensi dengan baik dalam hal</v>
      </c>
      <c r="Q93" s="23">
        <v>80</v>
      </c>
      <c r="R93" s="18" t="str">
        <f t="shared" si="3"/>
        <v>Mencapai kompetensi dengan baik dalam hal</v>
      </c>
      <c r="S93" s="23">
        <v>80</v>
      </c>
      <c r="T93" s="18" t="str">
        <f t="shared" si="4"/>
        <v>Mencapai kompetensi dengan baik dalam hal</v>
      </c>
      <c r="U93" s="23">
        <v>80</v>
      </c>
      <c r="V93" s="18" t="str">
        <f t="shared" si="5"/>
        <v>Mencapai kompetensi dengan baik dalam hal</v>
      </c>
      <c r="W93" s="23">
        <v>78</v>
      </c>
      <c r="X93" s="18" t="str">
        <f t="shared" si="6"/>
        <v>Mencapai kompetensi dengan baik dalam hal</v>
      </c>
      <c r="Y93" s="23">
        <v>77</v>
      </c>
      <c r="Z93" s="18" t="str">
        <f t="shared" si="7"/>
        <v>Mencapai kompetensi dengan baik dalam hal</v>
      </c>
      <c r="AA93" s="23">
        <v>85</v>
      </c>
      <c r="AB93" s="18" t="str">
        <f t="shared" si="8"/>
        <v>Mencapai kompetensi dengan baik dalam hal</v>
      </c>
      <c r="AC93" s="23">
        <v>81</v>
      </c>
      <c r="AD93" s="18" t="str">
        <f t="shared" si="26"/>
        <v>Mencapai kompetensi dengan baik dalam hal</v>
      </c>
      <c r="AE93" s="23">
        <v>75</v>
      </c>
      <c r="AF93" s="18" t="str">
        <f t="shared" si="22"/>
        <v>Mencapai kompetensi dengan baik dalam hal</v>
      </c>
      <c r="AG93" s="23">
        <v>75</v>
      </c>
      <c r="AH93" s="18" t="str">
        <f t="shared" si="10"/>
        <v>Mencapai kompetensi dengan baik dalam hal</v>
      </c>
      <c r="AI93" s="23">
        <v>78</v>
      </c>
      <c r="AJ93" s="18" t="str">
        <f t="shared" si="11"/>
        <v>Mencapai kompetensi dengan baik dalam hal</v>
      </c>
      <c r="AK93" s="23">
        <v>78</v>
      </c>
      <c r="AL93" s="18" t="str">
        <f t="shared" si="12"/>
        <v>Mencapai kompetensi dengan baik dalam hal</v>
      </c>
      <c r="AM93" s="23">
        <v>77</v>
      </c>
      <c r="AN93" s="18" t="str">
        <f t="shared" si="13"/>
        <v>Mencapai kompetensi dengan baik dalam hal</v>
      </c>
      <c r="AO93" s="118">
        <f t="shared" si="25"/>
        <v>76.599999999999994</v>
      </c>
      <c r="AP93" s="23">
        <v>85</v>
      </c>
      <c r="AQ93" s="18" t="str">
        <f t="shared" si="14"/>
        <v>Mencapai kompetensi dengan baik dalam hal</v>
      </c>
      <c r="AR93" s="23">
        <v>78</v>
      </c>
      <c r="AS93" s="18" t="str">
        <f t="shared" si="15"/>
        <v>Mencapai kompetensi dengan baik dalam hal</v>
      </c>
      <c r="AT93" s="113" t="s">
        <v>81</v>
      </c>
      <c r="AU93" s="113" t="s">
        <v>81</v>
      </c>
      <c r="AV93" s="113" t="s">
        <v>81</v>
      </c>
      <c r="AW93" s="7">
        <v>1</v>
      </c>
      <c r="AX93" s="12" t="s">
        <v>82</v>
      </c>
      <c r="AY93" s="17" t="s">
        <v>83</v>
      </c>
      <c r="AZ93" s="12" t="s">
        <v>84</v>
      </c>
      <c r="BA93" s="15" t="str">
        <f t="shared" si="23"/>
        <v>Baik</v>
      </c>
      <c r="BB93" s="7">
        <v>2</v>
      </c>
      <c r="BC93" s="17" t="s">
        <v>108</v>
      </c>
      <c r="BD93" s="18" t="s">
        <v>83</v>
      </c>
      <c r="BE93" s="7" t="s">
        <v>86</v>
      </c>
      <c r="BF93" s="15" t="str">
        <f t="shared" si="24"/>
        <v>Sangat baik</v>
      </c>
      <c r="BG93" s="7"/>
      <c r="BH93" s="7"/>
      <c r="BI93" s="7"/>
      <c r="BJ93" s="7"/>
      <c r="BK93" s="15"/>
    </row>
    <row r="94" spans="1:63" ht="24.95" customHeight="1" thickTop="1" thickBot="1" x14ac:dyDescent="0.3">
      <c r="A94" s="23">
        <v>93</v>
      </c>
      <c r="B94" s="23">
        <v>2525569</v>
      </c>
      <c r="C94" s="23" t="s">
        <v>1342</v>
      </c>
      <c r="D94" s="18" t="s">
        <v>1343</v>
      </c>
      <c r="E94" s="23" t="s">
        <v>1295</v>
      </c>
      <c r="F94" s="23" t="s">
        <v>1151</v>
      </c>
      <c r="G94" s="23" t="s">
        <v>1296</v>
      </c>
      <c r="H94" s="23" t="s">
        <v>1297</v>
      </c>
      <c r="I94" s="60" t="s">
        <v>76</v>
      </c>
      <c r="J94" s="61" t="s">
        <v>77</v>
      </c>
      <c r="K94" s="23">
        <v>80</v>
      </c>
      <c r="L94" s="18" t="str">
        <f t="shared" si="0"/>
        <v>Mencapai kompetensi dengan baik dalam hal</v>
      </c>
      <c r="M94" s="23">
        <v>77</v>
      </c>
      <c r="N94" s="18" t="str">
        <f t="shared" si="1"/>
        <v>Mencapai kompetensi dengan baik dalam hal</v>
      </c>
      <c r="O94" s="23">
        <v>81</v>
      </c>
      <c r="P94" s="18" t="str">
        <f t="shared" si="2"/>
        <v>Mencapai kompetensi dengan baik dalam hal</v>
      </c>
      <c r="Q94" s="23">
        <v>79</v>
      </c>
      <c r="R94" s="18" t="str">
        <f t="shared" si="3"/>
        <v>Mencapai kompetensi dengan baik dalam hal</v>
      </c>
      <c r="S94" s="23">
        <v>80</v>
      </c>
      <c r="T94" s="18" t="str">
        <f t="shared" si="4"/>
        <v>Mencapai kompetensi dengan baik dalam hal</v>
      </c>
      <c r="U94" s="23">
        <v>80</v>
      </c>
      <c r="V94" s="18" t="str">
        <f t="shared" si="5"/>
        <v>Mencapai kompetensi dengan baik dalam hal</v>
      </c>
      <c r="W94" s="23">
        <v>78</v>
      </c>
      <c r="X94" s="18" t="str">
        <f t="shared" si="6"/>
        <v>Mencapai kompetensi dengan baik dalam hal</v>
      </c>
      <c r="Y94" s="23">
        <v>75</v>
      </c>
      <c r="Z94" s="18" t="str">
        <f t="shared" si="7"/>
        <v>Mencapai kompetensi dengan baik dalam hal</v>
      </c>
      <c r="AA94" s="23">
        <v>83</v>
      </c>
      <c r="AB94" s="18" t="str">
        <f t="shared" si="8"/>
        <v>Mencapai kompetensi dengan baik dalam hal</v>
      </c>
      <c r="AC94" s="23">
        <v>81</v>
      </c>
      <c r="AD94" s="18" t="str">
        <f t="shared" si="26"/>
        <v>Mencapai kompetensi dengan baik dalam hal</v>
      </c>
      <c r="AE94" s="23">
        <v>75</v>
      </c>
      <c r="AF94" s="18" t="str">
        <f t="shared" si="22"/>
        <v>Mencapai kompetensi dengan baik dalam hal</v>
      </c>
      <c r="AG94" s="23">
        <v>85</v>
      </c>
      <c r="AH94" s="18" t="str">
        <f t="shared" si="10"/>
        <v>Mencapai kompetensi dengan baik dalam hal</v>
      </c>
      <c r="AI94" s="23">
        <v>75</v>
      </c>
      <c r="AJ94" s="18" t="str">
        <f t="shared" si="11"/>
        <v>Mencapai kompetensi dengan baik dalam hal</v>
      </c>
      <c r="AK94" s="23">
        <v>77</v>
      </c>
      <c r="AL94" s="18" t="str">
        <f t="shared" si="12"/>
        <v>Mencapai kompetensi dengan baik dalam hal</v>
      </c>
      <c r="AM94" s="23">
        <v>76</v>
      </c>
      <c r="AN94" s="18" t="str">
        <f t="shared" si="13"/>
        <v>Mencapai kompetensi dengan baik dalam hal</v>
      </c>
      <c r="AO94" s="118">
        <f t="shared" si="25"/>
        <v>77.599999999999994</v>
      </c>
      <c r="AP94" s="23">
        <v>83</v>
      </c>
      <c r="AQ94" s="18" t="str">
        <f t="shared" si="14"/>
        <v>Mencapai kompetensi dengan baik dalam hal</v>
      </c>
      <c r="AR94" s="23">
        <v>79</v>
      </c>
      <c r="AS94" s="18" t="str">
        <f t="shared" si="15"/>
        <v>Mencapai kompetensi dengan baik dalam hal</v>
      </c>
      <c r="AT94" s="113" t="s">
        <v>81</v>
      </c>
      <c r="AU94" s="113" t="s">
        <v>81</v>
      </c>
      <c r="AV94" s="113">
        <v>1</v>
      </c>
      <c r="AW94" s="7">
        <v>1</v>
      </c>
      <c r="AX94" s="12" t="s">
        <v>82</v>
      </c>
      <c r="AY94" s="17" t="s">
        <v>83</v>
      </c>
      <c r="AZ94" s="12" t="s">
        <v>86</v>
      </c>
      <c r="BA94" s="15" t="str">
        <f t="shared" si="23"/>
        <v>Sangat baik</v>
      </c>
      <c r="BB94" s="7">
        <v>2</v>
      </c>
      <c r="BC94" s="17" t="s">
        <v>125</v>
      </c>
      <c r="BD94" s="18" t="s">
        <v>83</v>
      </c>
      <c r="BE94" s="7" t="s">
        <v>86</v>
      </c>
      <c r="BF94" s="15" t="str">
        <f t="shared" si="24"/>
        <v>Sangat baik</v>
      </c>
      <c r="BG94" s="7"/>
      <c r="BH94" s="7"/>
      <c r="BI94" s="7"/>
      <c r="BJ94" s="7"/>
      <c r="BK94" s="15"/>
    </row>
    <row r="95" spans="1:63" ht="24.95" customHeight="1" thickTop="1" thickBot="1" x14ac:dyDescent="0.3">
      <c r="A95" s="23">
        <v>94</v>
      </c>
      <c r="B95" s="23">
        <v>2525570</v>
      </c>
      <c r="C95" s="23" t="s">
        <v>1344</v>
      </c>
      <c r="D95" s="18" t="s">
        <v>1345</v>
      </c>
      <c r="E95" s="23" t="s">
        <v>1295</v>
      </c>
      <c r="F95" s="23" t="s">
        <v>1151</v>
      </c>
      <c r="G95" s="23" t="s">
        <v>1296</v>
      </c>
      <c r="H95" s="23" t="s">
        <v>1297</v>
      </c>
      <c r="I95" s="60" t="s">
        <v>76</v>
      </c>
      <c r="J95" s="61" t="s">
        <v>77</v>
      </c>
      <c r="K95" s="23">
        <v>82</v>
      </c>
      <c r="L95" s="18" t="str">
        <f t="shared" si="0"/>
        <v>Mencapai kompetensi dengan baik dalam hal</v>
      </c>
      <c r="M95" s="23">
        <v>76</v>
      </c>
      <c r="N95" s="18" t="str">
        <f t="shared" si="1"/>
        <v>Mencapai kompetensi dengan baik dalam hal</v>
      </c>
      <c r="O95" s="23">
        <v>80</v>
      </c>
      <c r="P95" s="18" t="str">
        <f t="shared" si="2"/>
        <v>Mencapai kompetensi dengan baik dalam hal</v>
      </c>
      <c r="Q95" s="23">
        <v>80</v>
      </c>
      <c r="R95" s="18" t="str">
        <f t="shared" si="3"/>
        <v>Mencapai kompetensi dengan baik dalam hal</v>
      </c>
      <c r="S95" s="23">
        <v>79</v>
      </c>
      <c r="T95" s="18" t="str">
        <f t="shared" si="4"/>
        <v>Mencapai kompetensi dengan baik dalam hal</v>
      </c>
      <c r="U95" s="23">
        <v>80</v>
      </c>
      <c r="V95" s="18" t="str">
        <f t="shared" si="5"/>
        <v>Mencapai kompetensi dengan baik dalam hal</v>
      </c>
      <c r="W95" s="23">
        <v>76</v>
      </c>
      <c r="X95" s="18" t="str">
        <f t="shared" si="6"/>
        <v>Mencapai kompetensi dengan baik dalam hal</v>
      </c>
      <c r="Y95" s="23">
        <v>81</v>
      </c>
      <c r="Z95" s="18" t="str">
        <f t="shared" si="7"/>
        <v>Mencapai kompetensi dengan baik dalam hal</v>
      </c>
      <c r="AA95" s="23">
        <v>84</v>
      </c>
      <c r="AB95" s="18" t="str">
        <f t="shared" si="8"/>
        <v>Mencapai kompetensi dengan baik dalam hal</v>
      </c>
      <c r="AC95" s="23">
        <v>79</v>
      </c>
      <c r="AD95" s="18" t="str">
        <f t="shared" si="26"/>
        <v>Mencapai kompetensi dengan baik dalam hal</v>
      </c>
      <c r="AE95" s="23">
        <v>75</v>
      </c>
      <c r="AF95" s="18" t="str">
        <f t="shared" si="22"/>
        <v>Mencapai kompetensi dengan baik dalam hal</v>
      </c>
      <c r="AG95" s="23">
        <v>79</v>
      </c>
      <c r="AH95" s="18" t="str">
        <f t="shared" si="10"/>
        <v>Mencapai kompetensi dengan baik dalam hal</v>
      </c>
      <c r="AI95" s="23">
        <v>75</v>
      </c>
      <c r="AJ95" s="18" t="str">
        <f t="shared" si="11"/>
        <v>Mencapai kompetensi dengan baik dalam hal</v>
      </c>
      <c r="AK95" s="23">
        <v>75</v>
      </c>
      <c r="AL95" s="18" t="str">
        <f t="shared" si="12"/>
        <v>Mencapai kompetensi dengan baik dalam hal</v>
      </c>
      <c r="AM95" s="23">
        <v>74</v>
      </c>
      <c r="AN95" s="18" t="str">
        <f t="shared" si="13"/>
        <v>Perlu peningkatan dalam hal</v>
      </c>
      <c r="AO95" s="118">
        <f t="shared" si="25"/>
        <v>75.599999999999994</v>
      </c>
      <c r="AP95" s="23">
        <v>84</v>
      </c>
      <c r="AQ95" s="18" t="str">
        <f t="shared" si="14"/>
        <v>Mencapai kompetensi dengan baik dalam hal</v>
      </c>
      <c r="AR95" s="23">
        <v>78</v>
      </c>
      <c r="AS95" s="18" t="str">
        <f t="shared" si="15"/>
        <v>Mencapai kompetensi dengan baik dalam hal</v>
      </c>
      <c r="AT95" s="113" t="s">
        <v>81</v>
      </c>
      <c r="AU95" s="113" t="s">
        <v>81</v>
      </c>
      <c r="AV95" s="113" t="s">
        <v>81</v>
      </c>
      <c r="AW95" s="7">
        <v>1</v>
      </c>
      <c r="AX95" s="12" t="s">
        <v>82</v>
      </c>
      <c r="AY95" s="17" t="s">
        <v>83</v>
      </c>
      <c r="AZ95" s="12" t="s">
        <v>86</v>
      </c>
      <c r="BA95" s="15" t="str">
        <f t="shared" si="23"/>
        <v>Sangat baik</v>
      </c>
      <c r="BB95" s="7">
        <v>2</v>
      </c>
      <c r="BC95" s="17" t="s">
        <v>429</v>
      </c>
      <c r="BD95" s="18" t="s">
        <v>83</v>
      </c>
      <c r="BE95" s="7" t="s">
        <v>84</v>
      </c>
      <c r="BF95" s="15" t="str">
        <f t="shared" si="24"/>
        <v>Baik</v>
      </c>
      <c r="BG95" s="7"/>
      <c r="BH95" s="7"/>
      <c r="BI95" s="7"/>
      <c r="BJ95" s="7"/>
      <c r="BK95" s="15"/>
    </row>
    <row r="96" spans="1:63" ht="24.95" customHeight="1" thickTop="1" thickBot="1" x14ac:dyDescent="0.3">
      <c r="A96" s="23">
        <v>95</v>
      </c>
      <c r="B96" s="23">
        <v>2525571</v>
      </c>
      <c r="C96" s="23" t="s">
        <v>1346</v>
      </c>
      <c r="D96" s="18" t="s">
        <v>1347</v>
      </c>
      <c r="E96" s="23" t="s">
        <v>1295</v>
      </c>
      <c r="F96" s="23" t="s">
        <v>1151</v>
      </c>
      <c r="G96" s="23" t="s">
        <v>1296</v>
      </c>
      <c r="H96" s="23" t="s">
        <v>1297</v>
      </c>
      <c r="I96" s="60" t="s">
        <v>76</v>
      </c>
      <c r="J96" s="61" t="s">
        <v>77</v>
      </c>
      <c r="K96" s="23">
        <v>80</v>
      </c>
      <c r="L96" s="18" t="str">
        <f t="shared" si="0"/>
        <v>Mencapai kompetensi dengan baik dalam hal</v>
      </c>
      <c r="M96" s="23">
        <v>77</v>
      </c>
      <c r="N96" s="18" t="str">
        <f t="shared" si="1"/>
        <v>Mencapai kompetensi dengan baik dalam hal</v>
      </c>
      <c r="O96" s="23">
        <v>81</v>
      </c>
      <c r="P96" s="18" t="str">
        <f t="shared" si="2"/>
        <v>Mencapai kompetensi dengan baik dalam hal</v>
      </c>
      <c r="Q96" s="23">
        <v>80</v>
      </c>
      <c r="R96" s="18" t="str">
        <f t="shared" si="3"/>
        <v>Mencapai kompetensi dengan baik dalam hal</v>
      </c>
      <c r="S96" s="23">
        <v>79</v>
      </c>
      <c r="T96" s="18" t="str">
        <f t="shared" si="4"/>
        <v>Mencapai kompetensi dengan baik dalam hal</v>
      </c>
      <c r="U96" s="23">
        <v>81</v>
      </c>
      <c r="V96" s="18" t="str">
        <f t="shared" si="5"/>
        <v>Mencapai kompetensi dengan baik dalam hal</v>
      </c>
      <c r="W96" s="23">
        <v>78</v>
      </c>
      <c r="X96" s="18" t="str">
        <f t="shared" si="6"/>
        <v>Mencapai kompetensi dengan baik dalam hal</v>
      </c>
      <c r="Y96" s="23">
        <v>80</v>
      </c>
      <c r="Z96" s="18" t="str">
        <f t="shared" si="7"/>
        <v>Mencapai kompetensi dengan baik dalam hal</v>
      </c>
      <c r="AA96" s="23">
        <v>86</v>
      </c>
      <c r="AB96" s="18" t="str">
        <f t="shared" si="8"/>
        <v>Mencapai kompetensi dengan baik dalam hal</v>
      </c>
      <c r="AC96" s="23">
        <v>81</v>
      </c>
      <c r="AD96" s="18" t="str">
        <f t="shared" si="26"/>
        <v>Mencapai kompetensi dengan baik dalam hal</v>
      </c>
      <c r="AE96" s="23">
        <v>77</v>
      </c>
      <c r="AF96" s="18" t="str">
        <f t="shared" si="22"/>
        <v>Mencapai kompetensi dengan baik dalam hal</v>
      </c>
      <c r="AG96" s="23">
        <v>82</v>
      </c>
      <c r="AH96" s="18" t="str">
        <f t="shared" si="10"/>
        <v>Mencapai kompetensi dengan baik dalam hal</v>
      </c>
      <c r="AI96" s="23">
        <v>75</v>
      </c>
      <c r="AJ96" s="18" t="str">
        <f t="shared" si="11"/>
        <v>Mencapai kompetensi dengan baik dalam hal</v>
      </c>
      <c r="AK96" s="23">
        <v>76</v>
      </c>
      <c r="AL96" s="18" t="str">
        <f t="shared" si="12"/>
        <v>Mencapai kompetensi dengan baik dalam hal</v>
      </c>
      <c r="AM96" s="23">
        <v>73</v>
      </c>
      <c r="AN96" s="18" t="str">
        <f t="shared" si="13"/>
        <v>Perlu peningkatan dalam hal</v>
      </c>
      <c r="AO96" s="118">
        <f t="shared" si="25"/>
        <v>76.599999999999994</v>
      </c>
      <c r="AP96" s="23">
        <v>86</v>
      </c>
      <c r="AQ96" s="18" t="str">
        <f t="shared" si="14"/>
        <v>Mencapai kompetensi dengan baik dalam hal</v>
      </c>
      <c r="AR96" s="23">
        <v>78</v>
      </c>
      <c r="AS96" s="18" t="str">
        <f t="shared" si="15"/>
        <v>Mencapai kompetensi dengan baik dalam hal</v>
      </c>
      <c r="AT96" s="113">
        <v>2</v>
      </c>
      <c r="AU96" s="113" t="s">
        <v>81</v>
      </c>
      <c r="AV96" s="113" t="s">
        <v>81</v>
      </c>
      <c r="AW96" s="7">
        <v>1</v>
      </c>
      <c r="AX96" s="12" t="s">
        <v>82</v>
      </c>
      <c r="AY96" s="17" t="s">
        <v>83</v>
      </c>
      <c r="AZ96" s="12" t="s">
        <v>86</v>
      </c>
      <c r="BA96" s="15" t="str">
        <f t="shared" si="23"/>
        <v>Sangat baik</v>
      </c>
      <c r="BB96" s="7">
        <v>2</v>
      </c>
      <c r="BC96" s="17" t="s">
        <v>162</v>
      </c>
      <c r="BD96" s="18" t="s">
        <v>83</v>
      </c>
      <c r="BE96" s="7" t="s">
        <v>86</v>
      </c>
      <c r="BF96" s="15" t="str">
        <f t="shared" si="24"/>
        <v>Sangat baik</v>
      </c>
      <c r="BG96" s="7">
        <v>3</v>
      </c>
      <c r="BH96" s="7" t="s">
        <v>87</v>
      </c>
      <c r="BI96" s="7" t="s">
        <v>83</v>
      </c>
      <c r="BJ96" s="7" t="s">
        <v>84</v>
      </c>
      <c r="BK96" s="15" t="str">
        <f>VLOOKUP(BJ96,grades4,2,TRUE)</f>
        <v>Baik</v>
      </c>
    </row>
    <row r="97" spans="1:63" ht="24.95" customHeight="1" thickTop="1" thickBot="1" x14ac:dyDescent="0.3">
      <c r="A97" s="23">
        <v>96</v>
      </c>
      <c r="B97" s="23">
        <v>2525572</v>
      </c>
      <c r="C97" s="23" t="s">
        <v>1348</v>
      </c>
      <c r="D97" s="18" t="s">
        <v>1349</v>
      </c>
      <c r="E97" s="23" t="s">
        <v>1295</v>
      </c>
      <c r="F97" s="23" t="s">
        <v>1151</v>
      </c>
      <c r="G97" s="23" t="s">
        <v>1296</v>
      </c>
      <c r="H97" s="23" t="s">
        <v>1297</v>
      </c>
      <c r="I97" s="60" t="s">
        <v>76</v>
      </c>
      <c r="J97" s="61" t="s">
        <v>77</v>
      </c>
      <c r="K97" s="23">
        <v>80</v>
      </c>
      <c r="L97" s="18" t="str">
        <f t="shared" si="0"/>
        <v>Mencapai kompetensi dengan baik dalam hal</v>
      </c>
      <c r="M97" s="23">
        <v>77</v>
      </c>
      <c r="N97" s="18" t="str">
        <f t="shared" si="1"/>
        <v>Mencapai kompetensi dengan baik dalam hal</v>
      </c>
      <c r="O97" s="23">
        <v>82</v>
      </c>
      <c r="P97" s="18" t="str">
        <f t="shared" si="2"/>
        <v>Mencapai kompetensi dengan baik dalam hal</v>
      </c>
      <c r="Q97" s="23">
        <v>78</v>
      </c>
      <c r="R97" s="18" t="str">
        <f t="shared" si="3"/>
        <v>Mencapai kompetensi dengan baik dalam hal</v>
      </c>
      <c r="S97" s="23">
        <v>81</v>
      </c>
      <c r="T97" s="18" t="str">
        <f t="shared" si="4"/>
        <v>Mencapai kompetensi dengan baik dalam hal</v>
      </c>
      <c r="U97" s="23">
        <v>81</v>
      </c>
      <c r="V97" s="18" t="str">
        <f t="shared" si="5"/>
        <v>Mencapai kompetensi dengan baik dalam hal</v>
      </c>
      <c r="W97" s="23">
        <v>76</v>
      </c>
      <c r="X97" s="18" t="str">
        <f t="shared" si="6"/>
        <v>Mencapai kompetensi dengan baik dalam hal</v>
      </c>
      <c r="Y97" s="23">
        <v>78</v>
      </c>
      <c r="Z97" s="18" t="str">
        <f t="shared" si="7"/>
        <v>Mencapai kompetensi dengan baik dalam hal</v>
      </c>
      <c r="AA97" s="23">
        <v>85</v>
      </c>
      <c r="AB97" s="18" t="str">
        <f t="shared" si="8"/>
        <v>Mencapai kompetensi dengan baik dalam hal</v>
      </c>
      <c r="AC97" s="23">
        <v>79</v>
      </c>
      <c r="AD97" s="18" t="str">
        <f t="shared" si="26"/>
        <v>Mencapai kompetensi dengan baik dalam hal</v>
      </c>
      <c r="AE97" s="23">
        <v>75</v>
      </c>
      <c r="AF97" s="18" t="str">
        <f t="shared" si="22"/>
        <v>Mencapai kompetensi dengan baik dalam hal</v>
      </c>
      <c r="AG97" s="23">
        <v>82</v>
      </c>
      <c r="AH97" s="18" t="str">
        <f t="shared" si="10"/>
        <v>Mencapai kompetensi dengan baik dalam hal</v>
      </c>
      <c r="AI97" s="23">
        <v>76</v>
      </c>
      <c r="AJ97" s="18" t="str">
        <f t="shared" si="11"/>
        <v>Mencapai kompetensi dengan baik dalam hal</v>
      </c>
      <c r="AK97" s="23">
        <v>74</v>
      </c>
      <c r="AL97" s="18" t="str">
        <f t="shared" si="12"/>
        <v>Perlu peningkatan dalam hal</v>
      </c>
      <c r="AM97" s="23">
        <v>76</v>
      </c>
      <c r="AN97" s="18" t="str">
        <f t="shared" si="13"/>
        <v>Mencapai kompetensi dengan baik dalam hal</v>
      </c>
      <c r="AO97" s="118">
        <f t="shared" si="25"/>
        <v>76.599999999999994</v>
      </c>
      <c r="AP97" s="23">
        <v>85</v>
      </c>
      <c r="AQ97" s="18" t="str">
        <f t="shared" si="14"/>
        <v>Mencapai kompetensi dengan baik dalam hal</v>
      </c>
      <c r="AR97" s="23">
        <v>79</v>
      </c>
      <c r="AS97" s="18" t="str">
        <f t="shared" si="15"/>
        <v>Mencapai kompetensi dengan baik dalam hal</v>
      </c>
      <c r="AT97" s="113">
        <v>2</v>
      </c>
      <c r="AU97" s="113" t="s">
        <v>81</v>
      </c>
      <c r="AV97" s="113" t="s">
        <v>81</v>
      </c>
      <c r="AW97" s="7">
        <v>1</v>
      </c>
      <c r="AX97" s="12" t="s">
        <v>82</v>
      </c>
      <c r="AY97" s="17" t="s">
        <v>83</v>
      </c>
      <c r="AZ97" s="12" t="s">
        <v>86</v>
      </c>
      <c r="BA97" s="15" t="str">
        <f t="shared" si="23"/>
        <v>Sangat baik</v>
      </c>
      <c r="BB97" s="7">
        <v>2</v>
      </c>
      <c r="BC97" s="17" t="s">
        <v>429</v>
      </c>
      <c r="BD97" s="18" t="s">
        <v>83</v>
      </c>
      <c r="BE97" s="7" t="s">
        <v>84</v>
      </c>
      <c r="BF97" s="15" t="str">
        <f t="shared" si="24"/>
        <v>Baik</v>
      </c>
      <c r="BG97" s="7"/>
      <c r="BH97" s="7"/>
      <c r="BI97" s="7"/>
      <c r="BJ97" s="7"/>
      <c r="BK97" s="15"/>
    </row>
    <row r="98" spans="1:63" ht="24.95" customHeight="1" thickTop="1" thickBot="1" x14ac:dyDescent="0.3">
      <c r="A98" s="23">
        <v>97</v>
      </c>
      <c r="B98" s="23">
        <v>2525573</v>
      </c>
      <c r="C98" s="23" t="s">
        <v>1350</v>
      </c>
      <c r="D98" s="18" t="s">
        <v>1351</v>
      </c>
      <c r="E98" s="23" t="s">
        <v>1295</v>
      </c>
      <c r="F98" s="23" t="s">
        <v>1151</v>
      </c>
      <c r="G98" s="23" t="s">
        <v>1296</v>
      </c>
      <c r="H98" s="23" t="s">
        <v>1297</v>
      </c>
      <c r="I98" s="60" t="s">
        <v>76</v>
      </c>
      <c r="J98" s="61" t="s">
        <v>77</v>
      </c>
      <c r="K98" s="23">
        <v>80</v>
      </c>
      <c r="L98" s="18" t="str">
        <f t="shared" si="0"/>
        <v>Mencapai kompetensi dengan baik dalam hal</v>
      </c>
      <c r="M98" s="23">
        <v>76</v>
      </c>
      <c r="N98" s="18" t="str">
        <f t="shared" si="1"/>
        <v>Mencapai kompetensi dengan baik dalam hal</v>
      </c>
      <c r="O98" s="23">
        <v>79</v>
      </c>
      <c r="P98" s="18" t="str">
        <f t="shared" si="2"/>
        <v>Mencapai kompetensi dengan baik dalam hal</v>
      </c>
      <c r="Q98" s="23">
        <v>78</v>
      </c>
      <c r="R98" s="18" t="str">
        <f t="shared" si="3"/>
        <v>Mencapai kompetensi dengan baik dalam hal</v>
      </c>
      <c r="S98" s="23">
        <v>81</v>
      </c>
      <c r="T98" s="18" t="str">
        <f t="shared" si="4"/>
        <v>Mencapai kompetensi dengan baik dalam hal</v>
      </c>
      <c r="U98" s="23">
        <v>80</v>
      </c>
      <c r="V98" s="18" t="str">
        <f t="shared" si="5"/>
        <v>Mencapai kompetensi dengan baik dalam hal</v>
      </c>
      <c r="W98" s="23">
        <v>78</v>
      </c>
      <c r="X98" s="18" t="str">
        <f t="shared" si="6"/>
        <v>Mencapai kompetensi dengan baik dalam hal</v>
      </c>
      <c r="Y98" s="23">
        <v>75</v>
      </c>
      <c r="Z98" s="18" t="str">
        <f t="shared" si="7"/>
        <v>Mencapai kompetensi dengan baik dalam hal</v>
      </c>
      <c r="AA98" s="23">
        <v>83</v>
      </c>
      <c r="AB98" s="18" t="str">
        <f t="shared" si="8"/>
        <v>Mencapai kompetensi dengan baik dalam hal</v>
      </c>
      <c r="AC98" s="23">
        <v>81</v>
      </c>
      <c r="AD98" s="18" t="str">
        <f t="shared" si="26"/>
        <v>Mencapai kompetensi dengan baik dalam hal</v>
      </c>
      <c r="AE98" s="23">
        <v>75</v>
      </c>
      <c r="AF98" s="18" t="str">
        <f t="shared" si="22"/>
        <v>Mencapai kompetensi dengan baik dalam hal</v>
      </c>
      <c r="AG98" s="23">
        <v>81</v>
      </c>
      <c r="AH98" s="18" t="str">
        <f t="shared" si="10"/>
        <v>Mencapai kompetensi dengan baik dalam hal</v>
      </c>
      <c r="AI98" s="23">
        <v>76</v>
      </c>
      <c r="AJ98" s="18" t="str">
        <f t="shared" si="11"/>
        <v>Mencapai kompetensi dengan baik dalam hal</v>
      </c>
      <c r="AK98" s="23">
        <v>77</v>
      </c>
      <c r="AL98" s="18" t="str">
        <f t="shared" si="12"/>
        <v>Mencapai kompetensi dengan baik dalam hal</v>
      </c>
      <c r="AM98" s="23">
        <v>77</v>
      </c>
      <c r="AN98" s="18" t="str">
        <f t="shared" si="13"/>
        <v>Mencapai kompetensi dengan baik dalam hal</v>
      </c>
      <c r="AO98" s="118">
        <f t="shared" si="25"/>
        <v>77.2</v>
      </c>
      <c r="AP98" s="23">
        <v>83</v>
      </c>
      <c r="AQ98" s="18" t="str">
        <f t="shared" si="14"/>
        <v>Mencapai kompetensi dengan baik dalam hal</v>
      </c>
      <c r="AR98" s="23">
        <v>77</v>
      </c>
      <c r="AS98" s="18" t="str">
        <f t="shared" si="15"/>
        <v>Mencapai kompetensi dengan baik dalam hal</v>
      </c>
      <c r="AT98" s="113" t="s">
        <v>81</v>
      </c>
      <c r="AU98" s="113" t="s">
        <v>81</v>
      </c>
      <c r="AV98" s="113" t="s">
        <v>81</v>
      </c>
      <c r="AW98" s="7">
        <v>1</v>
      </c>
      <c r="AX98" s="12" t="s">
        <v>82</v>
      </c>
      <c r="AY98" s="17" t="s">
        <v>83</v>
      </c>
      <c r="AZ98" s="12" t="s">
        <v>84</v>
      </c>
      <c r="BA98" s="15" t="str">
        <f t="shared" ref="BA98:BA106" si="27">VLOOKUP(AZ98,grades4,2,TRUE)</f>
        <v>Baik</v>
      </c>
      <c r="BB98" s="7">
        <v>2</v>
      </c>
      <c r="BC98" s="17" t="s">
        <v>103</v>
      </c>
      <c r="BD98" s="18" t="s">
        <v>83</v>
      </c>
      <c r="BE98" s="7" t="s">
        <v>84</v>
      </c>
      <c r="BF98" s="15" t="str">
        <f t="shared" ref="BF98:BF106" si="28">VLOOKUP(BE98,grades4,2,TRUE)</f>
        <v>Baik</v>
      </c>
      <c r="BG98" s="7"/>
      <c r="BH98" s="7"/>
      <c r="BI98" s="7"/>
      <c r="BJ98" s="7"/>
      <c r="BK98" s="15"/>
    </row>
    <row r="99" spans="1:63" ht="24.95" customHeight="1" thickTop="1" thickBot="1" x14ac:dyDescent="0.3">
      <c r="A99" s="23">
        <v>98</v>
      </c>
      <c r="B99" s="23">
        <v>2525574</v>
      </c>
      <c r="C99" s="23" t="s">
        <v>1352</v>
      </c>
      <c r="D99" s="18" t="s">
        <v>1353</v>
      </c>
      <c r="E99" s="23" t="s">
        <v>1295</v>
      </c>
      <c r="F99" s="23" t="s">
        <v>1151</v>
      </c>
      <c r="G99" s="23" t="s">
        <v>1296</v>
      </c>
      <c r="H99" s="23" t="s">
        <v>1297</v>
      </c>
      <c r="I99" s="60" t="s">
        <v>76</v>
      </c>
      <c r="J99" s="61" t="s">
        <v>77</v>
      </c>
      <c r="K99" s="23">
        <v>82</v>
      </c>
      <c r="L99" s="18" t="str">
        <f t="shared" si="0"/>
        <v>Mencapai kompetensi dengan baik dalam hal</v>
      </c>
      <c r="M99" s="23">
        <v>79</v>
      </c>
      <c r="N99" s="18" t="str">
        <f t="shared" si="1"/>
        <v>Mencapai kompetensi dengan baik dalam hal</v>
      </c>
      <c r="O99" s="23">
        <v>82</v>
      </c>
      <c r="P99" s="18" t="str">
        <f t="shared" si="2"/>
        <v>Mencapai kompetensi dengan baik dalam hal</v>
      </c>
      <c r="Q99" s="23">
        <v>80</v>
      </c>
      <c r="R99" s="18" t="str">
        <f t="shared" si="3"/>
        <v>Mencapai kompetensi dengan baik dalam hal</v>
      </c>
      <c r="S99" s="23">
        <v>86</v>
      </c>
      <c r="T99" s="18" t="str">
        <f t="shared" si="4"/>
        <v>Mencapai kompetensi dengan baik dalam hal</v>
      </c>
      <c r="U99" s="23">
        <v>84</v>
      </c>
      <c r="V99" s="18" t="str">
        <f t="shared" si="5"/>
        <v>Mencapai kompetensi dengan baik dalam hal</v>
      </c>
      <c r="W99" s="23">
        <v>79</v>
      </c>
      <c r="X99" s="18" t="str">
        <f t="shared" si="6"/>
        <v>Mencapai kompetensi dengan baik dalam hal</v>
      </c>
      <c r="Y99" s="23">
        <v>80</v>
      </c>
      <c r="Z99" s="18" t="str">
        <f t="shared" si="7"/>
        <v>Mencapai kompetensi dengan baik dalam hal</v>
      </c>
      <c r="AA99" s="23">
        <v>88</v>
      </c>
      <c r="AB99" s="18" t="str">
        <f t="shared" si="8"/>
        <v>Mencapai kompetensi dengan baik dalam hal</v>
      </c>
      <c r="AC99" s="23">
        <v>84</v>
      </c>
      <c r="AD99" s="18" t="str">
        <f t="shared" si="26"/>
        <v>Mencapai kompetensi dengan baik dalam hal</v>
      </c>
      <c r="AE99" s="23">
        <v>76</v>
      </c>
      <c r="AF99" s="18" t="str">
        <f t="shared" si="22"/>
        <v>Mencapai kompetensi dengan baik dalam hal</v>
      </c>
      <c r="AG99" s="23">
        <v>85</v>
      </c>
      <c r="AH99" s="18" t="str">
        <f t="shared" si="10"/>
        <v>Mencapai kompetensi dengan baik dalam hal</v>
      </c>
      <c r="AI99" s="23">
        <v>75</v>
      </c>
      <c r="AJ99" s="18" t="str">
        <f t="shared" si="11"/>
        <v>Mencapai kompetensi dengan baik dalam hal</v>
      </c>
      <c r="AK99" s="23">
        <v>75</v>
      </c>
      <c r="AL99" s="18" t="str">
        <f t="shared" si="12"/>
        <v>Mencapai kompetensi dengan baik dalam hal</v>
      </c>
      <c r="AM99" s="23">
        <v>74</v>
      </c>
      <c r="AN99" s="18" t="str">
        <f t="shared" si="13"/>
        <v>Perlu peningkatan dalam hal</v>
      </c>
      <c r="AO99" s="118">
        <f t="shared" si="25"/>
        <v>77</v>
      </c>
      <c r="AP99" s="23">
        <v>88</v>
      </c>
      <c r="AQ99" s="18" t="str">
        <f t="shared" si="14"/>
        <v>Mencapai kompetensi dengan baik dalam hal</v>
      </c>
      <c r="AR99" s="23">
        <v>79</v>
      </c>
      <c r="AS99" s="18" t="str">
        <f t="shared" si="15"/>
        <v>Mencapai kompetensi dengan baik dalam hal</v>
      </c>
      <c r="AT99" s="113">
        <v>2</v>
      </c>
      <c r="AU99" s="113" t="s">
        <v>81</v>
      </c>
      <c r="AV99" s="113" t="s">
        <v>81</v>
      </c>
      <c r="AW99" s="7">
        <v>1</v>
      </c>
      <c r="AX99" s="12" t="s">
        <v>82</v>
      </c>
      <c r="AY99" s="17" t="s">
        <v>83</v>
      </c>
      <c r="AZ99" s="12" t="s">
        <v>84</v>
      </c>
      <c r="BA99" s="15" t="str">
        <f t="shared" si="27"/>
        <v>Baik</v>
      </c>
      <c r="BB99" s="7">
        <v>2</v>
      </c>
      <c r="BC99" s="17" t="s">
        <v>108</v>
      </c>
      <c r="BD99" s="18" t="s">
        <v>83</v>
      </c>
      <c r="BE99" s="7" t="s">
        <v>86</v>
      </c>
      <c r="BF99" s="15" t="str">
        <f t="shared" si="28"/>
        <v>Sangat baik</v>
      </c>
      <c r="BG99" s="7">
        <v>3</v>
      </c>
      <c r="BH99" s="7" t="s">
        <v>87</v>
      </c>
      <c r="BI99" s="7" t="s">
        <v>83</v>
      </c>
      <c r="BJ99" s="7" t="s">
        <v>84</v>
      </c>
      <c r="BK99" s="15" t="str">
        <f>VLOOKUP(BJ99,grades4,2,TRUE)</f>
        <v>Baik</v>
      </c>
    </row>
    <row r="100" spans="1:63" ht="24.95" customHeight="1" thickTop="1" thickBot="1" x14ac:dyDescent="0.3">
      <c r="A100" s="23">
        <v>99</v>
      </c>
      <c r="B100" s="23">
        <v>2525575</v>
      </c>
      <c r="C100" s="23" t="s">
        <v>1354</v>
      </c>
      <c r="D100" s="18" t="s">
        <v>1355</v>
      </c>
      <c r="E100" s="23" t="s">
        <v>1295</v>
      </c>
      <c r="F100" s="23" t="s">
        <v>1151</v>
      </c>
      <c r="G100" s="23" t="s">
        <v>1296</v>
      </c>
      <c r="H100" s="23" t="s">
        <v>1297</v>
      </c>
      <c r="I100" s="60" t="s">
        <v>76</v>
      </c>
      <c r="J100" s="61" t="s">
        <v>77</v>
      </c>
      <c r="K100" s="23">
        <v>80</v>
      </c>
      <c r="L100" s="18" t="str">
        <f t="shared" si="0"/>
        <v>Mencapai kompetensi dengan baik dalam hal</v>
      </c>
      <c r="M100" s="23">
        <v>77</v>
      </c>
      <c r="N100" s="18" t="str">
        <f t="shared" si="1"/>
        <v>Mencapai kompetensi dengan baik dalam hal</v>
      </c>
      <c r="O100" s="23">
        <v>82</v>
      </c>
      <c r="P100" s="18" t="str">
        <f t="shared" si="2"/>
        <v>Mencapai kompetensi dengan baik dalam hal</v>
      </c>
      <c r="Q100" s="23">
        <v>80</v>
      </c>
      <c r="R100" s="18" t="str">
        <f t="shared" si="3"/>
        <v>Mencapai kompetensi dengan baik dalam hal</v>
      </c>
      <c r="S100" s="23">
        <v>81</v>
      </c>
      <c r="T100" s="18" t="str">
        <f t="shared" si="4"/>
        <v>Mencapai kompetensi dengan baik dalam hal</v>
      </c>
      <c r="U100" s="23">
        <v>87</v>
      </c>
      <c r="V100" s="18" t="str">
        <f t="shared" si="5"/>
        <v>Mencapai kompetensi dengan baik dalam hal</v>
      </c>
      <c r="W100" s="23">
        <v>81</v>
      </c>
      <c r="X100" s="18" t="str">
        <f t="shared" si="6"/>
        <v>Mencapai kompetensi dengan baik dalam hal</v>
      </c>
      <c r="Y100" s="23">
        <v>79</v>
      </c>
      <c r="Z100" s="18" t="str">
        <f t="shared" si="7"/>
        <v>Mencapai kompetensi dengan baik dalam hal</v>
      </c>
      <c r="AA100" s="23">
        <v>88</v>
      </c>
      <c r="AB100" s="18" t="str">
        <f t="shared" si="8"/>
        <v>Mencapai kompetensi dengan baik dalam hal</v>
      </c>
      <c r="AC100" s="23">
        <v>90</v>
      </c>
      <c r="AD100" s="18" t="str">
        <f t="shared" si="26"/>
        <v>Mencapai kompetensi dengan sangat baik dalam hal</v>
      </c>
      <c r="AE100" s="23">
        <v>77</v>
      </c>
      <c r="AF100" s="18" t="str">
        <f t="shared" si="22"/>
        <v>Mencapai kompetensi dengan baik dalam hal</v>
      </c>
      <c r="AG100" s="23">
        <v>81</v>
      </c>
      <c r="AH100" s="18" t="str">
        <f t="shared" si="10"/>
        <v>Mencapai kompetensi dengan baik dalam hal</v>
      </c>
      <c r="AI100" s="23">
        <v>78</v>
      </c>
      <c r="AJ100" s="18" t="str">
        <f t="shared" si="11"/>
        <v>Mencapai kompetensi dengan baik dalam hal</v>
      </c>
      <c r="AK100" s="23">
        <v>78</v>
      </c>
      <c r="AL100" s="18" t="str">
        <f t="shared" si="12"/>
        <v>Mencapai kompetensi dengan baik dalam hal</v>
      </c>
      <c r="AM100" s="23">
        <v>78</v>
      </c>
      <c r="AN100" s="18" t="str">
        <f t="shared" si="13"/>
        <v>Mencapai kompetensi dengan baik dalam hal</v>
      </c>
      <c r="AO100" s="118">
        <f t="shared" si="25"/>
        <v>78.400000000000006</v>
      </c>
      <c r="AP100" s="23">
        <v>88</v>
      </c>
      <c r="AQ100" s="18" t="str">
        <f t="shared" si="14"/>
        <v>Mencapai kompetensi dengan baik dalam hal</v>
      </c>
      <c r="AR100" s="23">
        <v>80</v>
      </c>
      <c r="AS100" s="18" t="str">
        <f t="shared" si="15"/>
        <v>Mencapai kompetensi dengan baik dalam hal</v>
      </c>
      <c r="AT100" s="113" t="s">
        <v>81</v>
      </c>
      <c r="AU100" s="113" t="s">
        <v>81</v>
      </c>
      <c r="AV100" s="113">
        <v>1</v>
      </c>
      <c r="AW100" s="7">
        <v>1</v>
      </c>
      <c r="AX100" s="12" t="s">
        <v>82</v>
      </c>
      <c r="AY100" s="17" t="s">
        <v>83</v>
      </c>
      <c r="AZ100" s="12" t="s">
        <v>84</v>
      </c>
      <c r="BA100" s="15" t="str">
        <f t="shared" si="27"/>
        <v>Baik</v>
      </c>
      <c r="BB100" s="7">
        <v>2</v>
      </c>
      <c r="BC100" s="17" t="s">
        <v>170</v>
      </c>
      <c r="BD100" s="18" t="s">
        <v>83</v>
      </c>
      <c r="BE100" s="7" t="s">
        <v>84</v>
      </c>
      <c r="BF100" s="15" t="str">
        <f t="shared" si="28"/>
        <v>Baik</v>
      </c>
      <c r="BG100" s="7"/>
      <c r="BH100" s="7"/>
      <c r="BI100" s="7"/>
      <c r="BJ100" s="7"/>
      <c r="BK100" s="15"/>
    </row>
    <row r="101" spans="1:63" ht="24.95" customHeight="1" thickTop="1" thickBot="1" x14ac:dyDescent="0.3">
      <c r="A101" s="23">
        <v>100</v>
      </c>
      <c r="B101" s="23">
        <v>2525576</v>
      </c>
      <c r="C101" s="23" t="s">
        <v>1356</v>
      </c>
      <c r="D101" s="18" t="s">
        <v>1357</v>
      </c>
      <c r="E101" s="23" t="s">
        <v>1295</v>
      </c>
      <c r="F101" s="23" t="s">
        <v>1151</v>
      </c>
      <c r="G101" s="23" t="s">
        <v>1296</v>
      </c>
      <c r="H101" s="23" t="s">
        <v>1297</v>
      </c>
      <c r="I101" s="60" t="s">
        <v>76</v>
      </c>
      <c r="J101" s="61" t="s">
        <v>77</v>
      </c>
      <c r="K101" s="23">
        <v>79</v>
      </c>
      <c r="L101" s="18" t="str">
        <f t="shared" si="0"/>
        <v>Mencapai kompetensi dengan baik dalam hal</v>
      </c>
      <c r="M101" s="23">
        <v>77</v>
      </c>
      <c r="N101" s="18" t="str">
        <f t="shared" si="1"/>
        <v>Mencapai kompetensi dengan baik dalam hal</v>
      </c>
      <c r="O101" s="23">
        <v>81</v>
      </c>
      <c r="P101" s="18" t="str">
        <f t="shared" si="2"/>
        <v>Mencapai kompetensi dengan baik dalam hal</v>
      </c>
      <c r="Q101" s="23">
        <v>78</v>
      </c>
      <c r="R101" s="18" t="str">
        <f t="shared" si="3"/>
        <v>Mencapai kompetensi dengan baik dalam hal</v>
      </c>
      <c r="S101" s="23">
        <v>82</v>
      </c>
      <c r="T101" s="18" t="str">
        <f t="shared" si="4"/>
        <v>Mencapai kompetensi dengan baik dalam hal</v>
      </c>
      <c r="U101" s="23">
        <v>80</v>
      </c>
      <c r="V101" s="18" t="str">
        <f t="shared" si="5"/>
        <v>Mencapai kompetensi dengan baik dalam hal</v>
      </c>
      <c r="W101" s="23">
        <v>76</v>
      </c>
      <c r="X101" s="18" t="str">
        <f t="shared" si="6"/>
        <v>Mencapai kompetensi dengan baik dalam hal</v>
      </c>
      <c r="Y101" s="23">
        <v>78</v>
      </c>
      <c r="Z101" s="18" t="str">
        <f t="shared" si="7"/>
        <v>Mencapai kompetensi dengan baik dalam hal</v>
      </c>
      <c r="AA101" s="23">
        <v>86</v>
      </c>
      <c r="AB101" s="18" t="str">
        <f t="shared" si="8"/>
        <v>Mencapai kompetensi dengan baik dalam hal</v>
      </c>
      <c r="AC101" s="23">
        <v>76</v>
      </c>
      <c r="AD101" s="18" t="str">
        <f t="shared" si="26"/>
        <v>Mencapai kompetensi dengan baik dalam hal</v>
      </c>
      <c r="AE101" s="23">
        <v>78</v>
      </c>
      <c r="AF101" s="18" t="str">
        <f t="shared" si="22"/>
        <v>Mencapai kompetensi dengan baik dalam hal</v>
      </c>
      <c r="AG101" s="23">
        <v>83</v>
      </c>
      <c r="AH101" s="18" t="str">
        <f t="shared" si="10"/>
        <v>Mencapai kompetensi dengan baik dalam hal</v>
      </c>
      <c r="AI101" s="23">
        <v>75</v>
      </c>
      <c r="AJ101" s="18" t="str">
        <f t="shared" si="11"/>
        <v>Mencapai kompetensi dengan baik dalam hal</v>
      </c>
      <c r="AK101" s="23">
        <v>75</v>
      </c>
      <c r="AL101" s="18" t="str">
        <f t="shared" si="12"/>
        <v>Mencapai kompetensi dengan baik dalam hal</v>
      </c>
      <c r="AM101" s="23">
        <v>71</v>
      </c>
      <c r="AN101" s="18" t="str">
        <f t="shared" si="13"/>
        <v>Perlu peningkatan dalam hal</v>
      </c>
      <c r="AO101" s="118">
        <f t="shared" si="25"/>
        <v>76.400000000000006</v>
      </c>
      <c r="AP101" s="23">
        <v>86</v>
      </c>
      <c r="AQ101" s="18" t="str">
        <f t="shared" si="14"/>
        <v>Mencapai kompetensi dengan baik dalam hal</v>
      </c>
      <c r="AR101" s="23">
        <v>79</v>
      </c>
      <c r="AS101" s="18" t="str">
        <f t="shared" si="15"/>
        <v>Mencapai kompetensi dengan baik dalam hal</v>
      </c>
      <c r="AT101" s="113" t="s">
        <v>81</v>
      </c>
      <c r="AU101" s="113" t="s">
        <v>81</v>
      </c>
      <c r="AV101" s="113" t="s">
        <v>81</v>
      </c>
      <c r="AW101" s="7">
        <v>1</v>
      </c>
      <c r="AX101" s="12" t="s">
        <v>82</v>
      </c>
      <c r="AY101" s="17" t="s">
        <v>83</v>
      </c>
      <c r="AZ101" s="12" t="s">
        <v>84</v>
      </c>
      <c r="BA101" s="15" t="str">
        <f t="shared" si="27"/>
        <v>Baik</v>
      </c>
      <c r="BB101" s="7">
        <v>2</v>
      </c>
      <c r="BC101" s="17" t="s">
        <v>170</v>
      </c>
      <c r="BD101" s="18" t="s">
        <v>83</v>
      </c>
      <c r="BE101" s="7" t="s">
        <v>84</v>
      </c>
      <c r="BF101" s="15" t="str">
        <f t="shared" si="28"/>
        <v>Baik</v>
      </c>
      <c r="BG101" s="7">
        <v>3</v>
      </c>
      <c r="BH101" s="7" t="s">
        <v>87</v>
      </c>
      <c r="BI101" s="7" t="s">
        <v>83</v>
      </c>
      <c r="BJ101" s="7" t="s">
        <v>84</v>
      </c>
      <c r="BK101" s="15" t="str">
        <f>VLOOKUP(BJ101,grades4,2,TRUE)</f>
        <v>Baik</v>
      </c>
    </row>
    <row r="102" spans="1:63" ht="24.95" customHeight="1" thickTop="1" thickBot="1" x14ac:dyDescent="0.3">
      <c r="A102" s="23">
        <v>101</v>
      </c>
      <c r="B102" s="23">
        <v>2525577</v>
      </c>
      <c r="C102" s="23" t="s">
        <v>1358</v>
      </c>
      <c r="D102" s="18" t="s">
        <v>1359</v>
      </c>
      <c r="E102" s="23" t="s">
        <v>1295</v>
      </c>
      <c r="F102" s="23" t="s">
        <v>1151</v>
      </c>
      <c r="G102" s="23" t="s">
        <v>1296</v>
      </c>
      <c r="H102" s="23" t="s">
        <v>1297</v>
      </c>
      <c r="I102" s="60" t="s">
        <v>76</v>
      </c>
      <c r="J102" s="61" t="s">
        <v>77</v>
      </c>
      <c r="K102" s="23">
        <v>78</v>
      </c>
      <c r="L102" s="18" t="str">
        <f t="shared" si="0"/>
        <v>Mencapai kompetensi dengan baik dalam hal</v>
      </c>
      <c r="M102" s="23">
        <v>76</v>
      </c>
      <c r="N102" s="18" t="str">
        <f t="shared" si="1"/>
        <v>Mencapai kompetensi dengan baik dalam hal</v>
      </c>
      <c r="O102" s="23">
        <v>79</v>
      </c>
      <c r="P102" s="18" t="str">
        <f t="shared" si="2"/>
        <v>Mencapai kompetensi dengan baik dalam hal</v>
      </c>
      <c r="Q102" s="23">
        <v>80</v>
      </c>
      <c r="R102" s="18" t="str">
        <f t="shared" si="3"/>
        <v>Mencapai kompetensi dengan baik dalam hal</v>
      </c>
      <c r="S102" s="23">
        <v>76</v>
      </c>
      <c r="T102" s="18" t="str">
        <f t="shared" si="4"/>
        <v>Mencapai kompetensi dengan baik dalam hal</v>
      </c>
      <c r="U102" s="23">
        <v>80</v>
      </c>
      <c r="V102" s="18" t="str">
        <f t="shared" si="5"/>
        <v>Mencapai kompetensi dengan baik dalam hal</v>
      </c>
      <c r="W102" s="23">
        <v>76</v>
      </c>
      <c r="X102" s="18" t="str">
        <f t="shared" si="6"/>
        <v>Mencapai kompetensi dengan baik dalam hal</v>
      </c>
      <c r="Y102" s="23">
        <v>75</v>
      </c>
      <c r="Z102" s="18" t="str">
        <f t="shared" si="7"/>
        <v>Mencapai kompetensi dengan baik dalam hal</v>
      </c>
      <c r="AA102" s="23">
        <v>81</v>
      </c>
      <c r="AB102" s="18" t="str">
        <f t="shared" si="8"/>
        <v>Mencapai kompetensi dengan baik dalam hal</v>
      </c>
      <c r="AC102" s="23">
        <v>76</v>
      </c>
      <c r="AD102" s="18" t="str">
        <f t="shared" si="26"/>
        <v>Mencapai kompetensi dengan baik dalam hal</v>
      </c>
      <c r="AE102" s="23">
        <v>75</v>
      </c>
      <c r="AF102" s="18" t="str">
        <f t="shared" si="22"/>
        <v>Mencapai kompetensi dengan baik dalam hal</v>
      </c>
      <c r="AG102" s="23">
        <v>81</v>
      </c>
      <c r="AH102" s="18" t="str">
        <f t="shared" si="10"/>
        <v>Mencapai kompetensi dengan baik dalam hal</v>
      </c>
      <c r="AI102" s="23">
        <v>75</v>
      </c>
      <c r="AJ102" s="18" t="str">
        <f t="shared" si="11"/>
        <v>Mencapai kompetensi dengan baik dalam hal</v>
      </c>
      <c r="AK102" s="23">
        <v>75</v>
      </c>
      <c r="AL102" s="18" t="str">
        <f t="shared" si="12"/>
        <v>Mencapai kompetensi dengan baik dalam hal</v>
      </c>
      <c r="AM102" s="23">
        <v>73</v>
      </c>
      <c r="AN102" s="18" t="str">
        <f t="shared" si="13"/>
        <v>Perlu peningkatan dalam hal</v>
      </c>
      <c r="AO102" s="118">
        <f t="shared" si="25"/>
        <v>75.8</v>
      </c>
      <c r="AP102" s="23">
        <v>81</v>
      </c>
      <c r="AQ102" s="18" t="str">
        <f t="shared" si="14"/>
        <v>Mencapai kompetensi dengan baik dalam hal</v>
      </c>
      <c r="AR102" s="23">
        <v>78</v>
      </c>
      <c r="AS102" s="18" t="str">
        <f t="shared" si="15"/>
        <v>Mencapai kompetensi dengan baik dalam hal</v>
      </c>
      <c r="AT102" s="113" t="s">
        <v>81</v>
      </c>
      <c r="AU102" s="113" t="s">
        <v>81</v>
      </c>
      <c r="AV102" s="113" t="s">
        <v>81</v>
      </c>
      <c r="AW102" s="7">
        <v>1</v>
      </c>
      <c r="AX102" s="12" t="s">
        <v>82</v>
      </c>
      <c r="AY102" s="17" t="s">
        <v>83</v>
      </c>
      <c r="AZ102" s="12" t="s">
        <v>86</v>
      </c>
      <c r="BA102" s="15" t="str">
        <f t="shared" si="27"/>
        <v>Sangat baik</v>
      </c>
      <c r="BB102" s="7">
        <v>2</v>
      </c>
      <c r="BC102" s="17" t="s">
        <v>170</v>
      </c>
      <c r="BD102" s="18" t="s">
        <v>83</v>
      </c>
      <c r="BE102" s="7" t="s">
        <v>84</v>
      </c>
      <c r="BF102" s="15" t="str">
        <f t="shared" si="28"/>
        <v>Baik</v>
      </c>
      <c r="BG102" s="7"/>
      <c r="BH102" s="7"/>
      <c r="BI102" s="7"/>
      <c r="BJ102" s="7"/>
      <c r="BK102" s="15"/>
    </row>
    <row r="103" spans="1:63" ht="24.95" customHeight="1" thickTop="1" thickBot="1" x14ac:dyDescent="0.3">
      <c r="A103" s="23">
        <v>102</v>
      </c>
      <c r="B103" s="23">
        <v>2525578</v>
      </c>
      <c r="C103" s="23" t="s">
        <v>1360</v>
      </c>
      <c r="D103" s="18" t="s">
        <v>1361</v>
      </c>
      <c r="E103" s="23" t="s">
        <v>1295</v>
      </c>
      <c r="F103" s="23" t="s">
        <v>1151</v>
      </c>
      <c r="G103" s="23" t="s">
        <v>1296</v>
      </c>
      <c r="H103" s="23" t="s">
        <v>1297</v>
      </c>
      <c r="I103" s="60" t="s">
        <v>76</v>
      </c>
      <c r="J103" s="61" t="s">
        <v>77</v>
      </c>
      <c r="K103" s="23">
        <v>82</v>
      </c>
      <c r="L103" s="18" t="str">
        <f t="shared" ref="L103:L106" si="29">VLOOKUP(K103,grades1,2,TRUE)</f>
        <v>Mencapai kompetensi dengan baik dalam hal</v>
      </c>
      <c r="M103" s="23">
        <v>80</v>
      </c>
      <c r="N103" s="18" t="str">
        <f t="shared" ref="N103:N106" si="30">VLOOKUP(M103,grades1,2,TRUE)</f>
        <v>Mencapai kompetensi dengan baik dalam hal</v>
      </c>
      <c r="O103" s="23">
        <v>82</v>
      </c>
      <c r="P103" s="18" t="str">
        <f t="shared" ref="P103:P106" si="31">VLOOKUP(O103,grades1,2,TRUE)</f>
        <v>Mencapai kompetensi dengan baik dalam hal</v>
      </c>
      <c r="Q103" s="23">
        <v>80</v>
      </c>
      <c r="R103" s="18" t="str">
        <f t="shared" ref="R103:R106" si="32">VLOOKUP(Q103,grades1,2,TRUE)</f>
        <v>Mencapai kompetensi dengan baik dalam hal</v>
      </c>
      <c r="S103" s="23">
        <v>84</v>
      </c>
      <c r="T103" s="18" t="str">
        <f t="shared" ref="T103:T106" si="33">VLOOKUP(S103,grades1,2,TRUE)</f>
        <v>Mencapai kompetensi dengan baik dalam hal</v>
      </c>
      <c r="U103" s="23">
        <v>82</v>
      </c>
      <c r="V103" s="18" t="str">
        <f t="shared" ref="V103:V106" si="34">VLOOKUP(U103,grades1,2,TRUE)</f>
        <v>Mencapai kompetensi dengan baik dalam hal</v>
      </c>
      <c r="W103" s="23">
        <v>77</v>
      </c>
      <c r="X103" s="18" t="str">
        <f t="shared" ref="X103:X106" si="35">VLOOKUP(W103,grades1,2,TRUE)</f>
        <v>Mencapai kompetensi dengan baik dalam hal</v>
      </c>
      <c r="Y103" s="23">
        <v>81</v>
      </c>
      <c r="Z103" s="18" t="str">
        <f t="shared" ref="Z103:Z106" si="36">VLOOKUP(Y103,grades1,2,TRUE)</f>
        <v>Mencapai kompetensi dengan baik dalam hal</v>
      </c>
      <c r="AA103" s="23">
        <v>88</v>
      </c>
      <c r="AB103" s="18" t="str">
        <f t="shared" ref="AB103:AB106" si="37">VLOOKUP(AA103,grades1,2,TRUE)</f>
        <v>Mencapai kompetensi dengan baik dalam hal</v>
      </c>
      <c r="AC103" s="23">
        <v>88</v>
      </c>
      <c r="AD103" s="18" t="str">
        <f t="shared" ref="AD103:AD106" si="38">VLOOKUP(AC103,grades1,2,TRUE)</f>
        <v>Mencapai kompetensi dengan baik dalam hal</v>
      </c>
      <c r="AE103" s="23">
        <v>76</v>
      </c>
      <c r="AF103" s="18" t="str">
        <f t="shared" ref="AF103:AF106" si="39">VLOOKUP(AE103,grades1,2,TRUE)</f>
        <v>Mencapai kompetensi dengan baik dalam hal</v>
      </c>
      <c r="AG103" s="23">
        <v>84</v>
      </c>
      <c r="AH103" s="18" t="str">
        <f t="shared" ref="AH103:AH106" si="40">VLOOKUP(AG103,grades1,2,TRUE)</f>
        <v>Mencapai kompetensi dengan baik dalam hal</v>
      </c>
      <c r="AI103" s="23">
        <v>77</v>
      </c>
      <c r="AJ103" s="18" t="str">
        <f t="shared" ref="AJ103:AJ106" si="41">VLOOKUP(AI103,grades1,2,TRUE)</f>
        <v>Mencapai kompetensi dengan baik dalam hal</v>
      </c>
      <c r="AK103" s="23">
        <v>78</v>
      </c>
      <c r="AL103" s="18" t="str">
        <f t="shared" ref="AL103:AL106" si="42">VLOOKUP(AK103,grades1,2,TRUE)</f>
        <v>Mencapai kompetensi dengan baik dalam hal</v>
      </c>
      <c r="AM103" s="23">
        <v>78</v>
      </c>
      <c r="AN103" s="18" t="str">
        <f t="shared" ref="AN103:AN106" si="43">VLOOKUP(AM103,grades1,2,TRUE)</f>
        <v>Mencapai kompetensi dengan baik dalam hal</v>
      </c>
      <c r="AO103" s="118">
        <f t="shared" si="25"/>
        <v>78.599999999999994</v>
      </c>
      <c r="AP103" s="23">
        <v>88</v>
      </c>
      <c r="AQ103" s="18" t="str">
        <f t="shared" ref="AQ103:AQ106" si="44">VLOOKUP(AP103,grades1,2,TRUE)</f>
        <v>Mencapai kompetensi dengan baik dalam hal</v>
      </c>
      <c r="AR103" s="23">
        <v>80</v>
      </c>
      <c r="AS103" s="18" t="str">
        <f t="shared" ref="AS103:AS106" si="45">VLOOKUP(AR103,grades1,2,TRUE)</f>
        <v>Mencapai kompetensi dengan baik dalam hal</v>
      </c>
      <c r="AT103" s="113" t="s">
        <v>81</v>
      </c>
      <c r="AU103" s="113" t="s">
        <v>81</v>
      </c>
      <c r="AV103" s="113" t="s">
        <v>81</v>
      </c>
      <c r="AW103" s="7">
        <v>1</v>
      </c>
      <c r="AX103" s="12" t="s">
        <v>82</v>
      </c>
      <c r="AY103" s="17" t="s">
        <v>83</v>
      </c>
      <c r="AZ103" s="12" t="s">
        <v>86</v>
      </c>
      <c r="BA103" s="15" t="str">
        <f t="shared" si="27"/>
        <v>Sangat baik</v>
      </c>
      <c r="BB103" s="7">
        <v>2</v>
      </c>
      <c r="BC103" s="17" t="s">
        <v>162</v>
      </c>
      <c r="BD103" s="18" t="s">
        <v>83</v>
      </c>
      <c r="BE103" s="7" t="s">
        <v>86</v>
      </c>
      <c r="BF103" s="15" t="str">
        <f t="shared" si="28"/>
        <v>Sangat baik</v>
      </c>
      <c r="BG103" s="7">
        <v>3</v>
      </c>
      <c r="BH103" s="7" t="s">
        <v>87</v>
      </c>
      <c r="BI103" s="7" t="s">
        <v>83</v>
      </c>
      <c r="BJ103" s="7" t="s">
        <v>84</v>
      </c>
      <c r="BK103" s="15" t="str">
        <f>VLOOKUP(BJ103,grades4,2,TRUE)</f>
        <v>Baik</v>
      </c>
    </row>
    <row r="104" spans="1:63" ht="24.95" customHeight="1" thickTop="1" thickBot="1" x14ac:dyDescent="0.3">
      <c r="A104" s="23">
        <v>103</v>
      </c>
      <c r="B104" s="23">
        <v>2525579</v>
      </c>
      <c r="C104" s="23" t="s">
        <v>1362</v>
      </c>
      <c r="D104" s="18" t="s">
        <v>1363</v>
      </c>
      <c r="E104" s="23" t="s">
        <v>1295</v>
      </c>
      <c r="F104" s="23" t="s">
        <v>1151</v>
      </c>
      <c r="G104" s="23" t="s">
        <v>1296</v>
      </c>
      <c r="H104" s="23" t="s">
        <v>1297</v>
      </c>
      <c r="I104" s="60" t="s">
        <v>76</v>
      </c>
      <c r="J104" s="61" t="s">
        <v>77</v>
      </c>
      <c r="K104" s="23">
        <v>79</v>
      </c>
      <c r="L104" s="18" t="str">
        <f t="shared" si="29"/>
        <v>Mencapai kompetensi dengan baik dalam hal</v>
      </c>
      <c r="M104" s="23">
        <v>76</v>
      </c>
      <c r="N104" s="18" t="str">
        <f t="shared" si="30"/>
        <v>Mencapai kompetensi dengan baik dalam hal</v>
      </c>
      <c r="O104" s="23">
        <v>78</v>
      </c>
      <c r="P104" s="18" t="str">
        <f t="shared" si="31"/>
        <v>Mencapai kompetensi dengan baik dalam hal</v>
      </c>
      <c r="Q104" s="23">
        <v>79</v>
      </c>
      <c r="R104" s="18" t="str">
        <f t="shared" si="32"/>
        <v>Mencapai kompetensi dengan baik dalam hal</v>
      </c>
      <c r="S104" s="23">
        <v>75</v>
      </c>
      <c r="T104" s="18" t="str">
        <f t="shared" si="33"/>
        <v>Mencapai kompetensi dengan baik dalam hal</v>
      </c>
      <c r="U104" s="23">
        <v>80</v>
      </c>
      <c r="V104" s="18" t="str">
        <f t="shared" si="34"/>
        <v>Mencapai kompetensi dengan baik dalam hal</v>
      </c>
      <c r="W104" s="23">
        <v>77</v>
      </c>
      <c r="X104" s="18" t="str">
        <f t="shared" si="35"/>
        <v>Mencapai kompetensi dengan baik dalam hal</v>
      </c>
      <c r="Y104" s="23">
        <v>77</v>
      </c>
      <c r="Z104" s="18" t="str">
        <f t="shared" si="36"/>
        <v>Mencapai kompetensi dengan baik dalam hal</v>
      </c>
      <c r="AA104" s="23">
        <v>86</v>
      </c>
      <c r="AB104" s="18" t="str">
        <f t="shared" si="37"/>
        <v>Mencapai kompetensi dengan baik dalam hal</v>
      </c>
      <c r="AC104" s="23">
        <v>75</v>
      </c>
      <c r="AD104" s="18" t="str">
        <f t="shared" si="38"/>
        <v>Mencapai kompetensi dengan baik dalam hal</v>
      </c>
      <c r="AE104" s="23">
        <v>75</v>
      </c>
      <c r="AF104" s="18" t="str">
        <f t="shared" si="39"/>
        <v>Mencapai kompetensi dengan baik dalam hal</v>
      </c>
      <c r="AG104" s="23">
        <v>75</v>
      </c>
      <c r="AH104" s="18" t="str">
        <f t="shared" si="40"/>
        <v>Mencapai kompetensi dengan baik dalam hal</v>
      </c>
      <c r="AI104" s="23">
        <v>76</v>
      </c>
      <c r="AJ104" s="18" t="str">
        <f t="shared" si="41"/>
        <v>Mencapai kompetensi dengan baik dalam hal</v>
      </c>
      <c r="AK104" s="23">
        <v>75</v>
      </c>
      <c r="AL104" s="18" t="str">
        <f t="shared" si="42"/>
        <v>Mencapai kompetensi dengan baik dalam hal</v>
      </c>
      <c r="AM104" s="23">
        <v>74</v>
      </c>
      <c r="AN104" s="18" t="str">
        <f t="shared" si="43"/>
        <v>Perlu peningkatan dalam hal</v>
      </c>
      <c r="AO104" s="118">
        <f t="shared" si="25"/>
        <v>75</v>
      </c>
      <c r="AP104" s="23">
        <v>86</v>
      </c>
      <c r="AQ104" s="18" t="str">
        <f t="shared" si="44"/>
        <v>Mencapai kompetensi dengan baik dalam hal</v>
      </c>
      <c r="AR104" s="23">
        <v>76</v>
      </c>
      <c r="AS104" s="18" t="str">
        <f t="shared" si="45"/>
        <v>Mencapai kompetensi dengan baik dalam hal</v>
      </c>
      <c r="AT104" s="113" t="s">
        <v>81</v>
      </c>
      <c r="AU104" s="113" t="s">
        <v>81</v>
      </c>
      <c r="AV104" s="113">
        <v>2</v>
      </c>
      <c r="AW104" s="7">
        <v>1</v>
      </c>
      <c r="AX104" s="12" t="s">
        <v>82</v>
      </c>
      <c r="AY104" s="17" t="s">
        <v>83</v>
      </c>
      <c r="AZ104" s="12" t="s">
        <v>84</v>
      </c>
      <c r="BA104" s="15" t="str">
        <f t="shared" si="27"/>
        <v>Baik</v>
      </c>
      <c r="BB104" s="7">
        <v>2</v>
      </c>
      <c r="BC104" s="17" t="s">
        <v>170</v>
      </c>
      <c r="BD104" s="18" t="s">
        <v>83</v>
      </c>
      <c r="BE104" s="7" t="s">
        <v>84</v>
      </c>
      <c r="BF104" s="15" t="str">
        <f t="shared" si="28"/>
        <v>Baik</v>
      </c>
      <c r="BG104" s="7"/>
      <c r="BH104" s="7"/>
      <c r="BI104" s="7"/>
      <c r="BJ104" s="7"/>
      <c r="BK104" s="15"/>
    </row>
    <row r="105" spans="1:63" ht="24.95" customHeight="1" thickTop="1" thickBot="1" x14ac:dyDescent="0.3">
      <c r="A105" s="23">
        <v>104</v>
      </c>
      <c r="B105" s="23">
        <v>2525580</v>
      </c>
      <c r="C105" s="23" t="s">
        <v>1364</v>
      </c>
      <c r="D105" s="18" t="s">
        <v>1365</v>
      </c>
      <c r="E105" s="23" t="s">
        <v>1295</v>
      </c>
      <c r="F105" s="23" t="s">
        <v>1151</v>
      </c>
      <c r="G105" s="23" t="s">
        <v>1296</v>
      </c>
      <c r="H105" s="23" t="s">
        <v>1297</v>
      </c>
      <c r="I105" s="60" t="s">
        <v>76</v>
      </c>
      <c r="J105" s="61" t="s">
        <v>77</v>
      </c>
      <c r="K105" s="23">
        <v>80</v>
      </c>
      <c r="L105" s="18" t="str">
        <f t="shared" si="29"/>
        <v>Mencapai kompetensi dengan baik dalam hal</v>
      </c>
      <c r="M105" s="23">
        <v>76</v>
      </c>
      <c r="N105" s="18" t="str">
        <f t="shared" si="30"/>
        <v>Mencapai kompetensi dengan baik dalam hal</v>
      </c>
      <c r="O105" s="23">
        <v>79</v>
      </c>
      <c r="P105" s="18" t="str">
        <f t="shared" si="31"/>
        <v>Mencapai kompetensi dengan baik dalam hal</v>
      </c>
      <c r="Q105" s="23">
        <v>78</v>
      </c>
      <c r="R105" s="18" t="str">
        <f t="shared" si="32"/>
        <v>Mencapai kompetensi dengan baik dalam hal</v>
      </c>
      <c r="S105" s="23">
        <v>82</v>
      </c>
      <c r="T105" s="18" t="str">
        <f t="shared" si="33"/>
        <v>Mencapai kompetensi dengan baik dalam hal</v>
      </c>
      <c r="U105" s="23">
        <v>80</v>
      </c>
      <c r="V105" s="18" t="str">
        <f t="shared" si="34"/>
        <v>Mencapai kompetensi dengan baik dalam hal</v>
      </c>
      <c r="W105" s="23">
        <v>78</v>
      </c>
      <c r="X105" s="18" t="str">
        <f t="shared" si="35"/>
        <v>Mencapai kompetensi dengan baik dalam hal</v>
      </c>
      <c r="Y105" s="23">
        <v>78</v>
      </c>
      <c r="Z105" s="18" t="str">
        <f t="shared" si="36"/>
        <v>Mencapai kompetensi dengan baik dalam hal</v>
      </c>
      <c r="AA105" s="23">
        <v>81</v>
      </c>
      <c r="AB105" s="18" t="str">
        <f t="shared" si="37"/>
        <v>Mencapai kompetensi dengan baik dalam hal</v>
      </c>
      <c r="AC105" s="23">
        <v>75</v>
      </c>
      <c r="AD105" s="18" t="str">
        <f t="shared" si="38"/>
        <v>Mencapai kompetensi dengan baik dalam hal</v>
      </c>
      <c r="AE105" s="23">
        <v>75</v>
      </c>
      <c r="AF105" s="18" t="str">
        <f t="shared" si="39"/>
        <v>Mencapai kompetensi dengan baik dalam hal</v>
      </c>
      <c r="AG105" s="23">
        <v>75</v>
      </c>
      <c r="AH105" s="18" t="str">
        <f t="shared" si="40"/>
        <v>Mencapai kompetensi dengan baik dalam hal</v>
      </c>
      <c r="AI105" s="23">
        <v>75</v>
      </c>
      <c r="AJ105" s="18" t="str">
        <f t="shared" si="41"/>
        <v>Mencapai kompetensi dengan baik dalam hal</v>
      </c>
      <c r="AK105" s="23">
        <v>76</v>
      </c>
      <c r="AL105" s="18" t="str">
        <f t="shared" si="42"/>
        <v>Mencapai kompetensi dengan baik dalam hal</v>
      </c>
      <c r="AM105" s="23">
        <v>74</v>
      </c>
      <c r="AN105" s="18" t="str">
        <f t="shared" si="43"/>
        <v>Perlu peningkatan dalam hal</v>
      </c>
      <c r="AO105" s="118">
        <f t="shared" si="25"/>
        <v>75</v>
      </c>
      <c r="AP105" s="23">
        <v>81</v>
      </c>
      <c r="AQ105" s="18" t="str">
        <f t="shared" si="44"/>
        <v>Mencapai kompetensi dengan baik dalam hal</v>
      </c>
      <c r="AR105" s="23">
        <v>79</v>
      </c>
      <c r="AS105" s="18" t="str">
        <f t="shared" si="45"/>
        <v>Mencapai kompetensi dengan baik dalam hal</v>
      </c>
      <c r="AT105" s="113" t="s">
        <v>81</v>
      </c>
      <c r="AU105" s="113" t="s">
        <v>81</v>
      </c>
      <c r="AV105" s="113">
        <v>4</v>
      </c>
      <c r="AW105" s="7">
        <v>1</v>
      </c>
      <c r="AX105" s="12" t="s">
        <v>82</v>
      </c>
      <c r="AY105" s="17" t="s">
        <v>83</v>
      </c>
      <c r="AZ105" s="12" t="s">
        <v>84</v>
      </c>
      <c r="BA105" s="15" t="str">
        <f t="shared" si="27"/>
        <v>Baik</v>
      </c>
      <c r="BB105" s="7">
        <v>2</v>
      </c>
      <c r="BC105" s="17" t="s">
        <v>1073</v>
      </c>
      <c r="BD105" s="18" t="s">
        <v>83</v>
      </c>
      <c r="BE105" s="7" t="s">
        <v>86</v>
      </c>
      <c r="BF105" s="15" t="str">
        <f t="shared" si="28"/>
        <v>Sangat baik</v>
      </c>
      <c r="BG105" s="7"/>
      <c r="BH105" s="7"/>
      <c r="BI105" s="7"/>
      <c r="BJ105" s="7"/>
      <c r="BK105" s="15"/>
    </row>
    <row r="106" spans="1:63" s="130" customFormat="1" ht="24.95" customHeight="1" thickTop="1" x14ac:dyDescent="0.25">
      <c r="A106" s="120">
        <v>105</v>
      </c>
      <c r="B106" s="120">
        <v>2525581</v>
      </c>
      <c r="C106" s="120" t="s">
        <v>1366</v>
      </c>
      <c r="D106" s="121" t="s">
        <v>1367</v>
      </c>
      <c r="E106" s="120" t="s">
        <v>1295</v>
      </c>
      <c r="F106" s="120" t="s">
        <v>1151</v>
      </c>
      <c r="G106" s="120" t="s">
        <v>1296</v>
      </c>
      <c r="H106" s="120" t="s">
        <v>1297</v>
      </c>
      <c r="I106" s="122" t="s">
        <v>76</v>
      </c>
      <c r="J106" s="123" t="s">
        <v>77</v>
      </c>
      <c r="K106" s="120">
        <v>82</v>
      </c>
      <c r="L106" s="121" t="str">
        <f t="shared" si="29"/>
        <v>Mencapai kompetensi dengan baik dalam hal</v>
      </c>
      <c r="M106" s="120">
        <v>78</v>
      </c>
      <c r="N106" s="121" t="str">
        <f t="shared" si="30"/>
        <v>Mencapai kompetensi dengan baik dalam hal</v>
      </c>
      <c r="O106" s="120">
        <v>82</v>
      </c>
      <c r="P106" s="121" t="str">
        <f t="shared" si="31"/>
        <v>Mencapai kompetensi dengan baik dalam hal</v>
      </c>
      <c r="Q106" s="120">
        <v>79</v>
      </c>
      <c r="R106" s="121" t="str">
        <f t="shared" si="32"/>
        <v>Mencapai kompetensi dengan baik dalam hal</v>
      </c>
      <c r="S106" s="120">
        <v>83</v>
      </c>
      <c r="T106" s="121" t="str">
        <f t="shared" si="33"/>
        <v>Mencapai kompetensi dengan baik dalam hal</v>
      </c>
      <c r="U106" s="120">
        <v>82</v>
      </c>
      <c r="V106" s="121" t="str">
        <f t="shared" si="34"/>
        <v>Mencapai kompetensi dengan baik dalam hal</v>
      </c>
      <c r="W106" s="120">
        <v>80</v>
      </c>
      <c r="X106" s="121" t="str">
        <f t="shared" si="35"/>
        <v>Mencapai kompetensi dengan baik dalam hal</v>
      </c>
      <c r="Y106" s="120">
        <v>82</v>
      </c>
      <c r="Z106" s="121" t="str">
        <f t="shared" si="36"/>
        <v>Mencapai kompetensi dengan baik dalam hal</v>
      </c>
      <c r="AA106" s="120">
        <v>87</v>
      </c>
      <c r="AB106" s="121" t="str">
        <f t="shared" si="37"/>
        <v>Mencapai kompetensi dengan baik dalam hal</v>
      </c>
      <c r="AC106" s="120">
        <v>88</v>
      </c>
      <c r="AD106" s="121" t="str">
        <f t="shared" si="38"/>
        <v>Mencapai kompetensi dengan baik dalam hal</v>
      </c>
      <c r="AE106" s="120">
        <v>72</v>
      </c>
      <c r="AF106" s="121" t="str">
        <f t="shared" si="39"/>
        <v>Perlu peningkatan dalam hal</v>
      </c>
      <c r="AG106" s="120">
        <v>75</v>
      </c>
      <c r="AH106" s="121" t="str">
        <f t="shared" si="40"/>
        <v>Mencapai kompetensi dengan baik dalam hal</v>
      </c>
      <c r="AI106" s="120">
        <v>75</v>
      </c>
      <c r="AJ106" s="121" t="str">
        <f t="shared" si="41"/>
        <v>Mencapai kompetensi dengan baik dalam hal</v>
      </c>
      <c r="AK106" s="120">
        <v>76</v>
      </c>
      <c r="AL106" s="121" t="str">
        <f t="shared" si="42"/>
        <v>Mencapai kompetensi dengan baik dalam hal</v>
      </c>
      <c r="AM106" s="120">
        <v>76</v>
      </c>
      <c r="AN106" s="121" t="str">
        <f t="shared" si="43"/>
        <v>Mencapai kompetensi dengan baik dalam hal</v>
      </c>
      <c r="AO106" s="124">
        <f t="shared" si="25"/>
        <v>74.8</v>
      </c>
      <c r="AP106" s="120">
        <v>87</v>
      </c>
      <c r="AQ106" s="121" t="str">
        <f t="shared" si="44"/>
        <v>Mencapai kompetensi dengan baik dalam hal</v>
      </c>
      <c r="AR106" s="120">
        <v>80</v>
      </c>
      <c r="AS106" s="121" t="str">
        <f t="shared" si="45"/>
        <v>Mencapai kompetensi dengan baik dalam hal</v>
      </c>
      <c r="AT106" s="125">
        <v>1</v>
      </c>
      <c r="AU106" s="125">
        <v>2</v>
      </c>
      <c r="AV106" s="125" t="s">
        <v>81</v>
      </c>
      <c r="AW106" s="126">
        <v>1</v>
      </c>
      <c r="AX106" s="127" t="s">
        <v>82</v>
      </c>
      <c r="AY106" s="128" t="s">
        <v>83</v>
      </c>
      <c r="AZ106" s="127" t="s">
        <v>86</v>
      </c>
      <c r="BA106" s="129" t="str">
        <f t="shared" si="27"/>
        <v>Sangat baik</v>
      </c>
      <c r="BB106" s="126">
        <v>2</v>
      </c>
      <c r="BC106" s="128" t="s">
        <v>227</v>
      </c>
      <c r="BD106" s="121" t="s">
        <v>83</v>
      </c>
      <c r="BE106" s="126" t="s">
        <v>84</v>
      </c>
      <c r="BF106" s="129" t="str">
        <f t="shared" si="28"/>
        <v>Baik</v>
      </c>
      <c r="BG106" s="126">
        <v>3</v>
      </c>
      <c r="BH106" s="126" t="s">
        <v>87</v>
      </c>
      <c r="BI106" s="126" t="s">
        <v>83</v>
      </c>
      <c r="BJ106" s="126" t="s">
        <v>84</v>
      </c>
      <c r="BK106" s="129" t="str">
        <f>VLOOKUP(BJ106,grades4,2,TRUE)</f>
        <v>Baik</v>
      </c>
    </row>
    <row r="107" spans="1:63" ht="24.95" customHeight="1" x14ac:dyDescent="0.25">
      <c r="A107" s="23"/>
      <c r="B107" s="23"/>
      <c r="C107" s="23"/>
      <c r="D107" s="18"/>
      <c r="E107" s="23"/>
      <c r="F107" s="23"/>
      <c r="G107" s="23"/>
      <c r="H107" s="23"/>
      <c r="I107" s="60"/>
      <c r="J107" s="61"/>
      <c r="K107" s="23"/>
      <c r="L107" s="18"/>
      <c r="M107" s="23"/>
      <c r="N107" s="18"/>
      <c r="O107" s="23"/>
      <c r="P107" s="18"/>
      <c r="Q107" s="23"/>
      <c r="R107" s="18"/>
      <c r="S107" s="23"/>
      <c r="T107" s="18"/>
      <c r="U107" s="23"/>
      <c r="V107" s="18"/>
      <c r="W107" s="23"/>
      <c r="X107" s="18"/>
      <c r="Y107" s="23"/>
      <c r="Z107" s="18"/>
      <c r="AA107" s="23"/>
      <c r="AB107" s="18"/>
      <c r="AC107" s="23"/>
      <c r="AD107" s="18"/>
      <c r="AE107" s="23"/>
      <c r="AF107" s="18"/>
      <c r="AG107" s="23"/>
      <c r="AH107" s="18"/>
      <c r="AI107" s="23"/>
      <c r="AJ107" s="18"/>
      <c r="AK107" s="23"/>
      <c r="AL107" s="18"/>
      <c r="AM107" s="23"/>
      <c r="AN107" s="18"/>
      <c r="AO107" s="18"/>
      <c r="AP107" s="23"/>
      <c r="AQ107" s="18"/>
      <c r="AR107" s="23"/>
      <c r="AS107" s="18"/>
      <c r="AT107" s="113"/>
      <c r="AU107" s="113"/>
      <c r="AV107" s="113"/>
      <c r="AW107" s="23"/>
      <c r="AX107" s="23"/>
      <c r="AY107" s="18"/>
      <c r="AZ107" s="23"/>
      <c r="BA107" s="18"/>
      <c r="BB107" s="23"/>
      <c r="BC107" s="18"/>
      <c r="BD107" s="18"/>
      <c r="BE107" s="23"/>
      <c r="BF107" s="18"/>
      <c r="BG107" s="23"/>
      <c r="BH107" s="23"/>
      <c r="BI107" s="23"/>
      <c r="BJ107" s="23"/>
      <c r="BK107" s="23"/>
    </row>
    <row r="108" spans="1:63" ht="24.95" customHeight="1" thickBot="1" x14ac:dyDescent="0.3">
      <c r="A108" s="38"/>
      <c r="B108" s="38"/>
      <c r="C108" s="38"/>
      <c r="D108" s="46"/>
      <c r="E108" s="38"/>
      <c r="F108" s="38"/>
      <c r="G108" s="38"/>
      <c r="H108" s="38"/>
      <c r="I108" s="63"/>
      <c r="J108" s="44"/>
      <c r="K108" s="38"/>
      <c r="L108" s="18"/>
      <c r="M108" s="38"/>
      <c r="N108" s="18"/>
      <c r="O108" s="38"/>
      <c r="P108" s="18"/>
      <c r="Q108" s="38"/>
      <c r="R108" s="18"/>
      <c r="S108" s="38"/>
      <c r="T108" s="18"/>
      <c r="U108" s="38"/>
      <c r="V108" s="18"/>
      <c r="W108" s="38"/>
      <c r="X108" s="18"/>
      <c r="Y108" s="38"/>
      <c r="Z108" s="18"/>
      <c r="AA108" s="38"/>
      <c r="AB108" s="18"/>
      <c r="AC108" s="38"/>
      <c r="AD108" s="18"/>
      <c r="AE108" s="38"/>
      <c r="AF108" s="18"/>
      <c r="AG108" s="38"/>
      <c r="AH108" s="18"/>
      <c r="AI108" s="38"/>
      <c r="AJ108" s="18"/>
      <c r="AK108" s="38"/>
      <c r="AL108" s="18"/>
      <c r="AM108" s="38"/>
      <c r="AN108" s="18"/>
      <c r="AO108" s="132"/>
      <c r="AP108" s="38"/>
      <c r="AQ108" s="18"/>
      <c r="AR108" s="38"/>
      <c r="AS108" s="18"/>
      <c r="AT108" s="47"/>
      <c r="AU108" s="47"/>
      <c r="AV108" s="47"/>
      <c r="AW108" s="38"/>
      <c r="AX108" s="38"/>
      <c r="AY108" s="46"/>
      <c r="AZ108" s="38"/>
      <c r="BA108" s="18"/>
      <c r="BB108" s="38"/>
      <c r="BC108" s="46"/>
      <c r="BD108" s="46"/>
      <c r="BE108" s="38"/>
      <c r="BF108" s="18"/>
      <c r="BG108" s="38"/>
      <c r="BH108" s="38"/>
      <c r="BI108" s="38"/>
      <c r="BJ108" s="38"/>
      <c r="BK108" s="38"/>
    </row>
    <row r="109" spans="1:63" ht="15.75" thickTop="1" x14ac:dyDescent="0.25"/>
  </sheetData>
  <conditionalFormatting sqref="AS2:AS108 BA3:BA108 BF3:BF108 L2:L108 N2:N108 P2:P108 R2:R108 T2:T108 V2:V108 X2:X108 Z2:Z108 AB2:AB108 AD2:AD108 AF2:AF108 AH2:AH108 AJ2:AJ108 AL2:AL108 AQ2:AQ108 AN2:AO108">
    <cfRule type="cellIs" dxfId="36" priority="8" operator="lessThan">
      <formula>70</formula>
    </cfRule>
  </conditionalFormatting>
  <conditionalFormatting sqref="L2:L108 N2:N108 P2:P108 R2:R108 T2:T108 V2:V108 X2:X108 Z2:Z108 AB2:AB108 AD2:AD108 AF2:AF108 AH2:AH108 AJ2:AJ108 AL2:AL108 AQ2:AQ108 AN2:AO108">
    <cfRule type="cellIs" dxfId="35" priority="7" operator="lessThan">
      <formula>75</formula>
    </cfRule>
  </conditionalFormatting>
  <conditionalFormatting sqref="BA2:BA106 BF2:BF106">
    <cfRule type="cellIs" dxfId="34" priority="6" operator="lessThan">
      <formula>70</formula>
    </cfRule>
  </conditionalFormatting>
  <conditionalFormatting sqref="AZ2:AZ106">
    <cfRule type="cellIs" dxfId="33" priority="3" operator="lessThan">
      <formula>70</formula>
    </cfRule>
  </conditionalFormatting>
  <conditionalFormatting sqref="AZ2:AZ106">
    <cfRule type="cellIs" dxfId="32" priority="2" operator="lessThan">
      <formula>75</formula>
    </cfRule>
  </conditionalFormatting>
  <conditionalFormatting sqref="AX2:AX106">
    <cfRule type="cellIs" dxfId="31" priority="5" operator="lessThan">
      <formula>70</formula>
    </cfRule>
  </conditionalFormatting>
  <conditionalFormatting sqref="AX2:AX106">
    <cfRule type="cellIs" dxfId="30" priority="4" operator="lessThan">
      <formula>75</formula>
    </cfRule>
  </conditionalFormatting>
  <conditionalFormatting sqref="BK2:BK106">
    <cfRule type="cellIs" dxfId="29" priority="1" operator="lessThan">
      <formula>70</formula>
    </cfRule>
  </conditionalFormatting>
  <printOptions horizontalCentered="1"/>
  <pageMargins left="0.19685039370078741" right="0.19685039370078741" top="0.39370078740157483" bottom="0.39370078740157483" header="0.31496062992125984" footer="0.31496062992125984"/>
  <pageSetup paperSize="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74"/>
  <sheetViews>
    <sheetView zoomScale="85" zoomScaleNormal="85" workbookViewId="0">
      <pane xSplit="10" ySplit="1" topLeftCell="K2" activePane="bottomRight" state="frozen"/>
      <selection pane="topRight" activeCell="K1" sqref="K1"/>
      <selection pane="bottomLeft" activeCell="A2" sqref="A2"/>
      <selection pane="bottomRight" activeCell="G7" sqref="G7"/>
    </sheetView>
  </sheetViews>
  <sheetFormatPr defaultColWidth="9.140625" defaultRowHeight="15" x14ac:dyDescent="0.25"/>
  <cols>
    <col min="1" max="1" width="4.85546875" style="22" bestFit="1" customWidth="1"/>
    <col min="2" max="2" width="8.140625" style="22" bestFit="1" customWidth="1"/>
    <col min="3" max="3" width="11.28515625" style="22" bestFit="1" customWidth="1"/>
    <col min="4" max="4" width="34.42578125" style="65" customWidth="1"/>
    <col min="5" max="5" width="7.140625" style="22" bestFit="1" customWidth="1"/>
    <col min="6" max="6" width="26" style="22" customWidth="1"/>
    <col min="7" max="7" width="24.28515625" style="19" customWidth="1"/>
    <col min="8" max="8" width="19.5703125" style="19" bestFit="1" customWidth="1"/>
    <col min="9" max="9" width="7" style="22" bestFit="1" customWidth="1"/>
    <col min="10" max="10" width="11.7109375" style="19" bestFit="1" customWidth="1"/>
    <col min="11" max="11" width="7.5703125" style="19" bestFit="1" customWidth="1"/>
    <col min="12" max="12" width="11.7109375" style="19" hidden="1" customWidth="1"/>
    <col min="13" max="13" width="6.42578125" style="22" customWidth="1"/>
    <col min="14" max="14" width="36.85546875" style="22" hidden="1" customWidth="1"/>
    <col min="15" max="15" width="6.42578125" style="22" customWidth="1"/>
    <col min="16" max="16" width="28" style="22" hidden="1" customWidth="1"/>
    <col min="17" max="17" width="8.28515625" style="22" customWidth="1"/>
    <col min="18" max="18" width="28" style="22" hidden="1" customWidth="1"/>
    <col min="19" max="19" width="9.140625" style="22"/>
    <col min="20" max="20" width="28" style="22" hidden="1" customWidth="1"/>
    <col min="21" max="21" width="9.140625" style="22"/>
    <col min="22" max="22" width="28" style="22" hidden="1" customWidth="1"/>
    <col min="23" max="23" width="7.5703125" style="22" customWidth="1"/>
    <col min="24" max="24" width="28" style="22" hidden="1" customWidth="1"/>
    <col min="25" max="25" width="7.140625" style="22" customWidth="1"/>
    <col min="26" max="26" width="28" style="22" hidden="1" customWidth="1"/>
    <col min="27" max="27" width="9.140625" style="22"/>
    <col min="28" max="28" width="28" style="22" hidden="1" customWidth="1"/>
    <col min="29" max="29" width="9.140625" style="22"/>
    <col min="30" max="30" width="28" style="22" hidden="1" customWidth="1"/>
    <col min="31" max="31" width="9.140625" style="22"/>
    <col min="32" max="32" width="28" style="22" hidden="1" customWidth="1"/>
    <col min="33" max="33" width="0" style="22" hidden="1" customWidth="1"/>
    <col min="34" max="34" width="28" style="22" hidden="1" customWidth="1"/>
    <col min="35" max="35" width="0" style="22" hidden="1" customWidth="1"/>
    <col min="36" max="36" width="28" style="22" hidden="1" customWidth="1"/>
    <col min="37" max="37" width="0" style="22" hidden="1" customWidth="1"/>
    <col min="38" max="38" width="28" style="22" hidden="1" customWidth="1"/>
    <col min="39" max="39" width="0" style="22" hidden="1" customWidth="1"/>
    <col min="40" max="40" width="36.85546875" style="22" hidden="1" customWidth="1"/>
    <col min="41" max="41" width="12.42578125" style="22" bestFit="1" customWidth="1"/>
    <col min="42" max="42" width="9.140625" style="22"/>
    <col min="43" max="43" width="36.85546875" style="22" hidden="1" customWidth="1"/>
    <col min="44" max="44" width="9.140625" style="22"/>
    <col min="45" max="45" width="28" style="22" hidden="1" customWidth="1"/>
    <col min="46" max="48" width="5.42578125" style="19" customWidth="1"/>
    <col min="49" max="49" width="3.140625" style="19" bestFit="1" customWidth="1"/>
    <col min="50" max="50" width="9" style="19" bestFit="1" customWidth="1"/>
    <col min="51" max="51" width="19.28515625" style="19" hidden="1" customWidth="1"/>
    <col min="52" max="52" width="4.28515625" style="22" bestFit="1" customWidth="1"/>
    <col min="53" max="53" width="11.85546875" style="19" customWidth="1"/>
    <col min="54" max="54" width="3.140625" style="19" bestFit="1" customWidth="1"/>
    <col min="55" max="55" width="22.42578125" style="19" bestFit="1" customWidth="1"/>
    <col min="56" max="56" width="19.28515625" style="19" hidden="1" customWidth="1"/>
    <col min="57" max="57" width="4.28515625" style="22" bestFit="1" customWidth="1"/>
    <col min="58" max="58" width="11.85546875" style="19" customWidth="1"/>
    <col min="59" max="59" width="3.140625" style="19" bestFit="1" customWidth="1"/>
    <col min="60" max="60" width="13.7109375" style="19" bestFit="1" customWidth="1"/>
    <col min="61" max="61" width="11.85546875" style="19" hidden="1" customWidth="1"/>
    <col min="62" max="62" width="4.28515625" style="19" bestFit="1" customWidth="1"/>
    <col min="63" max="65" width="9.140625" style="19"/>
    <col min="66" max="66" width="31.5703125" style="19" bestFit="1" customWidth="1"/>
    <col min="67" max="68" width="10.140625" style="19" customWidth="1"/>
    <col min="69" max="69" width="29.5703125" style="19" bestFit="1" customWidth="1"/>
    <col min="70" max="70" width="10.140625" style="19" customWidth="1"/>
    <col min="71" max="72" width="9.140625" style="19"/>
    <col min="73" max="73" width="31.7109375" style="19" bestFit="1" customWidth="1"/>
    <col min="74" max="16384" width="9.140625" style="19"/>
  </cols>
  <sheetData>
    <row r="1" spans="1:73" s="6" customFormat="1" ht="36" customHeight="1" thickTop="1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836</v>
      </c>
      <c r="AH1" s="2" t="s">
        <v>837</v>
      </c>
      <c r="AI1" s="2" t="s">
        <v>1368</v>
      </c>
      <c r="AJ1" s="2" t="s">
        <v>1369</v>
      </c>
      <c r="AK1" s="2" t="s">
        <v>1370</v>
      </c>
      <c r="AL1" s="2" t="s">
        <v>1371</v>
      </c>
      <c r="AM1" s="2" t="s">
        <v>1372</v>
      </c>
      <c r="AN1" s="2" t="s">
        <v>1373</v>
      </c>
      <c r="AO1" s="2" t="s">
        <v>1374</v>
      </c>
      <c r="AP1" s="2" t="s">
        <v>43</v>
      </c>
      <c r="AQ1" s="2" t="s">
        <v>1375</v>
      </c>
      <c r="AR1" s="2" t="s">
        <v>45</v>
      </c>
      <c r="AS1" s="2" t="s">
        <v>46</v>
      </c>
      <c r="AT1" s="2" t="s">
        <v>50</v>
      </c>
      <c r="AU1" s="2" t="s">
        <v>51</v>
      </c>
      <c r="AV1" s="2" t="s">
        <v>52</v>
      </c>
      <c r="AW1" s="2" t="s">
        <v>53</v>
      </c>
      <c r="AX1" s="2" t="s">
        <v>54</v>
      </c>
      <c r="AY1" s="2" t="s">
        <v>55</v>
      </c>
      <c r="AZ1" s="2" t="s">
        <v>56</v>
      </c>
      <c r="BA1" s="2" t="s">
        <v>57</v>
      </c>
      <c r="BB1" s="2" t="s">
        <v>58</v>
      </c>
      <c r="BC1" s="2" t="s">
        <v>59</v>
      </c>
      <c r="BD1" s="2" t="s">
        <v>60</v>
      </c>
      <c r="BE1" s="2" t="s">
        <v>61</v>
      </c>
      <c r="BF1" s="2" t="s">
        <v>62</v>
      </c>
      <c r="BG1" s="2" t="s">
        <v>63</v>
      </c>
      <c r="BH1" s="2" t="s">
        <v>64</v>
      </c>
      <c r="BI1" s="2" t="s">
        <v>65</v>
      </c>
      <c r="BJ1" s="2" t="s">
        <v>66</v>
      </c>
      <c r="BK1" s="2" t="s">
        <v>67</v>
      </c>
      <c r="BM1" s="6" t="s">
        <v>68</v>
      </c>
      <c r="BP1" s="6" t="s">
        <v>1376</v>
      </c>
      <c r="BT1" s="6" t="s">
        <v>1377</v>
      </c>
    </row>
    <row r="2" spans="1:73" ht="38.25" customHeight="1" thickTop="1" thickBot="1" x14ac:dyDescent="0.3">
      <c r="A2" s="7">
        <v>1</v>
      </c>
      <c r="B2" s="7">
        <v>2525978</v>
      </c>
      <c r="C2" s="7" t="s">
        <v>1378</v>
      </c>
      <c r="D2" s="133" t="s">
        <v>1379</v>
      </c>
      <c r="E2" s="7" t="s">
        <v>1380</v>
      </c>
      <c r="F2" s="133" t="s">
        <v>1381</v>
      </c>
      <c r="G2" s="8" t="s">
        <v>1382</v>
      </c>
      <c r="H2" s="8" t="s">
        <v>1383</v>
      </c>
      <c r="I2" s="10" t="s">
        <v>76</v>
      </c>
      <c r="J2" s="11" t="s">
        <v>77</v>
      </c>
      <c r="K2" s="11" t="s">
        <v>78</v>
      </c>
      <c r="L2" s="11" t="s">
        <v>79</v>
      </c>
      <c r="M2" s="7">
        <v>81</v>
      </c>
      <c r="N2" s="17" t="str">
        <f t="shared" ref="N2:N73" si="0">VLOOKUP(M2,grades1,2,TRUE)</f>
        <v>Mencapai kompetensi dengan baik dalam hal</v>
      </c>
      <c r="O2" s="7">
        <v>77</v>
      </c>
      <c r="P2" s="17" t="str">
        <f t="shared" ref="P2:P73" si="1">VLOOKUP(O2,grades1,2,TRUE)</f>
        <v>Mencapai kompetensi dengan baik dalam hal</v>
      </c>
      <c r="Q2" s="7">
        <v>80</v>
      </c>
      <c r="R2" s="17" t="str">
        <f t="shared" ref="R2:R73" si="2">VLOOKUP(Q2,grades1,2,TRUE)</f>
        <v>Mencapai kompetensi dengan baik dalam hal</v>
      </c>
      <c r="S2" s="7">
        <v>85</v>
      </c>
      <c r="T2" s="17" t="str">
        <f t="shared" ref="T2:T73" si="3">VLOOKUP(S2,grades1,2,TRUE)</f>
        <v>Mencapai kompetensi dengan baik dalam hal</v>
      </c>
      <c r="U2" s="7">
        <v>85</v>
      </c>
      <c r="V2" s="17" t="str">
        <f t="shared" ref="V2:V73" si="4">VLOOKUP(U2,grades1,2,TRUE)</f>
        <v>Mencapai kompetensi dengan baik dalam hal</v>
      </c>
      <c r="W2" s="7">
        <v>78</v>
      </c>
      <c r="X2" s="17" t="str">
        <f t="shared" ref="X2:X73" si="5">VLOOKUP(W2,grades1,2,TRUE)</f>
        <v>Mencapai kompetensi dengan baik dalam hal</v>
      </c>
      <c r="Y2" s="7">
        <v>79</v>
      </c>
      <c r="Z2" s="17" t="str">
        <f t="shared" ref="Z2:Z73" si="6">VLOOKUP(Y2,grades1,2,TRUE)</f>
        <v>Mencapai kompetensi dengan baik dalam hal</v>
      </c>
      <c r="AA2" s="7">
        <v>80</v>
      </c>
      <c r="AB2" s="17" t="str">
        <f>VLOOKUP(AA2,grades1,2,TRUE)</f>
        <v>Mencapai kompetensi dengan baik dalam hal</v>
      </c>
      <c r="AC2" s="7">
        <v>82</v>
      </c>
      <c r="AD2" s="17" t="str">
        <f t="shared" ref="AD2:AD73" si="7">VLOOKUP(AC2,grades1,2,TRUE)</f>
        <v>Mencapai kompetensi dengan baik dalam hal</v>
      </c>
      <c r="AE2" s="7">
        <v>81</v>
      </c>
      <c r="AF2" s="17" t="str">
        <f t="shared" ref="AF2:AF73" si="8">VLOOKUP(AE2,grades1,2,TRUE)</f>
        <v>Mencapai kompetensi dengan baik dalam hal</v>
      </c>
      <c r="AG2" s="7">
        <v>79</v>
      </c>
      <c r="AH2" s="17" t="str">
        <f t="shared" ref="AH2:AH65" si="9">VLOOKUP(AG2,grades2,2,TRUE)</f>
        <v>Mencapai kompetensi dengan baik dalam hal</v>
      </c>
      <c r="AI2" s="7">
        <v>80</v>
      </c>
      <c r="AJ2" s="17" t="str">
        <f t="shared" ref="AJ2:AJ65" si="10">VLOOKUP(AI2,grades2,2,TRUE)</f>
        <v>Mencapai kompetensi dengan baik dalam hal</v>
      </c>
      <c r="AK2" s="7">
        <v>78</v>
      </c>
      <c r="AL2" s="17" t="str">
        <f t="shared" ref="AL2:AL65" si="11">VLOOKUP(AK2,grades2,2,TRUE)</f>
        <v>Mencapai kompetensi dengan baik dalam hal</v>
      </c>
      <c r="AM2" s="7">
        <v>81</v>
      </c>
      <c r="AN2" s="17" t="str">
        <f t="shared" ref="AN2:AN65" si="12">VLOOKUP(AM2,grades2,2,TRUE)</f>
        <v>Mencapai kompetensi dengan baik dalam hal</v>
      </c>
      <c r="AO2" s="59">
        <f>AVERAGE(AM2,AK2,AI2,AG2)</f>
        <v>79.5</v>
      </c>
      <c r="AP2" s="7">
        <v>82</v>
      </c>
      <c r="AQ2" s="17" t="str">
        <f t="shared" ref="AQ2:AQ65" si="13">VLOOKUP(AP2,grades2,2,TRUE)</f>
        <v>Mencapai kompetensi dengan baik dalam hal</v>
      </c>
      <c r="AR2" s="7">
        <v>79</v>
      </c>
      <c r="AS2" s="17" t="str">
        <f t="shared" ref="AS2:AS73" si="14">VLOOKUP(AR2,grades1,2,TRUE)</f>
        <v>Mencapai kompetensi dengan baik dalam hal</v>
      </c>
      <c r="AT2" s="16">
        <v>1</v>
      </c>
      <c r="AU2" s="16" t="s">
        <v>81</v>
      </c>
      <c r="AV2" s="16" t="s">
        <v>81</v>
      </c>
      <c r="AW2" s="7">
        <v>1</v>
      </c>
      <c r="AX2" s="7" t="s">
        <v>82</v>
      </c>
      <c r="AY2" s="17" t="s">
        <v>83</v>
      </c>
      <c r="AZ2" s="7" t="s">
        <v>86</v>
      </c>
      <c r="BA2" s="17" t="str">
        <f t="shared" ref="BA2:BA33" si="15">VLOOKUP(AZ2,grades4,2,TRUE)</f>
        <v>Sangat baik</v>
      </c>
      <c r="BB2" s="7">
        <v>2</v>
      </c>
      <c r="BC2" s="17" t="s">
        <v>85</v>
      </c>
      <c r="BD2" s="17" t="s">
        <v>83</v>
      </c>
      <c r="BE2" s="7" t="s">
        <v>84</v>
      </c>
      <c r="BF2" s="17" t="str">
        <f t="shared" ref="BF2:BF24" si="16">VLOOKUP(BE2,grades4,2,TRUE)</f>
        <v>Baik</v>
      </c>
      <c r="BG2" s="7">
        <v>3</v>
      </c>
      <c r="BH2" s="7" t="s">
        <v>87</v>
      </c>
      <c r="BI2" s="7" t="s">
        <v>83</v>
      </c>
      <c r="BJ2" s="7" t="s">
        <v>84</v>
      </c>
      <c r="BK2" s="17" t="str">
        <f>VLOOKUP(BJ2,grades4,2,TRUE)</f>
        <v>Baik</v>
      </c>
      <c r="BM2" s="20" t="s">
        <v>88</v>
      </c>
      <c r="BN2" s="20" t="s">
        <v>89</v>
      </c>
      <c r="BO2" s="134"/>
      <c r="BP2" s="20" t="s">
        <v>88</v>
      </c>
      <c r="BQ2" s="20" t="s">
        <v>89</v>
      </c>
      <c r="BR2" s="134"/>
      <c r="BT2" s="20" t="s">
        <v>88</v>
      </c>
      <c r="BU2" s="20" t="s">
        <v>89</v>
      </c>
    </row>
    <row r="3" spans="1:73" ht="38.25" customHeight="1" thickTop="1" thickBot="1" x14ac:dyDescent="0.3">
      <c r="A3" s="23">
        <v>2</v>
      </c>
      <c r="B3" s="23">
        <v>2525979</v>
      </c>
      <c r="C3" s="23" t="s">
        <v>1384</v>
      </c>
      <c r="D3" s="135" t="s">
        <v>1385</v>
      </c>
      <c r="E3" s="23" t="s">
        <v>1380</v>
      </c>
      <c r="F3" s="135" t="s">
        <v>1381</v>
      </c>
      <c r="G3" s="24" t="s">
        <v>1382</v>
      </c>
      <c r="H3" s="24" t="s">
        <v>1383</v>
      </c>
      <c r="I3" s="60" t="s">
        <v>76</v>
      </c>
      <c r="J3" s="61" t="s">
        <v>77</v>
      </c>
      <c r="K3" s="61" t="s">
        <v>78</v>
      </c>
      <c r="L3" s="61" t="s">
        <v>79</v>
      </c>
      <c r="M3" s="23">
        <v>80</v>
      </c>
      <c r="N3" s="18" t="str">
        <f t="shared" si="0"/>
        <v>Mencapai kompetensi dengan baik dalam hal</v>
      </c>
      <c r="O3" s="23">
        <v>79</v>
      </c>
      <c r="P3" s="18" t="str">
        <f t="shared" si="1"/>
        <v>Mencapai kompetensi dengan baik dalam hal</v>
      </c>
      <c r="Q3" s="23">
        <v>83</v>
      </c>
      <c r="R3" s="18" t="str">
        <f t="shared" si="2"/>
        <v>Mencapai kompetensi dengan baik dalam hal</v>
      </c>
      <c r="S3" s="23">
        <v>84</v>
      </c>
      <c r="T3" s="18" t="str">
        <f t="shared" si="3"/>
        <v>Mencapai kompetensi dengan baik dalam hal</v>
      </c>
      <c r="U3" s="23">
        <v>83</v>
      </c>
      <c r="V3" s="18" t="str">
        <f t="shared" si="4"/>
        <v>Mencapai kompetensi dengan baik dalam hal</v>
      </c>
      <c r="W3" s="23">
        <v>79</v>
      </c>
      <c r="X3" s="18" t="str">
        <f t="shared" si="5"/>
        <v>Mencapai kompetensi dengan baik dalam hal</v>
      </c>
      <c r="Y3" s="23">
        <v>79</v>
      </c>
      <c r="Z3" s="18" t="str">
        <f t="shared" si="6"/>
        <v>Mencapai kompetensi dengan baik dalam hal</v>
      </c>
      <c r="AA3" s="23">
        <v>80</v>
      </c>
      <c r="AB3" s="18" t="str">
        <f t="shared" ref="AB3:AB73" si="17">VLOOKUP(AA3,grades1,2,TRUE)</f>
        <v>Mencapai kompetensi dengan baik dalam hal</v>
      </c>
      <c r="AC3" s="23">
        <v>83</v>
      </c>
      <c r="AD3" s="18" t="str">
        <f t="shared" si="7"/>
        <v>Mencapai kompetensi dengan baik dalam hal</v>
      </c>
      <c r="AE3" s="23">
        <v>83</v>
      </c>
      <c r="AF3" s="18" t="str">
        <f t="shared" si="8"/>
        <v>Mencapai kompetensi dengan baik dalam hal</v>
      </c>
      <c r="AG3" s="23">
        <v>79</v>
      </c>
      <c r="AH3" s="18" t="str">
        <f t="shared" si="9"/>
        <v>Mencapai kompetensi dengan baik dalam hal</v>
      </c>
      <c r="AI3" s="23">
        <v>85</v>
      </c>
      <c r="AJ3" s="18" t="str">
        <f t="shared" si="10"/>
        <v>Mencapai kompetensi dengan baik dalam hal</v>
      </c>
      <c r="AK3" s="23">
        <v>84</v>
      </c>
      <c r="AL3" s="18" t="str">
        <f t="shared" si="11"/>
        <v>Mencapai kompetensi dengan baik dalam hal</v>
      </c>
      <c r="AM3" s="23">
        <v>83</v>
      </c>
      <c r="AN3" s="18" t="str">
        <f t="shared" si="12"/>
        <v>Mencapai kompetensi dengan baik dalam hal</v>
      </c>
      <c r="AO3" s="62">
        <f t="shared" ref="AO3:AO66" si="18">AVERAGE(AM3,AK3,AI3,AG3)</f>
        <v>82.75</v>
      </c>
      <c r="AP3" s="23">
        <v>83</v>
      </c>
      <c r="AQ3" s="18" t="str">
        <f t="shared" si="13"/>
        <v>Mencapai kompetensi dengan baik dalam hal</v>
      </c>
      <c r="AR3" s="23">
        <v>80</v>
      </c>
      <c r="AS3" s="18" t="str">
        <f t="shared" si="14"/>
        <v>Mencapai kompetensi dengan baik dalam hal</v>
      </c>
      <c r="AT3" s="113">
        <v>1</v>
      </c>
      <c r="AU3" s="113" t="s">
        <v>81</v>
      </c>
      <c r="AV3" s="113" t="s">
        <v>81</v>
      </c>
      <c r="AW3" s="23">
        <v>1</v>
      </c>
      <c r="AX3" s="23" t="s">
        <v>82</v>
      </c>
      <c r="AY3" s="18" t="s">
        <v>83</v>
      </c>
      <c r="AZ3" s="23" t="s">
        <v>86</v>
      </c>
      <c r="BA3" s="18" t="str">
        <f t="shared" si="15"/>
        <v>Sangat baik</v>
      </c>
      <c r="BB3" s="23">
        <v>2</v>
      </c>
      <c r="BC3" s="18" t="s">
        <v>134</v>
      </c>
      <c r="BD3" s="18" t="s">
        <v>83</v>
      </c>
      <c r="BE3" s="23" t="s">
        <v>84</v>
      </c>
      <c r="BF3" s="18" t="str">
        <f t="shared" si="16"/>
        <v>Baik</v>
      </c>
      <c r="BG3" s="23"/>
      <c r="BH3" s="23"/>
      <c r="BI3" s="23"/>
      <c r="BJ3" s="23"/>
      <c r="BK3" s="18"/>
      <c r="BM3" s="20">
        <v>0</v>
      </c>
      <c r="BN3" s="25" t="s">
        <v>95</v>
      </c>
      <c r="BO3" s="136"/>
      <c r="BP3" s="20">
        <v>0</v>
      </c>
      <c r="BQ3" s="25" t="s">
        <v>95</v>
      </c>
      <c r="BR3" s="136" t="s">
        <v>95</v>
      </c>
      <c r="BT3" s="20" t="s">
        <v>86</v>
      </c>
      <c r="BU3" s="25" t="s">
        <v>96</v>
      </c>
    </row>
    <row r="4" spans="1:73" ht="38.25" customHeight="1" thickTop="1" thickBot="1" x14ac:dyDescent="0.3">
      <c r="A4" s="23">
        <v>3</v>
      </c>
      <c r="B4" s="23">
        <v>2525980</v>
      </c>
      <c r="C4" s="23" t="s">
        <v>1386</v>
      </c>
      <c r="D4" s="135" t="s">
        <v>1387</v>
      </c>
      <c r="E4" s="23" t="s">
        <v>1380</v>
      </c>
      <c r="F4" s="135" t="s">
        <v>1381</v>
      </c>
      <c r="G4" s="24" t="s">
        <v>1382</v>
      </c>
      <c r="H4" s="24" t="s">
        <v>1383</v>
      </c>
      <c r="I4" s="60" t="s">
        <v>76</v>
      </c>
      <c r="J4" s="61" t="s">
        <v>77</v>
      </c>
      <c r="K4" s="61" t="s">
        <v>78</v>
      </c>
      <c r="L4" s="61" t="s">
        <v>79</v>
      </c>
      <c r="M4" s="23">
        <v>79</v>
      </c>
      <c r="N4" s="18" t="str">
        <f t="shared" si="0"/>
        <v>Mencapai kompetensi dengan baik dalam hal</v>
      </c>
      <c r="O4" s="23">
        <v>76</v>
      </c>
      <c r="P4" s="18" t="str">
        <f t="shared" si="1"/>
        <v>Mencapai kompetensi dengan baik dalam hal</v>
      </c>
      <c r="Q4" s="23">
        <v>80</v>
      </c>
      <c r="R4" s="18" t="str">
        <f t="shared" si="2"/>
        <v>Mencapai kompetensi dengan baik dalam hal</v>
      </c>
      <c r="S4" s="23">
        <v>80</v>
      </c>
      <c r="T4" s="18" t="str">
        <f t="shared" si="3"/>
        <v>Mencapai kompetensi dengan baik dalam hal</v>
      </c>
      <c r="U4" s="23">
        <v>76</v>
      </c>
      <c r="V4" s="18" t="str">
        <f t="shared" si="4"/>
        <v>Mencapai kompetensi dengan baik dalam hal</v>
      </c>
      <c r="W4" s="23">
        <v>77</v>
      </c>
      <c r="X4" s="18" t="str">
        <f t="shared" si="5"/>
        <v>Mencapai kompetensi dengan baik dalam hal</v>
      </c>
      <c r="Y4" s="23">
        <v>75</v>
      </c>
      <c r="Z4" s="18" t="str">
        <f t="shared" si="6"/>
        <v>Mencapai kompetensi dengan baik dalam hal</v>
      </c>
      <c r="AA4" s="23">
        <v>78</v>
      </c>
      <c r="AB4" s="18" t="str">
        <f t="shared" si="17"/>
        <v>Mencapai kompetensi dengan baik dalam hal</v>
      </c>
      <c r="AC4" s="23">
        <v>83</v>
      </c>
      <c r="AD4" s="18" t="str">
        <f t="shared" si="7"/>
        <v>Mencapai kompetensi dengan baik dalam hal</v>
      </c>
      <c r="AE4" s="23">
        <v>79</v>
      </c>
      <c r="AF4" s="18" t="str">
        <f t="shared" si="8"/>
        <v>Mencapai kompetensi dengan baik dalam hal</v>
      </c>
      <c r="AG4" s="23">
        <v>79</v>
      </c>
      <c r="AH4" s="18" t="str">
        <f t="shared" si="9"/>
        <v>Mencapai kompetensi dengan baik dalam hal</v>
      </c>
      <c r="AI4" s="23">
        <v>80</v>
      </c>
      <c r="AJ4" s="18" t="str">
        <f t="shared" si="10"/>
        <v>Mencapai kompetensi dengan baik dalam hal</v>
      </c>
      <c r="AK4" s="23">
        <v>82</v>
      </c>
      <c r="AL4" s="18" t="str">
        <f t="shared" si="11"/>
        <v>Mencapai kompetensi dengan baik dalam hal</v>
      </c>
      <c r="AM4" s="23">
        <v>81</v>
      </c>
      <c r="AN4" s="18" t="str">
        <f t="shared" si="12"/>
        <v>Mencapai kompetensi dengan baik dalam hal</v>
      </c>
      <c r="AO4" s="62">
        <f t="shared" si="18"/>
        <v>80.5</v>
      </c>
      <c r="AP4" s="23">
        <v>83</v>
      </c>
      <c r="AQ4" s="18" t="str">
        <f t="shared" si="13"/>
        <v>Mencapai kompetensi dengan baik dalam hal</v>
      </c>
      <c r="AR4" s="23">
        <v>76</v>
      </c>
      <c r="AS4" s="18" t="str">
        <f t="shared" si="14"/>
        <v>Mencapai kompetensi dengan baik dalam hal</v>
      </c>
      <c r="AT4" s="113">
        <v>6</v>
      </c>
      <c r="AU4" s="113" t="s">
        <v>81</v>
      </c>
      <c r="AV4" s="113" t="s">
        <v>81</v>
      </c>
      <c r="AW4" s="23">
        <v>1</v>
      </c>
      <c r="AX4" s="23" t="s">
        <v>82</v>
      </c>
      <c r="AY4" s="18" t="s">
        <v>83</v>
      </c>
      <c r="AZ4" s="23" t="s">
        <v>84</v>
      </c>
      <c r="BA4" s="18" t="str">
        <f t="shared" si="15"/>
        <v>Baik</v>
      </c>
      <c r="BB4" s="23">
        <v>2</v>
      </c>
      <c r="BC4" s="18" t="s">
        <v>125</v>
      </c>
      <c r="BD4" s="18" t="s">
        <v>83</v>
      </c>
      <c r="BE4" s="23" t="s">
        <v>104</v>
      </c>
      <c r="BF4" s="18" t="str">
        <f t="shared" si="16"/>
        <v>Cukup</v>
      </c>
      <c r="BG4" s="23"/>
      <c r="BH4" s="23"/>
      <c r="BI4" s="23"/>
      <c r="BJ4" s="23"/>
      <c r="BK4" s="18"/>
      <c r="BM4" s="20">
        <v>60</v>
      </c>
      <c r="BN4" s="25" t="s">
        <v>95</v>
      </c>
      <c r="BO4" s="136"/>
      <c r="BP4" s="20">
        <v>60</v>
      </c>
      <c r="BQ4" s="25" t="s">
        <v>95</v>
      </c>
      <c r="BR4" s="136" t="s">
        <v>95</v>
      </c>
      <c r="BT4" s="20" t="s">
        <v>84</v>
      </c>
      <c r="BU4" s="25" t="s">
        <v>100</v>
      </c>
    </row>
    <row r="5" spans="1:73" ht="38.25" customHeight="1" thickTop="1" thickBot="1" x14ac:dyDescent="0.3">
      <c r="A5" s="23">
        <v>4</v>
      </c>
      <c r="B5" s="23">
        <v>2525981</v>
      </c>
      <c r="C5" s="23" t="s">
        <v>1388</v>
      </c>
      <c r="D5" s="135" t="s">
        <v>1389</v>
      </c>
      <c r="E5" s="23" t="s">
        <v>1380</v>
      </c>
      <c r="F5" s="135" t="s">
        <v>1381</v>
      </c>
      <c r="G5" s="24" t="s">
        <v>1382</v>
      </c>
      <c r="H5" s="24" t="s">
        <v>1383</v>
      </c>
      <c r="I5" s="60" t="s">
        <v>76</v>
      </c>
      <c r="J5" s="61" t="s">
        <v>77</v>
      </c>
      <c r="K5" s="61" t="s">
        <v>78</v>
      </c>
      <c r="L5" s="61" t="s">
        <v>79</v>
      </c>
      <c r="M5" s="23">
        <v>80</v>
      </c>
      <c r="N5" s="18" t="str">
        <f t="shared" si="0"/>
        <v>Mencapai kompetensi dengan baik dalam hal</v>
      </c>
      <c r="O5" s="23">
        <v>81</v>
      </c>
      <c r="P5" s="18" t="str">
        <f t="shared" si="1"/>
        <v>Mencapai kompetensi dengan baik dalam hal</v>
      </c>
      <c r="Q5" s="23">
        <v>83</v>
      </c>
      <c r="R5" s="18" t="str">
        <f t="shared" si="2"/>
        <v>Mencapai kompetensi dengan baik dalam hal</v>
      </c>
      <c r="S5" s="23">
        <v>81</v>
      </c>
      <c r="T5" s="18" t="str">
        <f t="shared" si="3"/>
        <v>Mencapai kompetensi dengan baik dalam hal</v>
      </c>
      <c r="U5" s="23">
        <v>85</v>
      </c>
      <c r="V5" s="18" t="str">
        <f t="shared" si="4"/>
        <v>Mencapai kompetensi dengan baik dalam hal</v>
      </c>
      <c r="W5" s="23">
        <v>82</v>
      </c>
      <c r="X5" s="18" t="str">
        <f t="shared" si="5"/>
        <v>Mencapai kompetensi dengan baik dalam hal</v>
      </c>
      <c r="Y5" s="23">
        <v>81</v>
      </c>
      <c r="Z5" s="18" t="str">
        <f t="shared" si="6"/>
        <v>Mencapai kompetensi dengan baik dalam hal</v>
      </c>
      <c r="AA5" s="23">
        <v>80</v>
      </c>
      <c r="AB5" s="18" t="str">
        <f t="shared" si="17"/>
        <v>Mencapai kompetensi dengan baik dalam hal</v>
      </c>
      <c r="AC5" s="23">
        <v>85</v>
      </c>
      <c r="AD5" s="18" t="str">
        <f t="shared" si="7"/>
        <v>Mencapai kompetensi dengan baik dalam hal</v>
      </c>
      <c r="AE5" s="23">
        <v>86</v>
      </c>
      <c r="AF5" s="18" t="str">
        <f t="shared" si="8"/>
        <v>Mencapai kompetensi dengan baik dalam hal</v>
      </c>
      <c r="AG5" s="23">
        <v>80</v>
      </c>
      <c r="AH5" s="18" t="str">
        <f t="shared" si="9"/>
        <v>Mencapai kompetensi dengan baik dalam hal</v>
      </c>
      <c r="AI5" s="23">
        <v>84</v>
      </c>
      <c r="AJ5" s="18" t="str">
        <f t="shared" si="10"/>
        <v>Mencapai kompetensi dengan baik dalam hal</v>
      </c>
      <c r="AK5" s="23">
        <v>85</v>
      </c>
      <c r="AL5" s="18" t="str">
        <f t="shared" si="11"/>
        <v>Mencapai kompetensi dengan baik dalam hal</v>
      </c>
      <c r="AM5" s="23">
        <v>85</v>
      </c>
      <c r="AN5" s="18" t="str">
        <f t="shared" si="12"/>
        <v>Mencapai kompetensi dengan baik dalam hal</v>
      </c>
      <c r="AO5" s="62">
        <f t="shared" si="18"/>
        <v>83.5</v>
      </c>
      <c r="AP5" s="23">
        <v>85</v>
      </c>
      <c r="AQ5" s="18" t="str">
        <f t="shared" si="13"/>
        <v>Mencapai kompetensi dengan baik dalam hal</v>
      </c>
      <c r="AR5" s="23">
        <v>80</v>
      </c>
      <c r="AS5" s="18" t="str">
        <f t="shared" si="14"/>
        <v>Mencapai kompetensi dengan baik dalam hal</v>
      </c>
      <c r="AT5" s="113">
        <v>1</v>
      </c>
      <c r="AU5" s="113" t="s">
        <v>81</v>
      </c>
      <c r="AV5" s="113" t="s">
        <v>81</v>
      </c>
      <c r="AW5" s="23">
        <v>1</v>
      </c>
      <c r="AX5" s="23" t="s">
        <v>82</v>
      </c>
      <c r="AY5" s="18" t="s">
        <v>83</v>
      </c>
      <c r="AZ5" s="23" t="s">
        <v>86</v>
      </c>
      <c r="BA5" s="18" t="str">
        <f t="shared" si="15"/>
        <v>Sangat baik</v>
      </c>
      <c r="BB5" s="23">
        <v>2</v>
      </c>
      <c r="BC5" s="18" t="s">
        <v>134</v>
      </c>
      <c r="BD5" s="18" t="s">
        <v>83</v>
      </c>
      <c r="BE5" s="23" t="s">
        <v>84</v>
      </c>
      <c r="BF5" s="18" t="str">
        <f t="shared" si="16"/>
        <v>Baik</v>
      </c>
      <c r="BG5" s="23"/>
      <c r="BH5" s="23"/>
      <c r="BI5" s="23"/>
      <c r="BJ5" s="23"/>
      <c r="BK5" s="18"/>
      <c r="BM5" s="20">
        <v>70</v>
      </c>
      <c r="BN5" s="25" t="s">
        <v>95</v>
      </c>
      <c r="BO5" s="136"/>
      <c r="BP5" s="20">
        <v>70</v>
      </c>
      <c r="BQ5" s="25" t="s">
        <v>95</v>
      </c>
      <c r="BR5" s="136" t="s">
        <v>95</v>
      </c>
      <c r="BT5" s="20" t="s">
        <v>104</v>
      </c>
      <c r="BU5" s="25" t="s">
        <v>105</v>
      </c>
    </row>
    <row r="6" spans="1:73" ht="38.25" customHeight="1" thickTop="1" thickBot="1" x14ac:dyDescent="0.3">
      <c r="A6" s="23">
        <v>5</v>
      </c>
      <c r="B6" s="23">
        <v>2525982</v>
      </c>
      <c r="C6" s="23" t="s">
        <v>1390</v>
      </c>
      <c r="D6" s="135" t="s">
        <v>1391</v>
      </c>
      <c r="E6" s="23" t="s">
        <v>1380</v>
      </c>
      <c r="F6" s="135" t="s">
        <v>1381</v>
      </c>
      <c r="G6" s="24" t="s">
        <v>1382</v>
      </c>
      <c r="H6" s="24" t="s">
        <v>1383</v>
      </c>
      <c r="I6" s="60" t="s">
        <v>76</v>
      </c>
      <c r="J6" s="61" t="s">
        <v>77</v>
      </c>
      <c r="K6" s="61" t="s">
        <v>78</v>
      </c>
      <c r="L6" s="61" t="s">
        <v>79</v>
      </c>
      <c r="M6" s="23">
        <v>80</v>
      </c>
      <c r="N6" s="18" t="str">
        <f t="shared" si="0"/>
        <v>Mencapai kompetensi dengan baik dalam hal</v>
      </c>
      <c r="O6" s="23">
        <v>78</v>
      </c>
      <c r="P6" s="18" t="str">
        <f t="shared" si="1"/>
        <v>Mencapai kompetensi dengan baik dalam hal</v>
      </c>
      <c r="Q6" s="23">
        <v>80</v>
      </c>
      <c r="R6" s="18" t="str">
        <f t="shared" si="2"/>
        <v>Mencapai kompetensi dengan baik dalam hal</v>
      </c>
      <c r="S6" s="23">
        <v>81</v>
      </c>
      <c r="T6" s="18" t="str">
        <f t="shared" si="3"/>
        <v>Mencapai kompetensi dengan baik dalam hal</v>
      </c>
      <c r="U6" s="23">
        <v>83</v>
      </c>
      <c r="V6" s="18" t="str">
        <f t="shared" si="4"/>
        <v>Mencapai kompetensi dengan baik dalam hal</v>
      </c>
      <c r="W6" s="23">
        <v>79</v>
      </c>
      <c r="X6" s="18" t="str">
        <f t="shared" si="5"/>
        <v>Mencapai kompetensi dengan baik dalam hal</v>
      </c>
      <c r="Y6" s="23">
        <v>79</v>
      </c>
      <c r="Z6" s="18" t="str">
        <f t="shared" si="6"/>
        <v>Mencapai kompetensi dengan baik dalam hal</v>
      </c>
      <c r="AA6" s="23">
        <v>78</v>
      </c>
      <c r="AB6" s="18" t="str">
        <f t="shared" si="17"/>
        <v>Mencapai kompetensi dengan baik dalam hal</v>
      </c>
      <c r="AC6" s="23">
        <v>82</v>
      </c>
      <c r="AD6" s="18" t="str">
        <f t="shared" si="7"/>
        <v>Mencapai kompetensi dengan baik dalam hal</v>
      </c>
      <c r="AE6" s="23">
        <v>81</v>
      </c>
      <c r="AF6" s="18" t="str">
        <f t="shared" si="8"/>
        <v>Mencapai kompetensi dengan baik dalam hal</v>
      </c>
      <c r="AG6" s="23">
        <v>81</v>
      </c>
      <c r="AH6" s="18" t="str">
        <f t="shared" si="9"/>
        <v>Mencapai kompetensi dengan baik dalam hal</v>
      </c>
      <c r="AI6" s="23">
        <v>85</v>
      </c>
      <c r="AJ6" s="18" t="str">
        <f t="shared" si="10"/>
        <v>Mencapai kompetensi dengan baik dalam hal</v>
      </c>
      <c r="AK6" s="23">
        <v>82</v>
      </c>
      <c r="AL6" s="18" t="str">
        <f t="shared" si="11"/>
        <v>Mencapai kompetensi dengan baik dalam hal</v>
      </c>
      <c r="AM6" s="23">
        <v>85</v>
      </c>
      <c r="AN6" s="18" t="str">
        <f t="shared" si="12"/>
        <v>Mencapai kompetensi dengan baik dalam hal</v>
      </c>
      <c r="AO6" s="62">
        <f t="shared" si="18"/>
        <v>83.25</v>
      </c>
      <c r="AP6" s="23">
        <v>82</v>
      </c>
      <c r="AQ6" s="18" t="str">
        <f t="shared" si="13"/>
        <v>Mencapai kompetensi dengan baik dalam hal</v>
      </c>
      <c r="AR6" s="23">
        <v>80</v>
      </c>
      <c r="AS6" s="18" t="str">
        <f t="shared" si="14"/>
        <v>Mencapai kompetensi dengan baik dalam hal</v>
      </c>
      <c r="AT6" s="113" t="s">
        <v>81</v>
      </c>
      <c r="AU6" s="113" t="s">
        <v>81</v>
      </c>
      <c r="AV6" s="113" t="s">
        <v>81</v>
      </c>
      <c r="AW6" s="23">
        <v>1</v>
      </c>
      <c r="AX6" s="23" t="s">
        <v>82</v>
      </c>
      <c r="AY6" s="18" t="s">
        <v>83</v>
      </c>
      <c r="AZ6" s="23" t="s">
        <v>84</v>
      </c>
      <c r="BA6" s="18" t="str">
        <f t="shared" si="15"/>
        <v>Baik</v>
      </c>
      <c r="BB6" s="23">
        <v>2</v>
      </c>
      <c r="BC6" s="18" t="s">
        <v>99</v>
      </c>
      <c r="BD6" s="18" t="s">
        <v>83</v>
      </c>
      <c r="BE6" s="23" t="s">
        <v>84</v>
      </c>
      <c r="BF6" s="18" t="str">
        <f t="shared" si="16"/>
        <v>Baik</v>
      </c>
      <c r="BG6" s="23"/>
      <c r="BH6" s="23"/>
      <c r="BI6" s="23"/>
      <c r="BJ6" s="23"/>
      <c r="BK6" s="18"/>
      <c r="BM6" s="20">
        <v>75</v>
      </c>
      <c r="BN6" s="25" t="s">
        <v>109</v>
      </c>
      <c r="BO6" s="136"/>
      <c r="BP6" s="20">
        <v>78</v>
      </c>
      <c r="BQ6" s="25" t="s">
        <v>109</v>
      </c>
      <c r="BR6" s="136" t="s">
        <v>109</v>
      </c>
      <c r="BT6" s="20" t="s">
        <v>110</v>
      </c>
      <c r="BU6" s="25" t="s">
        <v>111</v>
      </c>
    </row>
    <row r="7" spans="1:73" ht="38.25" customHeight="1" thickTop="1" thickBot="1" x14ac:dyDescent="0.3">
      <c r="A7" s="23">
        <v>6</v>
      </c>
      <c r="B7" s="23">
        <v>2525983</v>
      </c>
      <c r="C7" s="23" t="s">
        <v>1392</v>
      </c>
      <c r="D7" s="135" t="s">
        <v>1393</v>
      </c>
      <c r="E7" s="23" t="s">
        <v>1380</v>
      </c>
      <c r="F7" s="135" t="s">
        <v>1381</v>
      </c>
      <c r="G7" s="24" t="s">
        <v>1382</v>
      </c>
      <c r="H7" s="24" t="s">
        <v>1383</v>
      </c>
      <c r="I7" s="60" t="s">
        <v>76</v>
      </c>
      <c r="J7" s="61" t="s">
        <v>77</v>
      </c>
      <c r="K7" s="61" t="s">
        <v>309</v>
      </c>
      <c r="L7" s="61" t="s">
        <v>310</v>
      </c>
      <c r="M7" s="23">
        <v>82</v>
      </c>
      <c r="N7" s="18" t="str">
        <f t="shared" si="0"/>
        <v>Mencapai kompetensi dengan baik dalam hal</v>
      </c>
      <c r="O7" s="23">
        <v>80</v>
      </c>
      <c r="P7" s="18" t="str">
        <f t="shared" si="1"/>
        <v>Mencapai kompetensi dengan baik dalam hal</v>
      </c>
      <c r="Q7" s="23">
        <v>80</v>
      </c>
      <c r="R7" s="18" t="str">
        <f t="shared" si="2"/>
        <v>Mencapai kompetensi dengan baik dalam hal</v>
      </c>
      <c r="S7" s="23">
        <v>81</v>
      </c>
      <c r="T7" s="18" t="str">
        <f t="shared" si="3"/>
        <v>Mencapai kompetensi dengan baik dalam hal</v>
      </c>
      <c r="U7" s="23">
        <v>81</v>
      </c>
      <c r="V7" s="18" t="str">
        <f t="shared" si="4"/>
        <v>Mencapai kompetensi dengan baik dalam hal</v>
      </c>
      <c r="W7" s="23">
        <v>80</v>
      </c>
      <c r="X7" s="18" t="str">
        <f t="shared" si="5"/>
        <v>Mencapai kompetensi dengan baik dalam hal</v>
      </c>
      <c r="Y7" s="23">
        <v>77</v>
      </c>
      <c r="Z7" s="18" t="str">
        <f t="shared" si="6"/>
        <v>Mencapai kompetensi dengan baik dalam hal</v>
      </c>
      <c r="AA7" s="23">
        <v>79</v>
      </c>
      <c r="AB7" s="18" t="str">
        <f t="shared" si="17"/>
        <v>Mencapai kompetensi dengan baik dalam hal</v>
      </c>
      <c r="AC7" s="23">
        <v>82</v>
      </c>
      <c r="AD7" s="18" t="str">
        <f t="shared" si="7"/>
        <v>Mencapai kompetensi dengan baik dalam hal</v>
      </c>
      <c r="AE7" s="23">
        <v>82</v>
      </c>
      <c r="AF7" s="18" t="str">
        <f t="shared" si="8"/>
        <v>Mencapai kompetensi dengan baik dalam hal</v>
      </c>
      <c r="AG7" s="23">
        <v>84</v>
      </c>
      <c r="AH7" s="18" t="str">
        <f t="shared" si="9"/>
        <v>Mencapai kompetensi dengan baik dalam hal</v>
      </c>
      <c r="AI7" s="23">
        <v>85</v>
      </c>
      <c r="AJ7" s="18" t="str">
        <f t="shared" si="10"/>
        <v>Mencapai kompetensi dengan baik dalam hal</v>
      </c>
      <c r="AK7" s="23">
        <v>84</v>
      </c>
      <c r="AL7" s="18" t="str">
        <f t="shared" si="11"/>
        <v>Mencapai kompetensi dengan baik dalam hal</v>
      </c>
      <c r="AM7" s="23">
        <v>85</v>
      </c>
      <c r="AN7" s="18" t="str">
        <f t="shared" si="12"/>
        <v>Mencapai kompetensi dengan baik dalam hal</v>
      </c>
      <c r="AO7" s="62">
        <f t="shared" si="18"/>
        <v>84.5</v>
      </c>
      <c r="AP7" s="23">
        <v>82</v>
      </c>
      <c r="AQ7" s="18" t="str">
        <f t="shared" si="13"/>
        <v>Mencapai kompetensi dengan baik dalam hal</v>
      </c>
      <c r="AR7" s="23">
        <v>80</v>
      </c>
      <c r="AS7" s="18" t="str">
        <f t="shared" si="14"/>
        <v>Mencapai kompetensi dengan baik dalam hal</v>
      </c>
      <c r="AT7" s="113" t="s">
        <v>81</v>
      </c>
      <c r="AU7" s="113" t="s">
        <v>81</v>
      </c>
      <c r="AV7" s="113" t="s">
        <v>81</v>
      </c>
      <c r="AW7" s="23">
        <v>1</v>
      </c>
      <c r="AX7" s="23" t="s">
        <v>82</v>
      </c>
      <c r="AY7" s="18" t="s">
        <v>83</v>
      </c>
      <c r="AZ7" s="23" t="s">
        <v>84</v>
      </c>
      <c r="BA7" s="18" t="str">
        <f t="shared" si="15"/>
        <v>Baik</v>
      </c>
      <c r="BB7" s="23">
        <v>2</v>
      </c>
      <c r="BC7" s="18" t="s">
        <v>134</v>
      </c>
      <c r="BD7" s="18" t="s">
        <v>83</v>
      </c>
      <c r="BE7" s="23" t="s">
        <v>84</v>
      </c>
      <c r="BF7" s="18" t="str">
        <f t="shared" si="16"/>
        <v>Baik</v>
      </c>
      <c r="BG7" s="23"/>
      <c r="BH7" s="23"/>
      <c r="BI7" s="23"/>
      <c r="BJ7" s="23"/>
      <c r="BK7" s="18"/>
      <c r="BM7" s="20">
        <v>80</v>
      </c>
      <c r="BN7" s="25" t="s">
        <v>109</v>
      </c>
      <c r="BO7" s="136"/>
      <c r="BP7" s="20">
        <v>80</v>
      </c>
      <c r="BQ7" s="25" t="s">
        <v>109</v>
      </c>
      <c r="BR7" s="136" t="s">
        <v>109</v>
      </c>
    </row>
    <row r="8" spans="1:73" ht="38.25" customHeight="1" thickTop="1" thickBot="1" x14ac:dyDescent="0.3">
      <c r="A8" s="23">
        <v>7</v>
      </c>
      <c r="B8" s="23">
        <v>2525984</v>
      </c>
      <c r="C8" s="23" t="s">
        <v>1394</v>
      </c>
      <c r="D8" s="135" t="s">
        <v>1395</v>
      </c>
      <c r="E8" s="23" t="s">
        <v>1380</v>
      </c>
      <c r="F8" s="135" t="s">
        <v>1381</v>
      </c>
      <c r="G8" s="24" t="s">
        <v>1382</v>
      </c>
      <c r="H8" s="24" t="s">
        <v>1383</v>
      </c>
      <c r="I8" s="60" t="s">
        <v>76</v>
      </c>
      <c r="J8" s="61" t="s">
        <v>77</v>
      </c>
      <c r="K8" s="61" t="s">
        <v>78</v>
      </c>
      <c r="L8" s="61" t="s">
        <v>79</v>
      </c>
      <c r="M8" s="23">
        <v>84</v>
      </c>
      <c r="N8" s="18" t="str">
        <f t="shared" si="0"/>
        <v>Mencapai kompetensi dengan baik dalam hal</v>
      </c>
      <c r="O8" s="23">
        <v>77</v>
      </c>
      <c r="P8" s="18" t="str">
        <f t="shared" si="1"/>
        <v>Mencapai kompetensi dengan baik dalam hal</v>
      </c>
      <c r="Q8" s="23">
        <v>80</v>
      </c>
      <c r="R8" s="18" t="str">
        <f t="shared" si="2"/>
        <v>Mencapai kompetensi dengan baik dalam hal</v>
      </c>
      <c r="S8" s="23">
        <v>80</v>
      </c>
      <c r="T8" s="18" t="str">
        <f t="shared" si="3"/>
        <v>Mencapai kompetensi dengan baik dalam hal</v>
      </c>
      <c r="U8" s="23">
        <v>82</v>
      </c>
      <c r="V8" s="18" t="str">
        <f t="shared" si="4"/>
        <v>Mencapai kompetensi dengan baik dalam hal</v>
      </c>
      <c r="W8" s="23">
        <v>80</v>
      </c>
      <c r="X8" s="18" t="str">
        <f t="shared" si="5"/>
        <v>Mencapai kompetensi dengan baik dalam hal</v>
      </c>
      <c r="Y8" s="23">
        <v>77</v>
      </c>
      <c r="Z8" s="18" t="str">
        <f t="shared" si="6"/>
        <v>Mencapai kompetensi dengan baik dalam hal</v>
      </c>
      <c r="AA8" s="23">
        <v>77</v>
      </c>
      <c r="AB8" s="18" t="str">
        <f t="shared" si="17"/>
        <v>Mencapai kompetensi dengan baik dalam hal</v>
      </c>
      <c r="AC8" s="23">
        <v>82</v>
      </c>
      <c r="AD8" s="18" t="str">
        <f t="shared" si="7"/>
        <v>Mencapai kompetensi dengan baik dalam hal</v>
      </c>
      <c r="AE8" s="23">
        <v>80</v>
      </c>
      <c r="AF8" s="18" t="str">
        <f t="shared" si="8"/>
        <v>Mencapai kompetensi dengan baik dalam hal</v>
      </c>
      <c r="AG8" s="23">
        <v>78</v>
      </c>
      <c r="AH8" s="18" t="str">
        <f t="shared" si="9"/>
        <v>Mencapai kompetensi dengan baik dalam hal</v>
      </c>
      <c r="AI8" s="23">
        <v>78</v>
      </c>
      <c r="AJ8" s="18" t="str">
        <f t="shared" si="10"/>
        <v>Mencapai kompetensi dengan baik dalam hal</v>
      </c>
      <c r="AK8" s="23">
        <v>80</v>
      </c>
      <c r="AL8" s="18" t="str">
        <f t="shared" si="11"/>
        <v>Mencapai kompetensi dengan baik dalam hal</v>
      </c>
      <c r="AM8" s="23">
        <v>82</v>
      </c>
      <c r="AN8" s="18" t="str">
        <f t="shared" si="12"/>
        <v>Mencapai kompetensi dengan baik dalam hal</v>
      </c>
      <c r="AO8" s="62">
        <f t="shared" si="18"/>
        <v>79.5</v>
      </c>
      <c r="AP8" s="23">
        <v>82</v>
      </c>
      <c r="AQ8" s="18" t="str">
        <f t="shared" si="13"/>
        <v>Mencapai kompetensi dengan baik dalam hal</v>
      </c>
      <c r="AR8" s="23">
        <v>79</v>
      </c>
      <c r="AS8" s="18" t="str">
        <f t="shared" si="14"/>
        <v>Mencapai kompetensi dengan baik dalam hal</v>
      </c>
      <c r="AT8" s="113" t="s">
        <v>81</v>
      </c>
      <c r="AU8" s="113" t="s">
        <v>81</v>
      </c>
      <c r="AV8" s="113" t="s">
        <v>81</v>
      </c>
      <c r="AW8" s="23">
        <v>1</v>
      </c>
      <c r="AX8" s="23" t="s">
        <v>82</v>
      </c>
      <c r="AY8" s="18" t="s">
        <v>83</v>
      </c>
      <c r="AZ8" s="23" t="s">
        <v>84</v>
      </c>
      <c r="BA8" s="18" t="str">
        <f t="shared" si="15"/>
        <v>Baik</v>
      </c>
      <c r="BB8" s="23">
        <v>2</v>
      </c>
      <c r="BC8" s="18" t="s">
        <v>170</v>
      </c>
      <c r="BD8" s="18" t="s">
        <v>83</v>
      </c>
      <c r="BE8" s="23" t="s">
        <v>84</v>
      </c>
      <c r="BF8" s="18" t="str">
        <f t="shared" si="16"/>
        <v>Baik</v>
      </c>
      <c r="BG8" s="23"/>
      <c r="BH8" s="23"/>
      <c r="BI8" s="23"/>
      <c r="BJ8" s="23"/>
      <c r="BK8" s="18"/>
      <c r="BM8" s="20">
        <v>85</v>
      </c>
      <c r="BN8" s="25" t="s">
        <v>109</v>
      </c>
      <c r="BO8" s="136"/>
      <c r="BP8" s="20">
        <v>85</v>
      </c>
      <c r="BQ8" s="25" t="s">
        <v>109</v>
      </c>
      <c r="BR8" s="136" t="s">
        <v>109</v>
      </c>
    </row>
    <row r="9" spans="1:73" ht="38.25" customHeight="1" thickTop="1" thickBot="1" x14ac:dyDescent="0.3">
      <c r="A9" s="23">
        <v>8</v>
      </c>
      <c r="B9" s="23">
        <v>2525985</v>
      </c>
      <c r="C9" s="23" t="s">
        <v>1396</v>
      </c>
      <c r="D9" s="135" t="s">
        <v>1397</v>
      </c>
      <c r="E9" s="23" t="s">
        <v>1380</v>
      </c>
      <c r="F9" s="135" t="s">
        <v>1381</v>
      </c>
      <c r="G9" s="24" t="s">
        <v>1382</v>
      </c>
      <c r="H9" s="24" t="s">
        <v>1383</v>
      </c>
      <c r="I9" s="60" t="s">
        <v>76</v>
      </c>
      <c r="J9" s="61" t="s">
        <v>77</v>
      </c>
      <c r="K9" s="61" t="s">
        <v>78</v>
      </c>
      <c r="L9" s="61" t="s">
        <v>79</v>
      </c>
      <c r="M9" s="23">
        <v>80</v>
      </c>
      <c r="N9" s="18" t="str">
        <f t="shared" si="0"/>
        <v>Mencapai kompetensi dengan baik dalam hal</v>
      </c>
      <c r="O9" s="23">
        <v>77</v>
      </c>
      <c r="P9" s="18" t="str">
        <f t="shared" si="1"/>
        <v>Mencapai kompetensi dengan baik dalam hal</v>
      </c>
      <c r="Q9" s="23">
        <v>82</v>
      </c>
      <c r="R9" s="18" t="str">
        <f t="shared" si="2"/>
        <v>Mencapai kompetensi dengan baik dalam hal</v>
      </c>
      <c r="S9" s="23">
        <v>84</v>
      </c>
      <c r="T9" s="18" t="str">
        <f t="shared" si="3"/>
        <v>Mencapai kompetensi dengan baik dalam hal</v>
      </c>
      <c r="U9" s="23">
        <v>87</v>
      </c>
      <c r="V9" s="18" t="str">
        <f t="shared" si="4"/>
        <v>Mencapai kompetensi dengan baik dalam hal</v>
      </c>
      <c r="W9" s="23">
        <v>81</v>
      </c>
      <c r="X9" s="18" t="str">
        <f t="shared" si="5"/>
        <v>Mencapai kompetensi dengan baik dalam hal</v>
      </c>
      <c r="Y9" s="23">
        <v>80</v>
      </c>
      <c r="Z9" s="18" t="str">
        <f t="shared" si="6"/>
        <v>Mencapai kompetensi dengan baik dalam hal</v>
      </c>
      <c r="AA9" s="23">
        <v>80</v>
      </c>
      <c r="AB9" s="18" t="str">
        <f t="shared" si="17"/>
        <v>Mencapai kompetensi dengan baik dalam hal</v>
      </c>
      <c r="AC9" s="23">
        <v>82</v>
      </c>
      <c r="AD9" s="18" t="str">
        <f t="shared" si="7"/>
        <v>Mencapai kompetensi dengan baik dalam hal</v>
      </c>
      <c r="AE9" s="23">
        <v>83</v>
      </c>
      <c r="AF9" s="18" t="str">
        <f t="shared" si="8"/>
        <v>Mencapai kompetensi dengan baik dalam hal</v>
      </c>
      <c r="AG9" s="23">
        <v>78</v>
      </c>
      <c r="AH9" s="18" t="str">
        <f t="shared" si="9"/>
        <v>Mencapai kompetensi dengan baik dalam hal</v>
      </c>
      <c r="AI9" s="23">
        <v>80</v>
      </c>
      <c r="AJ9" s="18" t="str">
        <f t="shared" si="10"/>
        <v>Mencapai kompetensi dengan baik dalam hal</v>
      </c>
      <c r="AK9" s="23">
        <v>81</v>
      </c>
      <c r="AL9" s="18" t="str">
        <f t="shared" si="11"/>
        <v>Mencapai kompetensi dengan baik dalam hal</v>
      </c>
      <c r="AM9" s="23">
        <v>83</v>
      </c>
      <c r="AN9" s="18" t="str">
        <f t="shared" si="12"/>
        <v>Mencapai kompetensi dengan baik dalam hal</v>
      </c>
      <c r="AO9" s="62">
        <f t="shared" si="18"/>
        <v>80.5</v>
      </c>
      <c r="AP9" s="23">
        <v>82</v>
      </c>
      <c r="AQ9" s="18" t="str">
        <f t="shared" si="13"/>
        <v>Mencapai kompetensi dengan baik dalam hal</v>
      </c>
      <c r="AR9" s="23">
        <v>78</v>
      </c>
      <c r="AS9" s="18" t="str">
        <f t="shared" si="14"/>
        <v>Mencapai kompetensi dengan baik dalam hal</v>
      </c>
      <c r="AT9" s="113">
        <v>2</v>
      </c>
      <c r="AU9" s="113" t="s">
        <v>81</v>
      </c>
      <c r="AV9" s="113" t="s">
        <v>81</v>
      </c>
      <c r="AW9" s="23">
        <v>1</v>
      </c>
      <c r="AX9" s="23" t="s">
        <v>82</v>
      </c>
      <c r="AY9" s="18" t="s">
        <v>83</v>
      </c>
      <c r="AZ9" s="23" t="s">
        <v>86</v>
      </c>
      <c r="BA9" s="18" t="str">
        <f t="shared" si="15"/>
        <v>Sangat baik</v>
      </c>
      <c r="BB9" s="23">
        <v>2</v>
      </c>
      <c r="BC9" s="18" t="s">
        <v>85</v>
      </c>
      <c r="BD9" s="18" t="s">
        <v>83</v>
      </c>
      <c r="BE9" s="23" t="s">
        <v>86</v>
      </c>
      <c r="BF9" s="18" t="str">
        <f t="shared" si="16"/>
        <v>Sangat baik</v>
      </c>
      <c r="BG9" s="23">
        <v>3</v>
      </c>
      <c r="BH9" s="23" t="s">
        <v>87</v>
      </c>
      <c r="BI9" s="23" t="s">
        <v>83</v>
      </c>
      <c r="BJ9" s="23" t="s">
        <v>84</v>
      </c>
      <c r="BK9" s="18" t="str">
        <f>VLOOKUP(BJ9,grades4,2,TRUE)</f>
        <v>Baik</v>
      </c>
      <c r="BM9" s="20">
        <v>90</v>
      </c>
      <c r="BN9" s="25" t="s">
        <v>120</v>
      </c>
      <c r="BO9" s="136"/>
      <c r="BP9" s="20">
        <v>90</v>
      </c>
      <c r="BQ9" s="25" t="s">
        <v>120</v>
      </c>
      <c r="BR9" s="136" t="s">
        <v>120</v>
      </c>
    </row>
    <row r="10" spans="1:73" ht="38.25" customHeight="1" thickTop="1" thickBot="1" x14ac:dyDescent="0.3">
      <c r="A10" s="23">
        <v>9</v>
      </c>
      <c r="B10" s="23">
        <v>2525986</v>
      </c>
      <c r="C10" s="23" t="s">
        <v>1398</v>
      </c>
      <c r="D10" s="135" t="s">
        <v>1399</v>
      </c>
      <c r="E10" s="23" t="s">
        <v>1380</v>
      </c>
      <c r="F10" s="135" t="s">
        <v>1381</v>
      </c>
      <c r="G10" s="24" t="s">
        <v>1382</v>
      </c>
      <c r="H10" s="24" t="s">
        <v>1383</v>
      </c>
      <c r="I10" s="60" t="s">
        <v>76</v>
      </c>
      <c r="J10" s="61" t="s">
        <v>77</v>
      </c>
      <c r="K10" s="61" t="s">
        <v>78</v>
      </c>
      <c r="L10" s="61" t="s">
        <v>79</v>
      </c>
      <c r="M10" s="23">
        <v>79</v>
      </c>
      <c r="N10" s="18" t="str">
        <f t="shared" si="0"/>
        <v>Mencapai kompetensi dengan baik dalam hal</v>
      </c>
      <c r="O10" s="23">
        <v>78</v>
      </c>
      <c r="P10" s="18" t="str">
        <f t="shared" si="1"/>
        <v>Mencapai kompetensi dengan baik dalam hal</v>
      </c>
      <c r="Q10" s="23">
        <v>80</v>
      </c>
      <c r="R10" s="18" t="str">
        <f t="shared" si="2"/>
        <v>Mencapai kompetensi dengan baik dalam hal</v>
      </c>
      <c r="S10" s="23">
        <v>81</v>
      </c>
      <c r="T10" s="18" t="str">
        <f t="shared" si="3"/>
        <v>Mencapai kompetensi dengan baik dalam hal</v>
      </c>
      <c r="U10" s="23">
        <v>80</v>
      </c>
      <c r="V10" s="18" t="str">
        <f t="shared" si="4"/>
        <v>Mencapai kompetensi dengan baik dalam hal</v>
      </c>
      <c r="W10" s="23">
        <v>81</v>
      </c>
      <c r="X10" s="18" t="str">
        <f t="shared" si="5"/>
        <v>Mencapai kompetensi dengan baik dalam hal</v>
      </c>
      <c r="Y10" s="23">
        <v>77</v>
      </c>
      <c r="Z10" s="18" t="str">
        <f t="shared" si="6"/>
        <v>Mencapai kompetensi dengan baik dalam hal</v>
      </c>
      <c r="AA10" s="23">
        <v>78</v>
      </c>
      <c r="AB10" s="18" t="str">
        <f t="shared" si="17"/>
        <v>Mencapai kompetensi dengan baik dalam hal</v>
      </c>
      <c r="AC10" s="23">
        <v>84</v>
      </c>
      <c r="AD10" s="18" t="str">
        <f t="shared" si="7"/>
        <v>Mencapai kompetensi dengan baik dalam hal</v>
      </c>
      <c r="AE10" s="23">
        <v>83</v>
      </c>
      <c r="AF10" s="18" t="str">
        <f t="shared" si="8"/>
        <v>Mencapai kompetensi dengan baik dalam hal</v>
      </c>
      <c r="AG10" s="23">
        <v>78</v>
      </c>
      <c r="AH10" s="18" t="str">
        <f t="shared" si="9"/>
        <v>Mencapai kompetensi dengan baik dalam hal</v>
      </c>
      <c r="AI10" s="23">
        <v>78</v>
      </c>
      <c r="AJ10" s="18" t="str">
        <f t="shared" si="10"/>
        <v>Mencapai kompetensi dengan baik dalam hal</v>
      </c>
      <c r="AK10" s="23">
        <v>86</v>
      </c>
      <c r="AL10" s="18" t="str">
        <f t="shared" si="11"/>
        <v>Mencapai kompetensi dengan baik dalam hal</v>
      </c>
      <c r="AM10" s="23">
        <v>80</v>
      </c>
      <c r="AN10" s="18" t="str">
        <f t="shared" si="12"/>
        <v>Mencapai kompetensi dengan baik dalam hal</v>
      </c>
      <c r="AO10" s="62">
        <f t="shared" si="18"/>
        <v>80.5</v>
      </c>
      <c r="AP10" s="23">
        <v>84</v>
      </c>
      <c r="AQ10" s="18" t="str">
        <f t="shared" si="13"/>
        <v>Mencapai kompetensi dengan baik dalam hal</v>
      </c>
      <c r="AR10" s="23">
        <v>80</v>
      </c>
      <c r="AS10" s="18" t="str">
        <f t="shared" si="14"/>
        <v>Mencapai kompetensi dengan baik dalam hal</v>
      </c>
      <c r="AT10" s="113">
        <v>2</v>
      </c>
      <c r="AU10" s="113" t="s">
        <v>81</v>
      </c>
      <c r="AV10" s="113" t="s">
        <v>81</v>
      </c>
      <c r="AW10" s="23">
        <v>1</v>
      </c>
      <c r="AX10" s="23" t="s">
        <v>82</v>
      </c>
      <c r="AY10" s="18" t="s">
        <v>83</v>
      </c>
      <c r="AZ10" s="23" t="s">
        <v>84</v>
      </c>
      <c r="BA10" s="18" t="str">
        <f t="shared" si="15"/>
        <v>Baik</v>
      </c>
      <c r="BB10" s="23">
        <v>2</v>
      </c>
      <c r="BC10" s="18" t="s">
        <v>108</v>
      </c>
      <c r="BD10" s="18" t="s">
        <v>83</v>
      </c>
      <c r="BE10" s="23" t="s">
        <v>86</v>
      </c>
      <c r="BF10" s="18" t="str">
        <f t="shared" si="16"/>
        <v>Sangat baik</v>
      </c>
      <c r="BG10" s="23"/>
      <c r="BH10" s="23"/>
      <c r="BI10" s="23"/>
      <c r="BJ10" s="23"/>
      <c r="BK10" s="18"/>
      <c r="BM10" s="20">
        <v>95</v>
      </c>
      <c r="BN10" s="25" t="s">
        <v>120</v>
      </c>
      <c r="BO10" s="136"/>
      <c r="BP10" s="20">
        <v>95</v>
      </c>
      <c r="BQ10" s="25" t="s">
        <v>120</v>
      </c>
      <c r="BR10" s="136" t="s">
        <v>120</v>
      </c>
    </row>
    <row r="11" spans="1:73" ht="38.25" customHeight="1" thickTop="1" thickBot="1" x14ac:dyDescent="0.3">
      <c r="A11" s="23">
        <v>10</v>
      </c>
      <c r="B11" s="23">
        <v>2525987</v>
      </c>
      <c r="C11" s="23" t="s">
        <v>1400</v>
      </c>
      <c r="D11" s="135" t="s">
        <v>1401</v>
      </c>
      <c r="E11" s="23" t="s">
        <v>1380</v>
      </c>
      <c r="F11" s="135" t="s">
        <v>1381</v>
      </c>
      <c r="G11" s="24" t="s">
        <v>1382</v>
      </c>
      <c r="H11" s="24" t="s">
        <v>1383</v>
      </c>
      <c r="I11" s="60" t="s">
        <v>76</v>
      </c>
      <c r="J11" s="61" t="s">
        <v>77</v>
      </c>
      <c r="K11" s="61" t="s">
        <v>78</v>
      </c>
      <c r="L11" s="61" t="s">
        <v>79</v>
      </c>
      <c r="M11" s="23">
        <v>81</v>
      </c>
      <c r="N11" s="18" t="str">
        <f t="shared" si="0"/>
        <v>Mencapai kompetensi dengan baik dalam hal</v>
      </c>
      <c r="O11" s="23">
        <v>80</v>
      </c>
      <c r="P11" s="18" t="str">
        <f t="shared" si="1"/>
        <v>Mencapai kompetensi dengan baik dalam hal</v>
      </c>
      <c r="Q11" s="23">
        <v>82</v>
      </c>
      <c r="R11" s="18" t="str">
        <f t="shared" si="2"/>
        <v>Mencapai kompetensi dengan baik dalam hal</v>
      </c>
      <c r="S11" s="23">
        <v>82</v>
      </c>
      <c r="T11" s="18" t="str">
        <f t="shared" si="3"/>
        <v>Mencapai kompetensi dengan baik dalam hal</v>
      </c>
      <c r="U11" s="23">
        <v>83</v>
      </c>
      <c r="V11" s="18" t="str">
        <f t="shared" si="4"/>
        <v>Mencapai kompetensi dengan baik dalam hal</v>
      </c>
      <c r="W11" s="23">
        <v>80</v>
      </c>
      <c r="X11" s="18" t="str">
        <f t="shared" si="5"/>
        <v>Mencapai kompetensi dengan baik dalam hal</v>
      </c>
      <c r="Y11" s="23">
        <v>78</v>
      </c>
      <c r="Z11" s="18" t="str">
        <f t="shared" si="6"/>
        <v>Mencapai kompetensi dengan baik dalam hal</v>
      </c>
      <c r="AA11" s="23">
        <v>78</v>
      </c>
      <c r="AB11" s="18" t="str">
        <f t="shared" si="17"/>
        <v>Mencapai kompetensi dengan baik dalam hal</v>
      </c>
      <c r="AC11" s="23">
        <v>82</v>
      </c>
      <c r="AD11" s="18" t="str">
        <f t="shared" si="7"/>
        <v>Mencapai kompetensi dengan baik dalam hal</v>
      </c>
      <c r="AE11" s="23">
        <v>80</v>
      </c>
      <c r="AF11" s="18" t="str">
        <f t="shared" si="8"/>
        <v>Mencapai kompetensi dengan baik dalam hal</v>
      </c>
      <c r="AG11" s="23">
        <v>78</v>
      </c>
      <c r="AH11" s="18" t="str">
        <f t="shared" si="9"/>
        <v>Mencapai kompetensi dengan baik dalam hal</v>
      </c>
      <c r="AI11" s="23">
        <v>82</v>
      </c>
      <c r="AJ11" s="18" t="str">
        <f t="shared" si="10"/>
        <v>Mencapai kompetensi dengan baik dalam hal</v>
      </c>
      <c r="AK11" s="23">
        <v>80</v>
      </c>
      <c r="AL11" s="18" t="str">
        <f t="shared" si="11"/>
        <v>Mencapai kompetensi dengan baik dalam hal</v>
      </c>
      <c r="AM11" s="23">
        <v>81</v>
      </c>
      <c r="AN11" s="18" t="str">
        <f t="shared" si="12"/>
        <v>Mencapai kompetensi dengan baik dalam hal</v>
      </c>
      <c r="AO11" s="62">
        <f t="shared" si="18"/>
        <v>80.25</v>
      </c>
      <c r="AP11" s="23">
        <v>82</v>
      </c>
      <c r="AQ11" s="18" t="str">
        <f t="shared" si="13"/>
        <v>Mencapai kompetensi dengan baik dalam hal</v>
      </c>
      <c r="AR11" s="23">
        <v>79</v>
      </c>
      <c r="AS11" s="18" t="str">
        <f t="shared" si="14"/>
        <v>Mencapai kompetensi dengan baik dalam hal</v>
      </c>
      <c r="AT11" s="113" t="s">
        <v>81</v>
      </c>
      <c r="AU11" s="113" t="s">
        <v>81</v>
      </c>
      <c r="AV11" s="113" t="s">
        <v>81</v>
      </c>
      <c r="AW11" s="23">
        <v>1</v>
      </c>
      <c r="AX11" s="23" t="s">
        <v>82</v>
      </c>
      <c r="AY11" s="18" t="s">
        <v>83</v>
      </c>
      <c r="AZ11" s="23" t="s">
        <v>86</v>
      </c>
      <c r="BA11" s="18" t="str">
        <f t="shared" si="15"/>
        <v>Sangat baik</v>
      </c>
      <c r="BB11" s="23">
        <v>2</v>
      </c>
      <c r="BC11" s="18" t="s">
        <v>212</v>
      </c>
      <c r="BD11" s="18" t="s">
        <v>83</v>
      </c>
      <c r="BE11" s="23" t="s">
        <v>86</v>
      </c>
      <c r="BF11" s="18" t="str">
        <f t="shared" si="16"/>
        <v>Sangat baik</v>
      </c>
      <c r="BG11" s="23"/>
      <c r="BH11" s="23"/>
      <c r="BI11" s="23"/>
      <c r="BJ11" s="23"/>
      <c r="BK11" s="18"/>
      <c r="BM11" s="20">
        <v>100</v>
      </c>
      <c r="BN11" s="25" t="s">
        <v>120</v>
      </c>
      <c r="BO11" s="136"/>
      <c r="BP11" s="20">
        <v>100</v>
      </c>
      <c r="BQ11" s="25" t="s">
        <v>120</v>
      </c>
      <c r="BR11" s="136" t="s">
        <v>120</v>
      </c>
    </row>
    <row r="12" spans="1:73" ht="38.25" customHeight="1" thickTop="1" x14ac:dyDescent="0.25">
      <c r="A12" s="23">
        <v>11</v>
      </c>
      <c r="B12" s="23">
        <v>2525988</v>
      </c>
      <c r="C12" s="23" t="s">
        <v>1402</v>
      </c>
      <c r="D12" s="135" t="s">
        <v>1403</v>
      </c>
      <c r="E12" s="23" t="s">
        <v>1380</v>
      </c>
      <c r="F12" s="135" t="s">
        <v>1381</v>
      </c>
      <c r="G12" s="24" t="s">
        <v>1382</v>
      </c>
      <c r="H12" s="24" t="s">
        <v>1383</v>
      </c>
      <c r="I12" s="60" t="s">
        <v>76</v>
      </c>
      <c r="J12" s="61" t="s">
        <v>77</v>
      </c>
      <c r="K12" s="61" t="s">
        <v>78</v>
      </c>
      <c r="L12" s="61" t="s">
        <v>79</v>
      </c>
      <c r="M12" s="23">
        <v>79</v>
      </c>
      <c r="N12" s="18" t="str">
        <f t="shared" si="0"/>
        <v>Mencapai kompetensi dengan baik dalam hal</v>
      </c>
      <c r="O12" s="23">
        <v>80</v>
      </c>
      <c r="P12" s="18" t="str">
        <f t="shared" si="1"/>
        <v>Mencapai kompetensi dengan baik dalam hal</v>
      </c>
      <c r="Q12" s="23">
        <v>83</v>
      </c>
      <c r="R12" s="18" t="str">
        <f t="shared" si="2"/>
        <v>Mencapai kompetensi dengan baik dalam hal</v>
      </c>
      <c r="S12" s="23">
        <v>80</v>
      </c>
      <c r="T12" s="18" t="str">
        <f t="shared" si="3"/>
        <v>Mencapai kompetensi dengan baik dalam hal</v>
      </c>
      <c r="U12" s="23">
        <v>83</v>
      </c>
      <c r="V12" s="18" t="str">
        <f t="shared" si="4"/>
        <v>Mencapai kompetensi dengan baik dalam hal</v>
      </c>
      <c r="W12" s="23">
        <v>83</v>
      </c>
      <c r="X12" s="18" t="str">
        <f t="shared" si="5"/>
        <v>Mencapai kompetensi dengan baik dalam hal</v>
      </c>
      <c r="Y12" s="23">
        <v>76</v>
      </c>
      <c r="Z12" s="18" t="str">
        <f t="shared" si="6"/>
        <v>Mencapai kompetensi dengan baik dalam hal</v>
      </c>
      <c r="AA12" s="23">
        <v>80</v>
      </c>
      <c r="AB12" s="18" t="str">
        <f t="shared" si="17"/>
        <v>Mencapai kompetensi dengan baik dalam hal</v>
      </c>
      <c r="AC12" s="23">
        <v>82</v>
      </c>
      <c r="AD12" s="18" t="str">
        <f t="shared" si="7"/>
        <v>Mencapai kompetensi dengan baik dalam hal</v>
      </c>
      <c r="AE12" s="23">
        <v>83</v>
      </c>
      <c r="AF12" s="18" t="str">
        <f t="shared" si="8"/>
        <v>Mencapai kompetensi dengan baik dalam hal</v>
      </c>
      <c r="AG12" s="23">
        <v>78</v>
      </c>
      <c r="AH12" s="18" t="str">
        <f t="shared" si="9"/>
        <v>Mencapai kompetensi dengan baik dalam hal</v>
      </c>
      <c r="AI12" s="23">
        <v>83</v>
      </c>
      <c r="AJ12" s="18" t="str">
        <f t="shared" si="10"/>
        <v>Mencapai kompetensi dengan baik dalam hal</v>
      </c>
      <c r="AK12" s="23">
        <v>80</v>
      </c>
      <c r="AL12" s="18" t="str">
        <f t="shared" si="11"/>
        <v>Mencapai kompetensi dengan baik dalam hal</v>
      </c>
      <c r="AM12" s="23">
        <v>81</v>
      </c>
      <c r="AN12" s="18" t="str">
        <f t="shared" si="12"/>
        <v>Mencapai kompetensi dengan baik dalam hal</v>
      </c>
      <c r="AO12" s="62">
        <f t="shared" si="18"/>
        <v>80.5</v>
      </c>
      <c r="AP12" s="23">
        <v>82</v>
      </c>
      <c r="AQ12" s="18" t="str">
        <f t="shared" si="13"/>
        <v>Mencapai kompetensi dengan baik dalam hal</v>
      </c>
      <c r="AR12" s="23">
        <v>79</v>
      </c>
      <c r="AS12" s="18" t="str">
        <f t="shared" si="14"/>
        <v>Mencapai kompetensi dengan baik dalam hal</v>
      </c>
      <c r="AT12" s="113">
        <v>2</v>
      </c>
      <c r="AU12" s="113" t="s">
        <v>81</v>
      </c>
      <c r="AV12" s="113" t="s">
        <v>81</v>
      </c>
      <c r="AW12" s="23">
        <v>1</v>
      </c>
      <c r="AX12" s="23" t="s">
        <v>82</v>
      </c>
      <c r="AY12" s="18" t="s">
        <v>83</v>
      </c>
      <c r="AZ12" s="23" t="s">
        <v>86</v>
      </c>
      <c r="BA12" s="18" t="str">
        <f t="shared" si="15"/>
        <v>Sangat baik</v>
      </c>
      <c r="BB12" s="23">
        <v>2</v>
      </c>
      <c r="BC12" s="18" t="s">
        <v>212</v>
      </c>
      <c r="BD12" s="18" t="s">
        <v>83</v>
      </c>
      <c r="BE12" s="23" t="s">
        <v>86</v>
      </c>
      <c r="BF12" s="18" t="str">
        <f t="shared" si="16"/>
        <v>Sangat baik</v>
      </c>
      <c r="BG12" s="23"/>
      <c r="BH12" s="23"/>
      <c r="BI12" s="23"/>
      <c r="BJ12" s="23"/>
      <c r="BK12" s="18"/>
    </row>
    <row r="13" spans="1:73" ht="38.25" customHeight="1" x14ac:dyDescent="0.25">
      <c r="A13" s="23">
        <v>12</v>
      </c>
      <c r="B13" s="23">
        <v>2525989</v>
      </c>
      <c r="C13" s="23" t="s">
        <v>1404</v>
      </c>
      <c r="D13" s="135" t="s">
        <v>1405</v>
      </c>
      <c r="E13" s="23" t="s">
        <v>1380</v>
      </c>
      <c r="F13" s="135" t="s">
        <v>1381</v>
      </c>
      <c r="G13" s="24" t="s">
        <v>1382</v>
      </c>
      <c r="H13" s="24" t="s">
        <v>1383</v>
      </c>
      <c r="I13" s="60" t="s">
        <v>76</v>
      </c>
      <c r="J13" s="61" t="s">
        <v>77</v>
      </c>
      <c r="K13" s="61" t="s">
        <v>78</v>
      </c>
      <c r="L13" s="61" t="s">
        <v>79</v>
      </c>
      <c r="M13" s="23">
        <v>79</v>
      </c>
      <c r="N13" s="18" t="str">
        <f t="shared" si="0"/>
        <v>Mencapai kompetensi dengan baik dalam hal</v>
      </c>
      <c r="O13" s="23">
        <v>78</v>
      </c>
      <c r="P13" s="18" t="str">
        <f t="shared" si="1"/>
        <v>Mencapai kompetensi dengan baik dalam hal</v>
      </c>
      <c r="Q13" s="23">
        <v>80</v>
      </c>
      <c r="R13" s="18" t="str">
        <f t="shared" si="2"/>
        <v>Mencapai kompetensi dengan baik dalam hal</v>
      </c>
      <c r="S13" s="23">
        <v>82</v>
      </c>
      <c r="T13" s="18" t="str">
        <f t="shared" si="3"/>
        <v>Mencapai kompetensi dengan baik dalam hal</v>
      </c>
      <c r="U13" s="23">
        <v>80</v>
      </c>
      <c r="V13" s="18" t="str">
        <f t="shared" si="4"/>
        <v>Mencapai kompetensi dengan baik dalam hal</v>
      </c>
      <c r="W13" s="23">
        <v>80</v>
      </c>
      <c r="X13" s="18" t="str">
        <f t="shared" si="5"/>
        <v>Mencapai kompetensi dengan baik dalam hal</v>
      </c>
      <c r="Y13" s="23">
        <v>77</v>
      </c>
      <c r="Z13" s="18" t="str">
        <f t="shared" si="6"/>
        <v>Mencapai kompetensi dengan baik dalam hal</v>
      </c>
      <c r="AA13" s="23">
        <v>78</v>
      </c>
      <c r="AB13" s="18" t="str">
        <f t="shared" si="17"/>
        <v>Mencapai kompetensi dengan baik dalam hal</v>
      </c>
      <c r="AC13" s="23">
        <v>85</v>
      </c>
      <c r="AD13" s="18" t="str">
        <f t="shared" si="7"/>
        <v>Mencapai kompetensi dengan baik dalam hal</v>
      </c>
      <c r="AE13" s="23">
        <v>82</v>
      </c>
      <c r="AF13" s="18" t="str">
        <f t="shared" si="8"/>
        <v>Mencapai kompetensi dengan baik dalam hal</v>
      </c>
      <c r="AG13" s="23">
        <v>78</v>
      </c>
      <c r="AH13" s="18" t="str">
        <f t="shared" si="9"/>
        <v>Mencapai kompetensi dengan baik dalam hal</v>
      </c>
      <c r="AI13" s="23">
        <v>80</v>
      </c>
      <c r="AJ13" s="18" t="str">
        <f t="shared" si="10"/>
        <v>Mencapai kompetensi dengan baik dalam hal</v>
      </c>
      <c r="AK13" s="23">
        <v>78</v>
      </c>
      <c r="AL13" s="18" t="str">
        <f t="shared" si="11"/>
        <v>Mencapai kompetensi dengan baik dalam hal</v>
      </c>
      <c r="AM13" s="23">
        <v>83</v>
      </c>
      <c r="AN13" s="18" t="str">
        <f t="shared" si="12"/>
        <v>Mencapai kompetensi dengan baik dalam hal</v>
      </c>
      <c r="AO13" s="62">
        <f t="shared" si="18"/>
        <v>79.75</v>
      </c>
      <c r="AP13" s="23">
        <v>85</v>
      </c>
      <c r="AQ13" s="18" t="str">
        <f t="shared" si="13"/>
        <v>Mencapai kompetensi dengan baik dalam hal</v>
      </c>
      <c r="AR13" s="23">
        <v>80</v>
      </c>
      <c r="AS13" s="18" t="str">
        <f t="shared" si="14"/>
        <v>Mencapai kompetensi dengan baik dalam hal</v>
      </c>
      <c r="AT13" s="113" t="s">
        <v>81</v>
      </c>
      <c r="AU13" s="113" t="s">
        <v>81</v>
      </c>
      <c r="AV13" s="113" t="s">
        <v>81</v>
      </c>
      <c r="AW13" s="23">
        <v>1</v>
      </c>
      <c r="AX13" s="23" t="s">
        <v>82</v>
      </c>
      <c r="AY13" s="18" t="s">
        <v>83</v>
      </c>
      <c r="AZ13" s="23" t="s">
        <v>84</v>
      </c>
      <c r="BA13" s="18" t="str">
        <f t="shared" si="15"/>
        <v>Baik</v>
      </c>
      <c r="BB13" s="23">
        <v>2</v>
      </c>
      <c r="BC13" s="18" t="s">
        <v>170</v>
      </c>
      <c r="BD13" s="18" t="s">
        <v>83</v>
      </c>
      <c r="BE13" s="23" t="s">
        <v>84</v>
      </c>
      <c r="BF13" s="18" t="str">
        <f t="shared" si="16"/>
        <v>Baik</v>
      </c>
      <c r="BG13" s="23"/>
      <c r="BH13" s="23"/>
      <c r="BI13" s="23"/>
      <c r="BJ13" s="23"/>
      <c r="BK13" s="18"/>
    </row>
    <row r="14" spans="1:73" ht="38.25" customHeight="1" x14ac:dyDescent="0.25">
      <c r="A14" s="23">
        <v>13</v>
      </c>
      <c r="B14" s="23">
        <v>2525990</v>
      </c>
      <c r="C14" s="23" t="s">
        <v>1406</v>
      </c>
      <c r="D14" s="135" t="s">
        <v>1407</v>
      </c>
      <c r="E14" s="23" t="s">
        <v>1380</v>
      </c>
      <c r="F14" s="135" t="s">
        <v>1381</v>
      </c>
      <c r="G14" s="24" t="s">
        <v>1382</v>
      </c>
      <c r="H14" s="24" t="s">
        <v>1383</v>
      </c>
      <c r="I14" s="60" t="s">
        <v>76</v>
      </c>
      <c r="J14" s="61" t="s">
        <v>77</v>
      </c>
      <c r="K14" s="61" t="s">
        <v>78</v>
      </c>
      <c r="L14" s="61" t="s">
        <v>79</v>
      </c>
      <c r="M14" s="23">
        <v>80</v>
      </c>
      <c r="N14" s="18" t="str">
        <f t="shared" si="0"/>
        <v>Mencapai kompetensi dengan baik dalam hal</v>
      </c>
      <c r="O14" s="23">
        <v>81</v>
      </c>
      <c r="P14" s="18" t="str">
        <f t="shared" si="1"/>
        <v>Mencapai kompetensi dengan baik dalam hal</v>
      </c>
      <c r="Q14" s="23">
        <v>80</v>
      </c>
      <c r="R14" s="18" t="str">
        <f t="shared" si="2"/>
        <v>Mencapai kompetensi dengan baik dalam hal</v>
      </c>
      <c r="S14" s="23">
        <v>84</v>
      </c>
      <c r="T14" s="18" t="str">
        <f t="shared" si="3"/>
        <v>Mencapai kompetensi dengan baik dalam hal</v>
      </c>
      <c r="U14" s="23">
        <v>84</v>
      </c>
      <c r="V14" s="18" t="str">
        <f t="shared" si="4"/>
        <v>Mencapai kompetensi dengan baik dalam hal</v>
      </c>
      <c r="W14" s="23">
        <v>83</v>
      </c>
      <c r="X14" s="18" t="str">
        <f t="shared" si="5"/>
        <v>Mencapai kompetensi dengan baik dalam hal</v>
      </c>
      <c r="Y14" s="23">
        <v>79</v>
      </c>
      <c r="Z14" s="18" t="str">
        <f t="shared" si="6"/>
        <v>Mencapai kompetensi dengan baik dalam hal</v>
      </c>
      <c r="AA14" s="23">
        <v>80</v>
      </c>
      <c r="AB14" s="18" t="str">
        <f t="shared" si="17"/>
        <v>Mencapai kompetensi dengan baik dalam hal</v>
      </c>
      <c r="AC14" s="23">
        <v>84</v>
      </c>
      <c r="AD14" s="18" t="str">
        <f t="shared" si="7"/>
        <v>Mencapai kompetensi dengan baik dalam hal</v>
      </c>
      <c r="AE14" s="23">
        <v>85</v>
      </c>
      <c r="AF14" s="18" t="str">
        <f t="shared" si="8"/>
        <v>Mencapai kompetensi dengan baik dalam hal</v>
      </c>
      <c r="AG14" s="23">
        <v>83</v>
      </c>
      <c r="AH14" s="18" t="str">
        <f t="shared" si="9"/>
        <v>Mencapai kompetensi dengan baik dalam hal</v>
      </c>
      <c r="AI14" s="23">
        <v>85</v>
      </c>
      <c r="AJ14" s="18" t="str">
        <f t="shared" si="10"/>
        <v>Mencapai kompetensi dengan baik dalam hal</v>
      </c>
      <c r="AK14" s="23">
        <v>86</v>
      </c>
      <c r="AL14" s="18" t="str">
        <f t="shared" si="11"/>
        <v>Mencapai kompetensi dengan baik dalam hal</v>
      </c>
      <c r="AM14" s="23">
        <v>85</v>
      </c>
      <c r="AN14" s="18" t="str">
        <f t="shared" si="12"/>
        <v>Mencapai kompetensi dengan baik dalam hal</v>
      </c>
      <c r="AO14" s="62">
        <f t="shared" si="18"/>
        <v>84.75</v>
      </c>
      <c r="AP14" s="23">
        <v>84</v>
      </c>
      <c r="AQ14" s="18" t="str">
        <f t="shared" si="13"/>
        <v>Mencapai kompetensi dengan baik dalam hal</v>
      </c>
      <c r="AR14" s="23">
        <v>80</v>
      </c>
      <c r="AS14" s="18" t="str">
        <f t="shared" si="14"/>
        <v>Mencapai kompetensi dengan baik dalam hal</v>
      </c>
      <c r="AT14" s="113" t="s">
        <v>81</v>
      </c>
      <c r="AU14" s="113" t="s">
        <v>81</v>
      </c>
      <c r="AV14" s="113" t="s">
        <v>81</v>
      </c>
      <c r="AW14" s="23">
        <v>1</v>
      </c>
      <c r="AX14" s="23" t="s">
        <v>82</v>
      </c>
      <c r="AY14" s="18" t="s">
        <v>83</v>
      </c>
      <c r="AZ14" s="23" t="s">
        <v>84</v>
      </c>
      <c r="BA14" s="18" t="str">
        <f t="shared" si="15"/>
        <v>Baik</v>
      </c>
      <c r="BB14" s="23">
        <v>2</v>
      </c>
      <c r="BC14" s="18" t="s">
        <v>170</v>
      </c>
      <c r="BD14" s="18" t="s">
        <v>83</v>
      </c>
      <c r="BE14" s="23" t="s">
        <v>86</v>
      </c>
      <c r="BF14" s="18" t="str">
        <f t="shared" si="16"/>
        <v>Sangat baik</v>
      </c>
      <c r="BG14" s="23"/>
      <c r="BH14" s="23"/>
      <c r="BI14" s="23"/>
      <c r="BJ14" s="23"/>
      <c r="BK14" s="18"/>
    </row>
    <row r="15" spans="1:73" ht="38.25" customHeight="1" x14ac:dyDescent="0.25">
      <c r="A15" s="23">
        <v>14</v>
      </c>
      <c r="B15" s="23">
        <v>2525991</v>
      </c>
      <c r="C15" s="23" t="s">
        <v>1408</v>
      </c>
      <c r="D15" s="135" t="s">
        <v>1409</v>
      </c>
      <c r="E15" s="23" t="s">
        <v>1380</v>
      </c>
      <c r="F15" s="135" t="s">
        <v>1381</v>
      </c>
      <c r="G15" s="24" t="s">
        <v>1382</v>
      </c>
      <c r="H15" s="24" t="s">
        <v>1383</v>
      </c>
      <c r="I15" s="60" t="s">
        <v>76</v>
      </c>
      <c r="J15" s="61" t="s">
        <v>77</v>
      </c>
      <c r="K15" s="61" t="s">
        <v>78</v>
      </c>
      <c r="L15" s="61" t="s">
        <v>79</v>
      </c>
      <c r="M15" s="23">
        <v>80</v>
      </c>
      <c r="N15" s="18" t="str">
        <f t="shared" si="0"/>
        <v>Mencapai kompetensi dengan baik dalam hal</v>
      </c>
      <c r="O15" s="23">
        <v>77</v>
      </c>
      <c r="P15" s="18" t="str">
        <f t="shared" si="1"/>
        <v>Mencapai kompetensi dengan baik dalam hal</v>
      </c>
      <c r="Q15" s="23">
        <v>80</v>
      </c>
      <c r="R15" s="18" t="str">
        <f t="shared" si="2"/>
        <v>Mencapai kompetensi dengan baik dalam hal</v>
      </c>
      <c r="S15" s="23">
        <v>80</v>
      </c>
      <c r="T15" s="18" t="str">
        <f t="shared" si="3"/>
        <v>Mencapai kompetensi dengan baik dalam hal</v>
      </c>
      <c r="U15" s="23">
        <v>82</v>
      </c>
      <c r="V15" s="18" t="str">
        <f t="shared" si="4"/>
        <v>Mencapai kompetensi dengan baik dalam hal</v>
      </c>
      <c r="W15" s="23">
        <v>80</v>
      </c>
      <c r="X15" s="18" t="str">
        <f t="shared" si="5"/>
        <v>Mencapai kompetensi dengan baik dalam hal</v>
      </c>
      <c r="Y15" s="23">
        <v>76</v>
      </c>
      <c r="Z15" s="18" t="str">
        <f t="shared" si="6"/>
        <v>Mencapai kompetensi dengan baik dalam hal</v>
      </c>
      <c r="AA15" s="23">
        <v>79</v>
      </c>
      <c r="AB15" s="18" t="str">
        <f t="shared" si="17"/>
        <v>Mencapai kompetensi dengan baik dalam hal</v>
      </c>
      <c r="AC15" s="23">
        <v>82</v>
      </c>
      <c r="AD15" s="18" t="str">
        <f t="shared" si="7"/>
        <v>Mencapai kompetensi dengan baik dalam hal</v>
      </c>
      <c r="AE15" s="23">
        <v>81</v>
      </c>
      <c r="AF15" s="18" t="str">
        <f t="shared" si="8"/>
        <v>Mencapai kompetensi dengan baik dalam hal</v>
      </c>
      <c r="AG15" s="23">
        <v>82</v>
      </c>
      <c r="AH15" s="18" t="str">
        <f t="shared" si="9"/>
        <v>Mencapai kompetensi dengan baik dalam hal</v>
      </c>
      <c r="AI15" s="23">
        <v>82</v>
      </c>
      <c r="AJ15" s="18" t="str">
        <f t="shared" si="10"/>
        <v>Mencapai kompetensi dengan baik dalam hal</v>
      </c>
      <c r="AK15" s="23">
        <v>80</v>
      </c>
      <c r="AL15" s="18" t="str">
        <f t="shared" si="11"/>
        <v>Mencapai kompetensi dengan baik dalam hal</v>
      </c>
      <c r="AM15" s="23">
        <v>80</v>
      </c>
      <c r="AN15" s="18" t="str">
        <f t="shared" si="12"/>
        <v>Mencapai kompetensi dengan baik dalam hal</v>
      </c>
      <c r="AO15" s="62">
        <f t="shared" si="18"/>
        <v>81</v>
      </c>
      <c r="AP15" s="23">
        <v>82</v>
      </c>
      <c r="AQ15" s="18" t="str">
        <f t="shared" si="13"/>
        <v>Mencapai kompetensi dengan baik dalam hal</v>
      </c>
      <c r="AR15" s="23">
        <v>78</v>
      </c>
      <c r="AS15" s="18" t="str">
        <f t="shared" si="14"/>
        <v>Mencapai kompetensi dengan baik dalam hal</v>
      </c>
      <c r="AT15" s="113">
        <v>1</v>
      </c>
      <c r="AU15" s="113">
        <v>1</v>
      </c>
      <c r="AV15" s="113" t="s">
        <v>81</v>
      </c>
      <c r="AW15" s="23">
        <v>1</v>
      </c>
      <c r="AX15" s="23" t="s">
        <v>82</v>
      </c>
      <c r="AY15" s="18" t="s">
        <v>83</v>
      </c>
      <c r="AZ15" s="23" t="s">
        <v>86</v>
      </c>
      <c r="BA15" s="18" t="str">
        <f t="shared" si="15"/>
        <v>Sangat baik</v>
      </c>
      <c r="BB15" s="23">
        <v>2</v>
      </c>
      <c r="BC15" s="18" t="s">
        <v>236</v>
      </c>
      <c r="BD15" s="18" t="s">
        <v>83</v>
      </c>
      <c r="BE15" s="23" t="s">
        <v>86</v>
      </c>
      <c r="BF15" s="18" t="str">
        <f t="shared" si="16"/>
        <v>Sangat baik</v>
      </c>
      <c r="BG15" s="23"/>
      <c r="BH15" s="23"/>
      <c r="BI15" s="23"/>
      <c r="BJ15" s="23"/>
      <c r="BK15" s="18"/>
    </row>
    <row r="16" spans="1:73" ht="38.25" customHeight="1" x14ac:dyDescent="0.25">
      <c r="A16" s="23">
        <v>15</v>
      </c>
      <c r="B16" s="23">
        <v>2525992</v>
      </c>
      <c r="C16" s="23" t="s">
        <v>1410</v>
      </c>
      <c r="D16" s="135" t="s">
        <v>1411</v>
      </c>
      <c r="E16" s="23" t="s">
        <v>1380</v>
      </c>
      <c r="F16" s="135" t="s">
        <v>1381</v>
      </c>
      <c r="G16" s="24" t="s">
        <v>1382</v>
      </c>
      <c r="H16" s="24" t="s">
        <v>1383</v>
      </c>
      <c r="I16" s="60" t="s">
        <v>76</v>
      </c>
      <c r="J16" s="61" t="s">
        <v>77</v>
      </c>
      <c r="K16" s="61" t="s">
        <v>78</v>
      </c>
      <c r="L16" s="61" t="s">
        <v>79</v>
      </c>
      <c r="M16" s="23">
        <v>79</v>
      </c>
      <c r="N16" s="18" t="str">
        <f t="shared" si="0"/>
        <v>Mencapai kompetensi dengan baik dalam hal</v>
      </c>
      <c r="O16" s="23">
        <v>77</v>
      </c>
      <c r="P16" s="18" t="str">
        <f t="shared" si="1"/>
        <v>Mencapai kompetensi dengan baik dalam hal</v>
      </c>
      <c r="Q16" s="23">
        <v>83</v>
      </c>
      <c r="R16" s="18" t="str">
        <f t="shared" si="2"/>
        <v>Mencapai kompetensi dengan baik dalam hal</v>
      </c>
      <c r="S16" s="23">
        <v>85</v>
      </c>
      <c r="T16" s="18" t="str">
        <f t="shared" si="3"/>
        <v>Mencapai kompetensi dengan baik dalam hal</v>
      </c>
      <c r="U16" s="23">
        <v>83</v>
      </c>
      <c r="V16" s="18" t="str">
        <f t="shared" si="4"/>
        <v>Mencapai kompetensi dengan baik dalam hal</v>
      </c>
      <c r="W16" s="23">
        <v>80</v>
      </c>
      <c r="X16" s="18" t="str">
        <f t="shared" si="5"/>
        <v>Mencapai kompetensi dengan baik dalam hal</v>
      </c>
      <c r="Y16" s="23">
        <v>80</v>
      </c>
      <c r="Z16" s="18" t="str">
        <f t="shared" si="6"/>
        <v>Mencapai kompetensi dengan baik dalam hal</v>
      </c>
      <c r="AA16" s="23">
        <v>78</v>
      </c>
      <c r="AB16" s="18" t="str">
        <f t="shared" si="17"/>
        <v>Mencapai kompetensi dengan baik dalam hal</v>
      </c>
      <c r="AC16" s="23">
        <v>82</v>
      </c>
      <c r="AD16" s="18" t="str">
        <f t="shared" si="7"/>
        <v>Mencapai kompetensi dengan baik dalam hal</v>
      </c>
      <c r="AE16" s="23">
        <v>81</v>
      </c>
      <c r="AF16" s="18" t="str">
        <f t="shared" si="8"/>
        <v>Mencapai kompetensi dengan baik dalam hal</v>
      </c>
      <c r="AG16" s="23">
        <v>82</v>
      </c>
      <c r="AH16" s="18" t="str">
        <f t="shared" si="9"/>
        <v>Mencapai kompetensi dengan baik dalam hal</v>
      </c>
      <c r="AI16" s="23">
        <v>78</v>
      </c>
      <c r="AJ16" s="18" t="str">
        <f t="shared" si="10"/>
        <v>Mencapai kompetensi dengan baik dalam hal</v>
      </c>
      <c r="AK16" s="23">
        <v>84</v>
      </c>
      <c r="AL16" s="18" t="str">
        <f t="shared" si="11"/>
        <v>Mencapai kompetensi dengan baik dalam hal</v>
      </c>
      <c r="AM16" s="23">
        <v>86</v>
      </c>
      <c r="AN16" s="18" t="str">
        <f t="shared" si="12"/>
        <v>Mencapai kompetensi dengan baik dalam hal</v>
      </c>
      <c r="AO16" s="62">
        <f t="shared" si="18"/>
        <v>82.5</v>
      </c>
      <c r="AP16" s="23">
        <v>82</v>
      </c>
      <c r="AQ16" s="18" t="str">
        <f t="shared" si="13"/>
        <v>Mencapai kompetensi dengan baik dalam hal</v>
      </c>
      <c r="AR16" s="23">
        <v>80</v>
      </c>
      <c r="AS16" s="18" t="str">
        <f t="shared" si="14"/>
        <v>Mencapai kompetensi dengan baik dalam hal</v>
      </c>
      <c r="AT16" s="113" t="s">
        <v>81</v>
      </c>
      <c r="AU16" s="113" t="s">
        <v>81</v>
      </c>
      <c r="AV16" s="113" t="s">
        <v>81</v>
      </c>
      <c r="AW16" s="23">
        <v>1</v>
      </c>
      <c r="AX16" s="23" t="s">
        <v>82</v>
      </c>
      <c r="AY16" s="18" t="s">
        <v>83</v>
      </c>
      <c r="AZ16" s="23" t="s">
        <v>86</v>
      </c>
      <c r="BA16" s="18" t="str">
        <f t="shared" si="15"/>
        <v>Sangat baik</v>
      </c>
      <c r="BB16" s="23">
        <v>2</v>
      </c>
      <c r="BC16" s="18" t="s">
        <v>99</v>
      </c>
      <c r="BD16" s="18" t="s">
        <v>83</v>
      </c>
      <c r="BE16" s="23" t="s">
        <v>84</v>
      </c>
      <c r="BF16" s="18" t="str">
        <f t="shared" si="16"/>
        <v>Baik</v>
      </c>
      <c r="BG16" s="23"/>
      <c r="BH16" s="23"/>
      <c r="BI16" s="23"/>
      <c r="BJ16" s="23"/>
      <c r="BK16" s="18"/>
    </row>
    <row r="17" spans="1:63" ht="38.25" customHeight="1" x14ac:dyDescent="0.25">
      <c r="A17" s="23">
        <v>16</v>
      </c>
      <c r="B17" s="23">
        <v>2525993</v>
      </c>
      <c r="C17" s="23" t="s">
        <v>1412</v>
      </c>
      <c r="D17" s="135" t="s">
        <v>1413</v>
      </c>
      <c r="E17" s="23" t="s">
        <v>1380</v>
      </c>
      <c r="F17" s="135" t="s">
        <v>1381</v>
      </c>
      <c r="G17" s="24" t="s">
        <v>1382</v>
      </c>
      <c r="H17" s="24" t="s">
        <v>1383</v>
      </c>
      <c r="I17" s="60" t="s">
        <v>76</v>
      </c>
      <c r="J17" s="61" t="s">
        <v>77</v>
      </c>
      <c r="K17" s="61" t="s">
        <v>78</v>
      </c>
      <c r="L17" s="61" t="s">
        <v>79</v>
      </c>
      <c r="M17" s="23">
        <v>80</v>
      </c>
      <c r="N17" s="18" t="str">
        <f t="shared" si="0"/>
        <v>Mencapai kompetensi dengan baik dalam hal</v>
      </c>
      <c r="O17" s="23">
        <v>79</v>
      </c>
      <c r="P17" s="18" t="str">
        <f t="shared" si="1"/>
        <v>Mencapai kompetensi dengan baik dalam hal</v>
      </c>
      <c r="Q17" s="23">
        <v>80</v>
      </c>
      <c r="R17" s="18" t="str">
        <f t="shared" si="2"/>
        <v>Mencapai kompetensi dengan baik dalam hal</v>
      </c>
      <c r="S17" s="23">
        <v>82</v>
      </c>
      <c r="T17" s="18" t="str">
        <f t="shared" si="3"/>
        <v>Mencapai kompetensi dengan baik dalam hal</v>
      </c>
      <c r="U17" s="23">
        <v>81</v>
      </c>
      <c r="V17" s="18" t="str">
        <f t="shared" si="4"/>
        <v>Mencapai kompetensi dengan baik dalam hal</v>
      </c>
      <c r="W17" s="23">
        <v>80</v>
      </c>
      <c r="X17" s="18" t="str">
        <f t="shared" si="5"/>
        <v>Mencapai kompetensi dengan baik dalam hal</v>
      </c>
      <c r="Y17" s="23">
        <v>80</v>
      </c>
      <c r="Z17" s="18" t="str">
        <f t="shared" si="6"/>
        <v>Mencapai kompetensi dengan baik dalam hal</v>
      </c>
      <c r="AA17" s="23">
        <v>80</v>
      </c>
      <c r="AB17" s="18" t="str">
        <f t="shared" si="17"/>
        <v>Mencapai kompetensi dengan baik dalam hal</v>
      </c>
      <c r="AC17" s="23">
        <v>82</v>
      </c>
      <c r="AD17" s="18" t="str">
        <f t="shared" si="7"/>
        <v>Mencapai kompetensi dengan baik dalam hal</v>
      </c>
      <c r="AE17" s="23">
        <v>81</v>
      </c>
      <c r="AF17" s="18" t="str">
        <f t="shared" si="8"/>
        <v>Mencapai kompetensi dengan baik dalam hal</v>
      </c>
      <c r="AG17" s="23">
        <v>85</v>
      </c>
      <c r="AH17" s="18" t="str">
        <f t="shared" si="9"/>
        <v>Mencapai kompetensi dengan baik dalam hal</v>
      </c>
      <c r="AI17" s="23">
        <v>84</v>
      </c>
      <c r="AJ17" s="18" t="str">
        <f t="shared" si="10"/>
        <v>Mencapai kompetensi dengan baik dalam hal</v>
      </c>
      <c r="AK17" s="23">
        <v>84</v>
      </c>
      <c r="AL17" s="18" t="str">
        <f t="shared" si="11"/>
        <v>Mencapai kompetensi dengan baik dalam hal</v>
      </c>
      <c r="AM17" s="23">
        <v>86</v>
      </c>
      <c r="AN17" s="18" t="str">
        <f t="shared" si="12"/>
        <v>Mencapai kompetensi dengan baik dalam hal</v>
      </c>
      <c r="AO17" s="62">
        <f t="shared" si="18"/>
        <v>84.75</v>
      </c>
      <c r="AP17" s="23">
        <v>82</v>
      </c>
      <c r="AQ17" s="18" t="str">
        <f t="shared" si="13"/>
        <v>Mencapai kompetensi dengan baik dalam hal</v>
      </c>
      <c r="AR17" s="23">
        <v>80</v>
      </c>
      <c r="AS17" s="18" t="str">
        <f t="shared" si="14"/>
        <v>Mencapai kompetensi dengan baik dalam hal</v>
      </c>
      <c r="AT17" s="113" t="s">
        <v>81</v>
      </c>
      <c r="AU17" s="113" t="s">
        <v>81</v>
      </c>
      <c r="AV17" s="113" t="s">
        <v>81</v>
      </c>
      <c r="AW17" s="23">
        <v>1</v>
      </c>
      <c r="AX17" s="23" t="s">
        <v>82</v>
      </c>
      <c r="AY17" s="18" t="s">
        <v>83</v>
      </c>
      <c r="AZ17" s="23" t="s">
        <v>84</v>
      </c>
      <c r="BA17" s="18" t="str">
        <f t="shared" si="15"/>
        <v>Baik</v>
      </c>
      <c r="BB17" s="23">
        <v>2</v>
      </c>
      <c r="BC17" s="18" t="s">
        <v>170</v>
      </c>
      <c r="BD17" s="18" t="s">
        <v>83</v>
      </c>
      <c r="BE17" s="23" t="s">
        <v>86</v>
      </c>
      <c r="BF17" s="18" t="str">
        <f t="shared" si="16"/>
        <v>Sangat baik</v>
      </c>
      <c r="BG17" s="23"/>
      <c r="BH17" s="23"/>
      <c r="BI17" s="23"/>
      <c r="BJ17" s="23"/>
      <c r="BK17" s="18"/>
    </row>
    <row r="18" spans="1:63" ht="38.25" customHeight="1" x14ac:dyDescent="0.25">
      <c r="A18" s="23">
        <v>17</v>
      </c>
      <c r="B18" s="23">
        <v>2525994</v>
      </c>
      <c r="C18" s="23" t="s">
        <v>1414</v>
      </c>
      <c r="D18" s="135" t="s">
        <v>1415</v>
      </c>
      <c r="E18" s="23" t="s">
        <v>1380</v>
      </c>
      <c r="F18" s="135" t="s">
        <v>1381</v>
      </c>
      <c r="G18" s="24" t="s">
        <v>1382</v>
      </c>
      <c r="H18" s="24" t="s">
        <v>1383</v>
      </c>
      <c r="I18" s="60" t="s">
        <v>76</v>
      </c>
      <c r="J18" s="61" t="s">
        <v>77</v>
      </c>
      <c r="K18" s="61" t="s">
        <v>78</v>
      </c>
      <c r="L18" s="61" t="s">
        <v>79</v>
      </c>
      <c r="M18" s="23">
        <v>84</v>
      </c>
      <c r="N18" s="18" t="str">
        <f t="shared" si="0"/>
        <v>Mencapai kompetensi dengan baik dalam hal</v>
      </c>
      <c r="O18" s="23">
        <v>80</v>
      </c>
      <c r="P18" s="18" t="str">
        <f t="shared" si="1"/>
        <v>Mencapai kompetensi dengan baik dalam hal</v>
      </c>
      <c r="Q18" s="23">
        <v>83</v>
      </c>
      <c r="R18" s="18" t="str">
        <f t="shared" si="2"/>
        <v>Mencapai kompetensi dengan baik dalam hal</v>
      </c>
      <c r="S18" s="23">
        <v>82</v>
      </c>
      <c r="T18" s="18" t="str">
        <f t="shared" si="3"/>
        <v>Mencapai kompetensi dengan baik dalam hal</v>
      </c>
      <c r="U18" s="23">
        <v>84</v>
      </c>
      <c r="V18" s="18" t="str">
        <f t="shared" si="4"/>
        <v>Mencapai kompetensi dengan baik dalam hal</v>
      </c>
      <c r="W18" s="23">
        <v>85</v>
      </c>
      <c r="X18" s="18" t="str">
        <f t="shared" si="5"/>
        <v>Mencapai kompetensi dengan baik dalam hal</v>
      </c>
      <c r="Y18" s="23">
        <v>81</v>
      </c>
      <c r="Z18" s="18" t="str">
        <f t="shared" si="6"/>
        <v>Mencapai kompetensi dengan baik dalam hal</v>
      </c>
      <c r="AA18" s="23">
        <v>81</v>
      </c>
      <c r="AB18" s="18" t="str">
        <f t="shared" si="17"/>
        <v>Mencapai kompetensi dengan baik dalam hal</v>
      </c>
      <c r="AC18" s="23">
        <v>86</v>
      </c>
      <c r="AD18" s="18" t="str">
        <f t="shared" si="7"/>
        <v>Mencapai kompetensi dengan baik dalam hal</v>
      </c>
      <c r="AE18" s="23">
        <v>88</v>
      </c>
      <c r="AF18" s="18" t="str">
        <f t="shared" si="8"/>
        <v>Mencapai kompetensi dengan baik dalam hal</v>
      </c>
      <c r="AG18" s="23">
        <v>82</v>
      </c>
      <c r="AH18" s="18" t="str">
        <f t="shared" si="9"/>
        <v>Mencapai kompetensi dengan baik dalam hal</v>
      </c>
      <c r="AI18" s="23">
        <v>80</v>
      </c>
      <c r="AJ18" s="18" t="str">
        <f t="shared" si="10"/>
        <v>Mencapai kompetensi dengan baik dalam hal</v>
      </c>
      <c r="AK18" s="23">
        <v>84</v>
      </c>
      <c r="AL18" s="18" t="str">
        <f t="shared" si="11"/>
        <v>Mencapai kompetensi dengan baik dalam hal</v>
      </c>
      <c r="AM18" s="23">
        <v>84</v>
      </c>
      <c r="AN18" s="18" t="str">
        <f t="shared" si="12"/>
        <v>Mencapai kompetensi dengan baik dalam hal</v>
      </c>
      <c r="AO18" s="62">
        <f t="shared" si="18"/>
        <v>82.5</v>
      </c>
      <c r="AP18" s="23">
        <v>86</v>
      </c>
      <c r="AQ18" s="18" t="str">
        <f t="shared" si="13"/>
        <v>Mencapai kompetensi dengan baik dalam hal</v>
      </c>
      <c r="AR18" s="23">
        <v>80</v>
      </c>
      <c r="AS18" s="18" t="str">
        <f t="shared" si="14"/>
        <v>Mencapai kompetensi dengan baik dalam hal</v>
      </c>
      <c r="AT18" s="113">
        <v>1</v>
      </c>
      <c r="AU18" s="113" t="s">
        <v>81</v>
      </c>
      <c r="AV18" s="113" t="s">
        <v>81</v>
      </c>
      <c r="AW18" s="23">
        <v>1</v>
      </c>
      <c r="AX18" s="23" t="s">
        <v>82</v>
      </c>
      <c r="AY18" s="18" t="s">
        <v>83</v>
      </c>
      <c r="AZ18" s="23" t="s">
        <v>86</v>
      </c>
      <c r="BA18" s="18" t="str">
        <f t="shared" si="15"/>
        <v>Sangat baik</v>
      </c>
      <c r="BB18" s="23">
        <v>2</v>
      </c>
      <c r="BC18" s="18" t="s">
        <v>85</v>
      </c>
      <c r="BD18" s="18" t="s">
        <v>83</v>
      </c>
      <c r="BE18" s="23" t="s">
        <v>86</v>
      </c>
      <c r="BF18" s="18" t="str">
        <f t="shared" si="16"/>
        <v>Sangat baik</v>
      </c>
      <c r="BG18" s="23"/>
      <c r="BH18" s="23"/>
      <c r="BI18" s="23"/>
      <c r="BJ18" s="23"/>
      <c r="BK18" s="18"/>
    </row>
    <row r="19" spans="1:63" ht="38.25" customHeight="1" x14ac:dyDescent="0.25">
      <c r="A19" s="23">
        <v>18</v>
      </c>
      <c r="B19" s="23">
        <v>2525995</v>
      </c>
      <c r="C19" s="23" t="s">
        <v>1416</v>
      </c>
      <c r="D19" s="135" t="s">
        <v>1417</v>
      </c>
      <c r="E19" s="23" t="s">
        <v>1380</v>
      </c>
      <c r="F19" s="135" t="s">
        <v>1381</v>
      </c>
      <c r="G19" s="24" t="s">
        <v>1382</v>
      </c>
      <c r="H19" s="24" t="s">
        <v>1383</v>
      </c>
      <c r="I19" s="60" t="s">
        <v>76</v>
      </c>
      <c r="J19" s="61" t="s">
        <v>77</v>
      </c>
      <c r="K19" s="61" t="s">
        <v>78</v>
      </c>
      <c r="L19" s="61" t="s">
        <v>79</v>
      </c>
      <c r="M19" s="23">
        <v>81</v>
      </c>
      <c r="N19" s="18" t="str">
        <f t="shared" si="0"/>
        <v>Mencapai kompetensi dengan baik dalam hal</v>
      </c>
      <c r="O19" s="23">
        <v>79</v>
      </c>
      <c r="P19" s="18" t="str">
        <f t="shared" si="1"/>
        <v>Mencapai kompetensi dengan baik dalam hal</v>
      </c>
      <c r="Q19" s="23">
        <v>82</v>
      </c>
      <c r="R19" s="18" t="str">
        <f t="shared" si="2"/>
        <v>Mencapai kompetensi dengan baik dalam hal</v>
      </c>
      <c r="S19" s="23">
        <v>81</v>
      </c>
      <c r="T19" s="18" t="str">
        <f t="shared" si="3"/>
        <v>Mencapai kompetensi dengan baik dalam hal</v>
      </c>
      <c r="U19" s="23">
        <v>84</v>
      </c>
      <c r="V19" s="18" t="str">
        <f t="shared" si="4"/>
        <v>Mencapai kompetensi dengan baik dalam hal</v>
      </c>
      <c r="W19" s="23">
        <v>82</v>
      </c>
      <c r="X19" s="18" t="str">
        <f t="shared" si="5"/>
        <v>Mencapai kompetensi dengan baik dalam hal</v>
      </c>
      <c r="Y19" s="23">
        <v>78</v>
      </c>
      <c r="Z19" s="18" t="str">
        <f t="shared" si="6"/>
        <v>Mencapai kompetensi dengan baik dalam hal</v>
      </c>
      <c r="AA19" s="23">
        <v>77</v>
      </c>
      <c r="AB19" s="18" t="str">
        <f t="shared" si="17"/>
        <v>Mencapai kompetensi dengan baik dalam hal</v>
      </c>
      <c r="AC19" s="23">
        <v>84</v>
      </c>
      <c r="AD19" s="18" t="str">
        <f t="shared" si="7"/>
        <v>Mencapai kompetensi dengan baik dalam hal</v>
      </c>
      <c r="AE19" s="23">
        <v>81</v>
      </c>
      <c r="AF19" s="18" t="str">
        <f t="shared" si="8"/>
        <v>Mencapai kompetensi dengan baik dalam hal</v>
      </c>
      <c r="AG19" s="23">
        <v>81</v>
      </c>
      <c r="AH19" s="18" t="str">
        <f t="shared" si="9"/>
        <v>Mencapai kompetensi dengan baik dalam hal</v>
      </c>
      <c r="AI19" s="23">
        <v>82</v>
      </c>
      <c r="AJ19" s="18" t="str">
        <f t="shared" si="10"/>
        <v>Mencapai kompetensi dengan baik dalam hal</v>
      </c>
      <c r="AK19" s="23">
        <v>83</v>
      </c>
      <c r="AL19" s="18" t="str">
        <f t="shared" si="11"/>
        <v>Mencapai kompetensi dengan baik dalam hal</v>
      </c>
      <c r="AM19" s="23">
        <v>83</v>
      </c>
      <c r="AN19" s="18" t="str">
        <f t="shared" si="12"/>
        <v>Mencapai kompetensi dengan baik dalam hal</v>
      </c>
      <c r="AO19" s="62">
        <f t="shared" si="18"/>
        <v>82.25</v>
      </c>
      <c r="AP19" s="23">
        <v>84</v>
      </c>
      <c r="AQ19" s="18" t="str">
        <f t="shared" si="13"/>
        <v>Mencapai kompetensi dengan baik dalam hal</v>
      </c>
      <c r="AR19" s="23">
        <v>80</v>
      </c>
      <c r="AS19" s="18" t="str">
        <f t="shared" si="14"/>
        <v>Mencapai kompetensi dengan baik dalam hal</v>
      </c>
      <c r="AT19" s="113">
        <v>1</v>
      </c>
      <c r="AU19" s="113">
        <v>1</v>
      </c>
      <c r="AV19" s="113" t="s">
        <v>81</v>
      </c>
      <c r="AW19" s="23">
        <v>1</v>
      </c>
      <c r="AX19" s="23" t="s">
        <v>82</v>
      </c>
      <c r="AY19" s="18" t="s">
        <v>83</v>
      </c>
      <c r="AZ19" s="23" t="s">
        <v>84</v>
      </c>
      <c r="BA19" s="18" t="str">
        <f t="shared" si="15"/>
        <v>Baik</v>
      </c>
      <c r="BB19" s="23">
        <v>2</v>
      </c>
      <c r="BC19" s="18" t="s">
        <v>212</v>
      </c>
      <c r="BD19" s="18" t="s">
        <v>83</v>
      </c>
      <c r="BE19" s="23" t="s">
        <v>86</v>
      </c>
      <c r="BF19" s="18" t="str">
        <f t="shared" si="16"/>
        <v>Sangat baik</v>
      </c>
      <c r="BG19" s="23"/>
      <c r="BH19" s="23"/>
      <c r="BI19" s="23"/>
      <c r="BJ19" s="23"/>
      <c r="BK19" s="18"/>
    </row>
    <row r="20" spans="1:63" ht="38.25" customHeight="1" x14ac:dyDescent="0.25">
      <c r="A20" s="23">
        <v>19</v>
      </c>
      <c r="B20" s="23">
        <v>2525996</v>
      </c>
      <c r="C20" s="23" t="s">
        <v>1418</v>
      </c>
      <c r="D20" s="135" t="s">
        <v>1419</v>
      </c>
      <c r="E20" s="23" t="s">
        <v>1380</v>
      </c>
      <c r="F20" s="135" t="s">
        <v>1381</v>
      </c>
      <c r="G20" s="137" t="s">
        <v>1382</v>
      </c>
      <c r="H20" s="24" t="s">
        <v>1383</v>
      </c>
      <c r="I20" s="60" t="s">
        <v>76</v>
      </c>
      <c r="J20" s="61" t="s">
        <v>77</v>
      </c>
      <c r="K20" s="61" t="s">
        <v>78</v>
      </c>
      <c r="L20" s="61" t="s">
        <v>79</v>
      </c>
      <c r="M20" s="23">
        <v>83</v>
      </c>
      <c r="N20" s="18" t="str">
        <f t="shared" si="0"/>
        <v>Mencapai kompetensi dengan baik dalam hal</v>
      </c>
      <c r="O20" s="23">
        <v>78</v>
      </c>
      <c r="P20" s="18" t="str">
        <f t="shared" si="1"/>
        <v>Mencapai kompetensi dengan baik dalam hal</v>
      </c>
      <c r="Q20" s="23">
        <v>80</v>
      </c>
      <c r="R20" s="18" t="str">
        <f t="shared" si="2"/>
        <v>Mencapai kompetensi dengan baik dalam hal</v>
      </c>
      <c r="S20" s="23">
        <v>80</v>
      </c>
      <c r="T20" s="18" t="str">
        <f t="shared" si="3"/>
        <v>Mencapai kompetensi dengan baik dalam hal</v>
      </c>
      <c r="U20" s="23">
        <v>82</v>
      </c>
      <c r="V20" s="18" t="str">
        <f t="shared" si="4"/>
        <v>Mencapai kompetensi dengan baik dalam hal</v>
      </c>
      <c r="W20" s="23">
        <v>80</v>
      </c>
      <c r="X20" s="18" t="str">
        <f t="shared" si="5"/>
        <v>Mencapai kompetensi dengan baik dalam hal</v>
      </c>
      <c r="Y20" s="23">
        <v>79</v>
      </c>
      <c r="Z20" s="18" t="str">
        <f t="shared" si="6"/>
        <v>Mencapai kompetensi dengan baik dalam hal</v>
      </c>
      <c r="AA20" s="23">
        <v>76</v>
      </c>
      <c r="AB20" s="18" t="str">
        <f t="shared" si="17"/>
        <v>Mencapai kompetensi dengan baik dalam hal</v>
      </c>
      <c r="AC20" s="23">
        <v>84</v>
      </c>
      <c r="AD20" s="18" t="str">
        <f t="shared" si="7"/>
        <v>Mencapai kompetensi dengan baik dalam hal</v>
      </c>
      <c r="AE20" s="23">
        <v>86</v>
      </c>
      <c r="AF20" s="18" t="str">
        <f t="shared" si="8"/>
        <v>Mencapai kompetensi dengan baik dalam hal</v>
      </c>
      <c r="AG20" s="23">
        <v>78</v>
      </c>
      <c r="AH20" s="18" t="str">
        <f t="shared" si="9"/>
        <v>Mencapai kompetensi dengan baik dalam hal</v>
      </c>
      <c r="AI20" s="23">
        <v>78</v>
      </c>
      <c r="AJ20" s="18" t="str">
        <f t="shared" si="10"/>
        <v>Mencapai kompetensi dengan baik dalam hal</v>
      </c>
      <c r="AK20" s="23">
        <v>80</v>
      </c>
      <c r="AL20" s="18" t="str">
        <f t="shared" si="11"/>
        <v>Mencapai kompetensi dengan baik dalam hal</v>
      </c>
      <c r="AM20" s="23">
        <v>81</v>
      </c>
      <c r="AN20" s="18" t="str">
        <f t="shared" si="12"/>
        <v>Mencapai kompetensi dengan baik dalam hal</v>
      </c>
      <c r="AO20" s="62">
        <f t="shared" si="18"/>
        <v>79.25</v>
      </c>
      <c r="AP20" s="23">
        <v>84</v>
      </c>
      <c r="AQ20" s="18" t="str">
        <f t="shared" si="13"/>
        <v>Mencapai kompetensi dengan baik dalam hal</v>
      </c>
      <c r="AR20" s="23">
        <v>80</v>
      </c>
      <c r="AS20" s="18" t="str">
        <f t="shared" si="14"/>
        <v>Mencapai kompetensi dengan baik dalam hal</v>
      </c>
      <c r="AT20" s="113" t="s">
        <v>81</v>
      </c>
      <c r="AU20" s="113" t="s">
        <v>81</v>
      </c>
      <c r="AV20" s="113" t="s">
        <v>81</v>
      </c>
      <c r="AW20" s="23">
        <v>1</v>
      </c>
      <c r="AX20" s="23" t="s">
        <v>82</v>
      </c>
      <c r="AY20" s="18" t="s">
        <v>83</v>
      </c>
      <c r="AZ20" s="23" t="s">
        <v>84</v>
      </c>
      <c r="BA20" s="18" t="str">
        <f t="shared" si="15"/>
        <v>Baik</v>
      </c>
      <c r="BB20" s="23">
        <v>2</v>
      </c>
      <c r="BC20" s="18" t="s">
        <v>125</v>
      </c>
      <c r="BD20" s="18" t="s">
        <v>83</v>
      </c>
      <c r="BE20" s="23" t="s">
        <v>86</v>
      </c>
      <c r="BF20" s="18" t="str">
        <f t="shared" si="16"/>
        <v>Sangat baik</v>
      </c>
      <c r="BG20" s="23"/>
      <c r="BH20" s="23"/>
      <c r="BI20" s="23"/>
      <c r="BJ20" s="23"/>
      <c r="BK20" s="18"/>
    </row>
    <row r="21" spans="1:63" ht="38.25" customHeight="1" x14ac:dyDescent="0.25">
      <c r="A21" s="23">
        <v>20</v>
      </c>
      <c r="B21" s="23">
        <v>2525997</v>
      </c>
      <c r="C21" s="23" t="s">
        <v>1420</v>
      </c>
      <c r="D21" s="135" t="s">
        <v>1421</v>
      </c>
      <c r="E21" s="23" t="s">
        <v>1380</v>
      </c>
      <c r="F21" s="135" t="s">
        <v>1381</v>
      </c>
      <c r="G21" s="137" t="s">
        <v>1382</v>
      </c>
      <c r="H21" s="24" t="s">
        <v>1383</v>
      </c>
      <c r="I21" s="60" t="s">
        <v>76</v>
      </c>
      <c r="J21" s="61" t="s">
        <v>77</v>
      </c>
      <c r="K21" s="61" t="s">
        <v>78</v>
      </c>
      <c r="L21" s="61" t="s">
        <v>79</v>
      </c>
      <c r="M21" s="23">
        <v>80</v>
      </c>
      <c r="N21" s="18" t="str">
        <f t="shared" si="0"/>
        <v>Mencapai kompetensi dengan baik dalam hal</v>
      </c>
      <c r="O21" s="23">
        <v>75</v>
      </c>
      <c r="P21" s="18" t="str">
        <f t="shared" si="1"/>
        <v>Mencapai kompetensi dengan baik dalam hal</v>
      </c>
      <c r="Q21" s="23">
        <v>79</v>
      </c>
      <c r="R21" s="18" t="str">
        <f t="shared" si="2"/>
        <v>Mencapai kompetensi dengan baik dalam hal</v>
      </c>
      <c r="S21" s="23">
        <v>84</v>
      </c>
      <c r="T21" s="18" t="str">
        <f t="shared" si="3"/>
        <v>Mencapai kompetensi dengan baik dalam hal</v>
      </c>
      <c r="U21" s="23">
        <v>75</v>
      </c>
      <c r="V21" s="18" t="str">
        <f t="shared" si="4"/>
        <v>Mencapai kompetensi dengan baik dalam hal</v>
      </c>
      <c r="W21" s="23">
        <v>79</v>
      </c>
      <c r="X21" s="18" t="str">
        <f t="shared" si="5"/>
        <v>Mencapai kompetensi dengan baik dalam hal</v>
      </c>
      <c r="Y21" s="23">
        <v>76</v>
      </c>
      <c r="Z21" s="18" t="str">
        <f t="shared" si="6"/>
        <v>Mencapai kompetensi dengan baik dalam hal</v>
      </c>
      <c r="AA21" s="23">
        <v>75</v>
      </c>
      <c r="AB21" s="18" t="str">
        <f t="shared" si="17"/>
        <v>Mencapai kompetensi dengan baik dalam hal</v>
      </c>
      <c r="AC21" s="23">
        <v>82</v>
      </c>
      <c r="AD21" s="18" t="str">
        <f t="shared" si="7"/>
        <v>Mencapai kompetensi dengan baik dalam hal</v>
      </c>
      <c r="AE21" s="23">
        <v>79</v>
      </c>
      <c r="AF21" s="18" t="str">
        <f t="shared" si="8"/>
        <v>Mencapai kompetensi dengan baik dalam hal</v>
      </c>
      <c r="AG21" s="23">
        <v>78</v>
      </c>
      <c r="AH21" s="18" t="str">
        <f t="shared" si="9"/>
        <v>Mencapai kompetensi dengan baik dalam hal</v>
      </c>
      <c r="AI21" s="23">
        <v>79</v>
      </c>
      <c r="AJ21" s="18" t="str">
        <f t="shared" si="10"/>
        <v>Mencapai kompetensi dengan baik dalam hal</v>
      </c>
      <c r="AK21" s="23">
        <v>82</v>
      </c>
      <c r="AL21" s="18" t="str">
        <f t="shared" si="11"/>
        <v>Mencapai kompetensi dengan baik dalam hal</v>
      </c>
      <c r="AM21" s="23">
        <v>84</v>
      </c>
      <c r="AN21" s="18" t="str">
        <f t="shared" si="12"/>
        <v>Mencapai kompetensi dengan baik dalam hal</v>
      </c>
      <c r="AO21" s="62">
        <f t="shared" si="18"/>
        <v>80.75</v>
      </c>
      <c r="AP21" s="23">
        <v>82</v>
      </c>
      <c r="AQ21" s="18" t="str">
        <f t="shared" si="13"/>
        <v>Mencapai kompetensi dengan baik dalam hal</v>
      </c>
      <c r="AR21" s="23">
        <v>79</v>
      </c>
      <c r="AS21" s="18" t="str">
        <f t="shared" si="14"/>
        <v>Mencapai kompetensi dengan baik dalam hal</v>
      </c>
      <c r="AT21" s="113">
        <v>1</v>
      </c>
      <c r="AU21" s="113">
        <v>2</v>
      </c>
      <c r="AV21" s="113" t="s">
        <v>81</v>
      </c>
      <c r="AW21" s="23">
        <v>1</v>
      </c>
      <c r="AX21" s="23" t="s">
        <v>82</v>
      </c>
      <c r="AY21" s="18" t="s">
        <v>83</v>
      </c>
      <c r="AZ21" s="23" t="s">
        <v>84</v>
      </c>
      <c r="BA21" s="18" t="str">
        <f t="shared" si="15"/>
        <v>Baik</v>
      </c>
      <c r="BB21" s="23">
        <v>2</v>
      </c>
      <c r="BC21" s="18" t="s">
        <v>108</v>
      </c>
      <c r="BD21" s="18" t="s">
        <v>83</v>
      </c>
      <c r="BE21" s="23" t="s">
        <v>86</v>
      </c>
      <c r="BF21" s="18" t="str">
        <f t="shared" si="16"/>
        <v>Sangat baik</v>
      </c>
      <c r="BG21" s="23"/>
      <c r="BH21" s="23"/>
      <c r="BI21" s="23"/>
      <c r="BJ21" s="23"/>
      <c r="BK21" s="18"/>
    </row>
    <row r="22" spans="1:63" ht="38.25" customHeight="1" x14ac:dyDescent="0.25">
      <c r="A22" s="23">
        <v>21</v>
      </c>
      <c r="B22" s="23">
        <v>2525998</v>
      </c>
      <c r="C22" s="23" t="s">
        <v>1422</v>
      </c>
      <c r="D22" s="135" t="s">
        <v>1423</v>
      </c>
      <c r="E22" s="23" t="s">
        <v>1380</v>
      </c>
      <c r="F22" s="135" t="s">
        <v>1381</v>
      </c>
      <c r="G22" s="137" t="s">
        <v>1382</v>
      </c>
      <c r="H22" s="24" t="s">
        <v>1383</v>
      </c>
      <c r="I22" s="60" t="s">
        <v>76</v>
      </c>
      <c r="J22" s="61" t="s">
        <v>77</v>
      </c>
      <c r="K22" s="61" t="s">
        <v>78</v>
      </c>
      <c r="L22" s="61" t="s">
        <v>79</v>
      </c>
      <c r="M22" s="23">
        <v>82</v>
      </c>
      <c r="N22" s="18" t="str">
        <f t="shared" si="0"/>
        <v>Mencapai kompetensi dengan baik dalam hal</v>
      </c>
      <c r="O22" s="23">
        <v>79</v>
      </c>
      <c r="P22" s="18" t="str">
        <f t="shared" si="1"/>
        <v>Mencapai kompetensi dengan baik dalam hal</v>
      </c>
      <c r="Q22" s="23">
        <v>82</v>
      </c>
      <c r="R22" s="18" t="str">
        <f t="shared" si="2"/>
        <v>Mencapai kompetensi dengan baik dalam hal</v>
      </c>
      <c r="S22" s="23">
        <v>85</v>
      </c>
      <c r="T22" s="18" t="str">
        <f t="shared" si="3"/>
        <v>Mencapai kompetensi dengan baik dalam hal</v>
      </c>
      <c r="U22" s="23">
        <v>86</v>
      </c>
      <c r="V22" s="18" t="str">
        <f t="shared" si="4"/>
        <v>Mencapai kompetensi dengan baik dalam hal</v>
      </c>
      <c r="W22" s="23">
        <v>83</v>
      </c>
      <c r="X22" s="18" t="str">
        <f t="shared" si="5"/>
        <v>Mencapai kompetensi dengan baik dalam hal</v>
      </c>
      <c r="Y22" s="23">
        <v>80</v>
      </c>
      <c r="Z22" s="18" t="str">
        <f t="shared" si="6"/>
        <v>Mencapai kompetensi dengan baik dalam hal</v>
      </c>
      <c r="AA22" s="23">
        <v>79</v>
      </c>
      <c r="AB22" s="18" t="str">
        <f t="shared" si="17"/>
        <v>Mencapai kompetensi dengan baik dalam hal</v>
      </c>
      <c r="AC22" s="23">
        <v>82</v>
      </c>
      <c r="AD22" s="18" t="str">
        <f t="shared" si="7"/>
        <v>Mencapai kompetensi dengan baik dalam hal</v>
      </c>
      <c r="AE22" s="23">
        <v>82</v>
      </c>
      <c r="AF22" s="18" t="str">
        <f t="shared" si="8"/>
        <v>Mencapai kompetensi dengan baik dalam hal</v>
      </c>
      <c r="AG22" s="23">
        <v>78</v>
      </c>
      <c r="AH22" s="18" t="str">
        <f t="shared" si="9"/>
        <v>Mencapai kompetensi dengan baik dalam hal</v>
      </c>
      <c r="AI22" s="23">
        <v>79</v>
      </c>
      <c r="AJ22" s="18" t="str">
        <f t="shared" si="10"/>
        <v>Mencapai kompetensi dengan baik dalam hal</v>
      </c>
      <c r="AK22" s="23">
        <v>84</v>
      </c>
      <c r="AL22" s="18" t="str">
        <f t="shared" si="11"/>
        <v>Mencapai kompetensi dengan baik dalam hal</v>
      </c>
      <c r="AM22" s="23">
        <v>84</v>
      </c>
      <c r="AN22" s="18" t="str">
        <f t="shared" si="12"/>
        <v>Mencapai kompetensi dengan baik dalam hal</v>
      </c>
      <c r="AO22" s="62">
        <f t="shared" si="18"/>
        <v>81.25</v>
      </c>
      <c r="AP22" s="23">
        <v>82</v>
      </c>
      <c r="AQ22" s="18" t="str">
        <f t="shared" si="13"/>
        <v>Mencapai kompetensi dengan baik dalam hal</v>
      </c>
      <c r="AR22" s="23">
        <v>80</v>
      </c>
      <c r="AS22" s="18" t="str">
        <f t="shared" si="14"/>
        <v>Mencapai kompetensi dengan baik dalam hal</v>
      </c>
      <c r="AT22" s="113" t="s">
        <v>81</v>
      </c>
      <c r="AU22" s="113" t="s">
        <v>81</v>
      </c>
      <c r="AV22" s="113" t="s">
        <v>81</v>
      </c>
      <c r="AW22" s="23">
        <v>1</v>
      </c>
      <c r="AX22" s="23" t="s">
        <v>82</v>
      </c>
      <c r="AY22" s="18" t="s">
        <v>83</v>
      </c>
      <c r="AZ22" s="23" t="s">
        <v>84</v>
      </c>
      <c r="BA22" s="18" t="str">
        <f t="shared" si="15"/>
        <v>Baik</v>
      </c>
      <c r="BB22" s="23">
        <v>2</v>
      </c>
      <c r="BC22" s="18" t="s">
        <v>85</v>
      </c>
      <c r="BD22" s="18" t="s">
        <v>83</v>
      </c>
      <c r="BE22" s="23" t="s">
        <v>86</v>
      </c>
      <c r="BF22" s="18" t="str">
        <f t="shared" si="16"/>
        <v>Sangat baik</v>
      </c>
      <c r="BG22" s="23">
        <v>3</v>
      </c>
      <c r="BH22" s="23" t="s">
        <v>87</v>
      </c>
      <c r="BI22" s="23" t="s">
        <v>83</v>
      </c>
      <c r="BJ22" s="23" t="s">
        <v>84</v>
      </c>
      <c r="BK22" s="18" t="str">
        <f>VLOOKUP(BJ22,grades4,2,TRUE)</f>
        <v>Baik</v>
      </c>
    </row>
    <row r="23" spans="1:63" ht="38.25" customHeight="1" x14ac:dyDescent="0.25">
      <c r="A23" s="23">
        <v>22</v>
      </c>
      <c r="B23" s="23">
        <v>2525999</v>
      </c>
      <c r="C23" s="23" t="s">
        <v>1424</v>
      </c>
      <c r="D23" s="135" t="s">
        <v>1425</v>
      </c>
      <c r="E23" s="23" t="s">
        <v>1380</v>
      </c>
      <c r="F23" s="135" t="s">
        <v>1381</v>
      </c>
      <c r="G23" s="137" t="s">
        <v>1382</v>
      </c>
      <c r="H23" s="24" t="s">
        <v>1383</v>
      </c>
      <c r="I23" s="60" t="s">
        <v>76</v>
      </c>
      <c r="J23" s="61" t="s">
        <v>77</v>
      </c>
      <c r="K23" s="61" t="s">
        <v>78</v>
      </c>
      <c r="L23" s="61" t="s">
        <v>79</v>
      </c>
      <c r="M23" s="23">
        <v>83</v>
      </c>
      <c r="N23" s="18" t="str">
        <f t="shared" si="0"/>
        <v>Mencapai kompetensi dengan baik dalam hal</v>
      </c>
      <c r="O23" s="23">
        <v>80</v>
      </c>
      <c r="P23" s="18" t="str">
        <f t="shared" si="1"/>
        <v>Mencapai kompetensi dengan baik dalam hal</v>
      </c>
      <c r="Q23" s="23">
        <v>80</v>
      </c>
      <c r="R23" s="18" t="str">
        <f t="shared" si="2"/>
        <v>Mencapai kompetensi dengan baik dalam hal</v>
      </c>
      <c r="S23" s="23">
        <v>82</v>
      </c>
      <c r="T23" s="18" t="str">
        <f t="shared" si="3"/>
        <v>Mencapai kompetensi dengan baik dalam hal</v>
      </c>
      <c r="U23" s="23">
        <v>85</v>
      </c>
      <c r="V23" s="18" t="str">
        <f t="shared" si="4"/>
        <v>Mencapai kompetensi dengan baik dalam hal</v>
      </c>
      <c r="W23" s="23">
        <v>81</v>
      </c>
      <c r="X23" s="18" t="str">
        <f t="shared" si="5"/>
        <v>Mencapai kompetensi dengan baik dalam hal</v>
      </c>
      <c r="Y23" s="23">
        <v>81</v>
      </c>
      <c r="Z23" s="18" t="str">
        <f t="shared" si="6"/>
        <v>Mencapai kompetensi dengan baik dalam hal</v>
      </c>
      <c r="AA23" s="23">
        <v>81</v>
      </c>
      <c r="AB23" s="18" t="str">
        <f t="shared" si="17"/>
        <v>Mencapai kompetensi dengan baik dalam hal</v>
      </c>
      <c r="AC23" s="23">
        <v>84</v>
      </c>
      <c r="AD23" s="18" t="str">
        <f t="shared" si="7"/>
        <v>Mencapai kompetensi dengan baik dalam hal</v>
      </c>
      <c r="AE23" s="23">
        <v>84</v>
      </c>
      <c r="AF23" s="18" t="str">
        <f t="shared" si="8"/>
        <v>Mencapai kompetensi dengan baik dalam hal</v>
      </c>
      <c r="AG23" s="23">
        <v>84</v>
      </c>
      <c r="AH23" s="18" t="str">
        <f t="shared" si="9"/>
        <v>Mencapai kompetensi dengan baik dalam hal</v>
      </c>
      <c r="AI23" s="23">
        <v>81</v>
      </c>
      <c r="AJ23" s="18" t="str">
        <f t="shared" si="10"/>
        <v>Mencapai kompetensi dengan baik dalam hal</v>
      </c>
      <c r="AK23" s="23">
        <v>84</v>
      </c>
      <c r="AL23" s="18" t="str">
        <f t="shared" si="11"/>
        <v>Mencapai kompetensi dengan baik dalam hal</v>
      </c>
      <c r="AM23" s="23">
        <v>84</v>
      </c>
      <c r="AN23" s="18" t="str">
        <f t="shared" si="12"/>
        <v>Mencapai kompetensi dengan baik dalam hal</v>
      </c>
      <c r="AO23" s="62">
        <f t="shared" si="18"/>
        <v>83.25</v>
      </c>
      <c r="AP23" s="23">
        <v>84</v>
      </c>
      <c r="AQ23" s="18" t="str">
        <f t="shared" si="13"/>
        <v>Mencapai kompetensi dengan baik dalam hal</v>
      </c>
      <c r="AR23" s="23">
        <v>80</v>
      </c>
      <c r="AS23" s="18" t="str">
        <f t="shared" si="14"/>
        <v>Mencapai kompetensi dengan baik dalam hal</v>
      </c>
      <c r="AT23" s="113" t="s">
        <v>81</v>
      </c>
      <c r="AU23" s="113" t="s">
        <v>81</v>
      </c>
      <c r="AV23" s="113" t="s">
        <v>81</v>
      </c>
      <c r="AW23" s="23">
        <v>1</v>
      </c>
      <c r="AX23" s="23" t="s">
        <v>82</v>
      </c>
      <c r="AY23" s="18" t="s">
        <v>83</v>
      </c>
      <c r="AZ23" s="23" t="s">
        <v>86</v>
      </c>
      <c r="BA23" s="18" t="str">
        <f t="shared" si="15"/>
        <v>Sangat baik</v>
      </c>
      <c r="BB23" s="23">
        <v>2</v>
      </c>
      <c r="BC23" s="18" t="s">
        <v>85</v>
      </c>
      <c r="BD23" s="18" t="s">
        <v>83</v>
      </c>
      <c r="BE23" s="23" t="s">
        <v>86</v>
      </c>
      <c r="BF23" s="18" t="str">
        <f t="shared" si="16"/>
        <v>Sangat baik</v>
      </c>
      <c r="BG23" s="23">
        <v>3</v>
      </c>
      <c r="BH23" s="23" t="s">
        <v>87</v>
      </c>
      <c r="BI23" s="23" t="s">
        <v>83</v>
      </c>
      <c r="BJ23" s="23" t="s">
        <v>84</v>
      </c>
      <c r="BK23" s="18" t="str">
        <f>VLOOKUP(BJ23,grades4,2,TRUE)</f>
        <v>Baik</v>
      </c>
    </row>
    <row r="24" spans="1:63" ht="38.25" customHeight="1" x14ac:dyDescent="0.25">
      <c r="A24" s="23">
        <v>23</v>
      </c>
      <c r="B24" s="23">
        <v>2526000</v>
      </c>
      <c r="C24" s="23" t="s">
        <v>1426</v>
      </c>
      <c r="D24" s="135" t="s">
        <v>1427</v>
      </c>
      <c r="E24" s="23" t="s">
        <v>1380</v>
      </c>
      <c r="F24" s="135" t="s">
        <v>1381</v>
      </c>
      <c r="G24" s="137" t="s">
        <v>1382</v>
      </c>
      <c r="H24" s="24" t="s">
        <v>1383</v>
      </c>
      <c r="I24" s="60" t="s">
        <v>76</v>
      </c>
      <c r="J24" s="61" t="s">
        <v>77</v>
      </c>
      <c r="K24" s="61" t="s">
        <v>78</v>
      </c>
      <c r="L24" s="61" t="s">
        <v>79</v>
      </c>
      <c r="M24" s="23">
        <v>79</v>
      </c>
      <c r="N24" s="18" t="str">
        <f t="shared" si="0"/>
        <v>Mencapai kompetensi dengan baik dalam hal</v>
      </c>
      <c r="O24" s="23">
        <v>77</v>
      </c>
      <c r="P24" s="18" t="str">
        <f t="shared" si="1"/>
        <v>Mencapai kompetensi dengan baik dalam hal</v>
      </c>
      <c r="Q24" s="23">
        <v>80</v>
      </c>
      <c r="R24" s="18" t="str">
        <f t="shared" si="2"/>
        <v>Mencapai kompetensi dengan baik dalam hal</v>
      </c>
      <c r="S24" s="23">
        <v>80</v>
      </c>
      <c r="T24" s="18" t="str">
        <f t="shared" si="3"/>
        <v>Mencapai kompetensi dengan baik dalam hal</v>
      </c>
      <c r="U24" s="23">
        <v>75</v>
      </c>
      <c r="V24" s="18" t="str">
        <f t="shared" si="4"/>
        <v>Mencapai kompetensi dengan baik dalam hal</v>
      </c>
      <c r="W24" s="23">
        <v>79</v>
      </c>
      <c r="X24" s="18" t="str">
        <f t="shared" si="5"/>
        <v>Mencapai kompetensi dengan baik dalam hal</v>
      </c>
      <c r="Y24" s="23">
        <v>75</v>
      </c>
      <c r="Z24" s="18" t="str">
        <f t="shared" si="6"/>
        <v>Mencapai kompetensi dengan baik dalam hal</v>
      </c>
      <c r="AA24" s="23">
        <v>77</v>
      </c>
      <c r="AB24" s="18" t="str">
        <f t="shared" si="17"/>
        <v>Mencapai kompetensi dengan baik dalam hal</v>
      </c>
      <c r="AC24" s="23">
        <v>82</v>
      </c>
      <c r="AD24" s="18" t="str">
        <f t="shared" si="7"/>
        <v>Mencapai kompetensi dengan baik dalam hal</v>
      </c>
      <c r="AE24" s="23">
        <v>79</v>
      </c>
      <c r="AF24" s="18" t="str">
        <f t="shared" si="8"/>
        <v>Mencapai kompetensi dengan baik dalam hal</v>
      </c>
      <c r="AG24" s="23">
        <v>78</v>
      </c>
      <c r="AH24" s="18" t="str">
        <f t="shared" si="9"/>
        <v>Mencapai kompetensi dengan baik dalam hal</v>
      </c>
      <c r="AI24" s="23">
        <v>80</v>
      </c>
      <c r="AJ24" s="18" t="str">
        <f t="shared" si="10"/>
        <v>Mencapai kompetensi dengan baik dalam hal</v>
      </c>
      <c r="AK24" s="23">
        <v>80</v>
      </c>
      <c r="AL24" s="18" t="str">
        <f t="shared" si="11"/>
        <v>Mencapai kompetensi dengan baik dalam hal</v>
      </c>
      <c r="AM24" s="23">
        <v>80</v>
      </c>
      <c r="AN24" s="18" t="str">
        <f t="shared" si="12"/>
        <v>Mencapai kompetensi dengan baik dalam hal</v>
      </c>
      <c r="AO24" s="62">
        <f t="shared" si="18"/>
        <v>79.5</v>
      </c>
      <c r="AP24" s="23">
        <v>82</v>
      </c>
      <c r="AQ24" s="18" t="str">
        <f t="shared" si="13"/>
        <v>Mencapai kompetensi dengan baik dalam hal</v>
      </c>
      <c r="AR24" s="23">
        <v>79</v>
      </c>
      <c r="AS24" s="18" t="str">
        <f t="shared" si="14"/>
        <v>Mencapai kompetensi dengan baik dalam hal</v>
      </c>
      <c r="AT24" s="113" t="s">
        <v>81</v>
      </c>
      <c r="AU24" s="113" t="s">
        <v>81</v>
      </c>
      <c r="AV24" s="113" t="s">
        <v>81</v>
      </c>
      <c r="AW24" s="23">
        <v>1</v>
      </c>
      <c r="AX24" s="23" t="s">
        <v>82</v>
      </c>
      <c r="AY24" s="18" t="s">
        <v>83</v>
      </c>
      <c r="AZ24" s="23" t="s">
        <v>86</v>
      </c>
      <c r="BA24" s="18" t="str">
        <f t="shared" si="15"/>
        <v>Sangat baik</v>
      </c>
      <c r="BB24" s="23">
        <v>2</v>
      </c>
      <c r="BC24" s="18" t="s">
        <v>212</v>
      </c>
      <c r="BD24" s="18" t="s">
        <v>83</v>
      </c>
      <c r="BE24" s="23" t="s">
        <v>86</v>
      </c>
      <c r="BF24" s="18" t="str">
        <f t="shared" si="16"/>
        <v>Sangat baik</v>
      </c>
      <c r="BG24" s="23"/>
      <c r="BH24" s="23"/>
      <c r="BI24" s="23"/>
      <c r="BJ24" s="23"/>
      <c r="BK24" s="18"/>
    </row>
    <row r="25" spans="1:63" ht="38.25" customHeight="1" x14ac:dyDescent="0.25">
      <c r="A25" s="23">
        <v>24</v>
      </c>
      <c r="B25" s="23">
        <v>2526001</v>
      </c>
      <c r="C25" s="23" t="s">
        <v>1428</v>
      </c>
      <c r="D25" s="135" t="s">
        <v>1429</v>
      </c>
      <c r="E25" s="23" t="s">
        <v>1380</v>
      </c>
      <c r="F25" s="135" t="s">
        <v>1381</v>
      </c>
      <c r="G25" s="137" t="s">
        <v>1382</v>
      </c>
      <c r="H25" s="24" t="s">
        <v>1383</v>
      </c>
      <c r="I25" s="60" t="s">
        <v>76</v>
      </c>
      <c r="J25" s="61" t="s">
        <v>77</v>
      </c>
      <c r="K25" s="61" t="s">
        <v>78</v>
      </c>
      <c r="L25" s="61" t="s">
        <v>79</v>
      </c>
      <c r="M25" s="23">
        <v>82</v>
      </c>
      <c r="N25" s="18" t="str">
        <f t="shared" si="0"/>
        <v>Mencapai kompetensi dengan baik dalam hal</v>
      </c>
      <c r="O25" s="23">
        <v>76</v>
      </c>
      <c r="P25" s="18" t="str">
        <f t="shared" si="1"/>
        <v>Mencapai kompetensi dengan baik dalam hal</v>
      </c>
      <c r="Q25" s="23">
        <v>80</v>
      </c>
      <c r="R25" s="18" t="str">
        <f t="shared" si="2"/>
        <v>Mencapai kompetensi dengan baik dalam hal</v>
      </c>
      <c r="S25" s="23">
        <v>81</v>
      </c>
      <c r="T25" s="18" t="str">
        <f t="shared" si="3"/>
        <v>Mencapai kompetensi dengan baik dalam hal</v>
      </c>
      <c r="U25" s="23">
        <v>87</v>
      </c>
      <c r="V25" s="18" t="str">
        <f t="shared" si="4"/>
        <v>Mencapai kompetensi dengan baik dalam hal</v>
      </c>
      <c r="W25" s="23">
        <v>79</v>
      </c>
      <c r="X25" s="18" t="str">
        <f t="shared" si="5"/>
        <v>Mencapai kompetensi dengan baik dalam hal</v>
      </c>
      <c r="Y25" s="23">
        <v>82</v>
      </c>
      <c r="Z25" s="18" t="str">
        <f t="shared" si="6"/>
        <v>Mencapai kompetensi dengan baik dalam hal</v>
      </c>
      <c r="AA25" s="23">
        <v>81</v>
      </c>
      <c r="AB25" s="18" t="str">
        <f t="shared" si="17"/>
        <v>Mencapai kompetensi dengan baik dalam hal</v>
      </c>
      <c r="AC25" s="23">
        <v>82</v>
      </c>
      <c r="AD25" s="18" t="str">
        <f t="shared" si="7"/>
        <v>Mencapai kompetensi dengan baik dalam hal</v>
      </c>
      <c r="AE25" s="23">
        <v>80</v>
      </c>
      <c r="AF25" s="18" t="str">
        <f t="shared" si="8"/>
        <v>Mencapai kompetensi dengan baik dalam hal</v>
      </c>
      <c r="AG25" s="23">
        <v>78</v>
      </c>
      <c r="AH25" s="18" t="str">
        <f t="shared" si="9"/>
        <v>Mencapai kompetensi dengan baik dalam hal</v>
      </c>
      <c r="AI25" s="23">
        <v>80</v>
      </c>
      <c r="AJ25" s="18" t="str">
        <f t="shared" si="10"/>
        <v>Mencapai kompetensi dengan baik dalam hal</v>
      </c>
      <c r="AK25" s="23">
        <v>84</v>
      </c>
      <c r="AL25" s="18" t="str">
        <f t="shared" si="11"/>
        <v>Mencapai kompetensi dengan baik dalam hal</v>
      </c>
      <c r="AM25" s="23">
        <v>83</v>
      </c>
      <c r="AN25" s="18" t="str">
        <f t="shared" si="12"/>
        <v>Mencapai kompetensi dengan baik dalam hal</v>
      </c>
      <c r="AO25" s="62">
        <f t="shared" si="18"/>
        <v>81.25</v>
      </c>
      <c r="AP25" s="23">
        <v>82</v>
      </c>
      <c r="AQ25" s="18" t="str">
        <f t="shared" si="13"/>
        <v>Mencapai kompetensi dengan baik dalam hal</v>
      </c>
      <c r="AR25" s="23">
        <v>78</v>
      </c>
      <c r="AS25" s="18" t="str">
        <f t="shared" si="14"/>
        <v>Mencapai kompetensi dengan baik dalam hal</v>
      </c>
      <c r="AT25" s="113">
        <v>18</v>
      </c>
      <c r="AU25" s="113" t="s">
        <v>81</v>
      </c>
      <c r="AV25" s="113" t="s">
        <v>81</v>
      </c>
      <c r="AW25" s="23">
        <v>1</v>
      </c>
      <c r="AX25" s="23" t="s">
        <v>82</v>
      </c>
      <c r="AY25" s="18" t="s">
        <v>83</v>
      </c>
      <c r="AZ25" s="23" t="s">
        <v>104</v>
      </c>
      <c r="BA25" s="18" t="str">
        <f t="shared" si="15"/>
        <v>Cukup</v>
      </c>
      <c r="BB25" s="23"/>
      <c r="BC25" s="18"/>
      <c r="BD25" s="18"/>
      <c r="BE25" s="23"/>
      <c r="BF25" s="18"/>
      <c r="BG25" s="23"/>
      <c r="BH25" s="23"/>
      <c r="BI25" s="23"/>
      <c r="BJ25" s="23"/>
      <c r="BK25" s="18"/>
    </row>
    <row r="26" spans="1:63" ht="38.25" customHeight="1" x14ac:dyDescent="0.25">
      <c r="A26" s="23">
        <v>25</v>
      </c>
      <c r="B26" s="23">
        <v>2526002</v>
      </c>
      <c r="C26" s="23" t="s">
        <v>1430</v>
      </c>
      <c r="D26" s="135" t="s">
        <v>1431</v>
      </c>
      <c r="E26" s="23" t="s">
        <v>1380</v>
      </c>
      <c r="F26" s="135" t="s">
        <v>1381</v>
      </c>
      <c r="G26" s="137" t="s">
        <v>1382</v>
      </c>
      <c r="H26" s="24" t="s">
        <v>1383</v>
      </c>
      <c r="I26" s="60" t="s">
        <v>76</v>
      </c>
      <c r="J26" s="61" t="s">
        <v>77</v>
      </c>
      <c r="K26" s="61" t="s">
        <v>78</v>
      </c>
      <c r="L26" s="61" t="s">
        <v>79</v>
      </c>
      <c r="M26" s="23">
        <v>84</v>
      </c>
      <c r="N26" s="18" t="str">
        <f t="shared" si="0"/>
        <v>Mencapai kompetensi dengan baik dalam hal</v>
      </c>
      <c r="O26" s="23">
        <v>81</v>
      </c>
      <c r="P26" s="18" t="str">
        <f t="shared" si="1"/>
        <v>Mencapai kompetensi dengan baik dalam hal</v>
      </c>
      <c r="Q26" s="23">
        <v>80</v>
      </c>
      <c r="R26" s="18" t="str">
        <f t="shared" si="2"/>
        <v>Mencapai kompetensi dengan baik dalam hal</v>
      </c>
      <c r="S26" s="23">
        <v>84</v>
      </c>
      <c r="T26" s="18" t="str">
        <f t="shared" si="3"/>
        <v>Mencapai kompetensi dengan baik dalam hal</v>
      </c>
      <c r="U26" s="23">
        <v>87</v>
      </c>
      <c r="V26" s="18" t="str">
        <f t="shared" si="4"/>
        <v>Mencapai kompetensi dengan baik dalam hal</v>
      </c>
      <c r="W26" s="23">
        <v>81</v>
      </c>
      <c r="X26" s="18" t="str">
        <f t="shared" si="5"/>
        <v>Mencapai kompetensi dengan baik dalam hal</v>
      </c>
      <c r="Y26" s="23">
        <v>81</v>
      </c>
      <c r="Z26" s="18" t="str">
        <f t="shared" si="6"/>
        <v>Mencapai kompetensi dengan baik dalam hal</v>
      </c>
      <c r="AA26" s="23">
        <v>82</v>
      </c>
      <c r="AB26" s="18" t="str">
        <f t="shared" si="17"/>
        <v>Mencapai kompetensi dengan baik dalam hal</v>
      </c>
      <c r="AC26" s="23">
        <v>84</v>
      </c>
      <c r="AD26" s="18" t="str">
        <f t="shared" si="7"/>
        <v>Mencapai kompetensi dengan baik dalam hal</v>
      </c>
      <c r="AE26" s="23">
        <v>83</v>
      </c>
      <c r="AF26" s="18" t="str">
        <f t="shared" si="8"/>
        <v>Mencapai kompetensi dengan baik dalam hal</v>
      </c>
      <c r="AG26" s="23">
        <v>78</v>
      </c>
      <c r="AH26" s="18" t="str">
        <f t="shared" si="9"/>
        <v>Mencapai kompetensi dengan baik dalam hal</v>
      </c>
      <c r="AI26" s="23">
        <v>80</v>
      </c>
      <c r="AJ26" s="18" t="str">
        <f t="shared" si="10"/>
        <v>Mencapai kompetensi dengan baik dalam hal</v>
      </c>
      <c r="AK26" s="23">
        <v>79</v>
      </c>
      <c r="AL26" s="18" t="str">
        <f t="shared" si="11"/>
        <v>Mencapai kompetensi dengan baik dalam hal</v>
      </c>
      <c r="AM26" s="23">
        <v>81</v>
      </c>
      <c r="AN26" s="18" t="str">
        <f t="shared" si="12"/>
        <v>Mencapai kompetensi dengan baik dalam hal</v>
      </c>
      <c r="AO26" s="62">
        <f t="shared" si="18"/>
        <v>79.5</v>
      </c>
      <c r="AP26" s="23">
        <v>84</v>
      </c>
      <c r="AQ26" s="18" t="str">
        <f t="shared" si="13"/>
        <v>Mencapai kompetensi dengan baik dalam hal</v>
      </c>
      <c r="AR26" s="23">
        <v>80</v>
      </c>
      <c r="AS26" s="18" t="str">
        <f t="shared" si="14"/>
        <v>Mencapai kompetensi dengan baik dalam hal</v>
      </c>
      <c r="AT26" s="113">
        <v>2</v>
      </c>
      <c r="AU26" s="113" t="s">
        <v>81</v>
      </c>
      <c r="AV26" s="113" t="s">
        <v>81</v>
      </c>
      <c r="AW26" s="23">
        <v>1</v>
      </c>
      <c r="AX26" s="23" t="s">
        <v>82</v>
      </c>
      <c r="AY26" s="18" t="s">
        <v>83</v>
      </c>
      <c r="AZ26" s="23" t="s">
        <v>86</v>
      </c>
      <c r="BA26" s="18" t="str">
        <f t="shared" si="15"/>
        <v>Sangat baik</v>
      </c>
      <c r="BB26" s="23">
        <v>2</v>
      </c>
      <c r="BC26" s="18" t="s">
        <v>134</v>
      </c>
      <c r="BD26" s="18" t="s">
        <v>83</v>
      </c>
      <c r="BE26" s="23" t="s">
        <v>84</v>
      </c>
      <c r="BF26" s="18" t="str">
        <f t="shared" ref="BF26:BF73" si="19">VLOOKUP(BE26,grades4,2,TRUE)</f>
        <v>Baik</v>
      </c>
      <c r="BG26" s="23"/>
      <c r="BH26" s="23"/>
      <c r="BI26" s="23"/>
      <c r="BJ26" s="23"/>
      <c r="BK26" s="18"/>
    </row>
    <row r="27" spans="1:63" ht="38.25" customHeight="1" x14ac:dyDescent="0.25">
      <c r="A27" s="23">
        <v>26</v>
      </c>
      <c r="B27" s="23">
        <v>2526003</v>
      </c>
      <c r="C27" s="23" t="s">
        <v>1432</v>
      </c>
      <c r="D27" s="135" t="s">
        <v>1433</v>
      </c>
      <c r="E27" s="23" t="s">
        <v>1380</v>
      </c>
      <c r="F27" s="135" t="s">
        <v>1381</v>
      </c>
      <c r="G27" s="137" t="s">
        <v>1382</v>
      </c>
      <c r="H27" s="24" t="s">
        <v>1383</v>
      </c>
      <c r="I27" s="60" t="s">
        <v>76</v>
      </c>
      <c r="J27" s="61" t="s">
        <v>77</v>
      </c>
      <c r="K27" s="61" t="s">
        <v>78</v>
      </c>
      <c r="L27" s="61" t="s">
        <v>79</v>
      </c>
      <c r="M27" s="23">
        <v>83</v>
      </c>
      <c r="N27" s="18" t="str">
        <f t="shared" si="0"/>
        <v>Mencapai kompetensi dengan baik dalam hal</v>
      </c>
      <c r="O27" s="23">
        <v>83</v>
      </c>
      <c r="P27" s="18" t="str">
        <f t="shared" si="1"/>
        <v>Mencapai kompetensi dengan baik dalam hal</v>
      </c>
      <c r="Q27" s="23">
        <v>83</v>
      </c>
      <c r="R27" s="18" t="str">
        <f t="shared" si="2"/>
        <v>Mencapai kompetensi dengan baik dalam hal</v>
      </c>
      <c r="S27" s="23">
        <v>84</v>
      </c>
      <c r="T27" s="18" t="str">
        <f t="shared" si="3"/>
        <v>Mencapai kompetensi dengan baik dalam hal</v>
      </c>
      <c r="U27" s="23">
        <v>85</v>
      </c>
      <c r="V27" s="18" t="str">
        <f t="shared" si="4"/>
        <v>Mencapai kompetensi dengan baik dalam hal</v>
      </c>
      <c r="W27" s="23">
        <v>83</v>
      </c>
      <c r="X27" s="18" t="str">
        <f t="shared" si="5"/>
        <v>Mencapai kompetensi dengan baik dalam hal</v>
      </c>
      <c r="Y27" s="23">
        <v>82</v>
      </c>
      <c r="Z27" s="18" t="str">
        <f t="shared" si="6"/>
        <v>Mencapai kompetensi dengan baik dalam hal</v>
      </c>
      <c r="AA27" s="23">
        <v>80</v>
      </c>
      <c r="AB27" s="18" t="str">
        <f t="shared" si="17"/>
        <v>Mencapai kompetensi dengan baik dalam hal</v>
      </c>
      <c r="AC27" s="23">
        <v>85</v>
      </c>
      <c r="AD27" s="18" t="str">
        <f t="shared" si="7"/>
        <v>Mencapai kompetensi dengan baik dalam hal</v>
      </c>
      <c r="AE27" s="23">
        <v>87</v>
      </c>
      <c r="AF27" s="18" t="str">
        <f t="shared" si="8"/>
        <v>Mencapai kompetensi dengan baik dalam hal</v>
      </c>
      <c r="AG27" s="23">
        <v>86</v>
      </c>
      <c r="AH27" s="18" t="str">
        <f t="shared" si="9"/>
        <v>Mencapai kompetensi dengan baik dalam hal</v>
      </c>
      <c r="AI27" s="23">
        <v>85</v>
      </c>
      <c r="AJ27" s="18" t="str">
        <f t="shared" si="10"/>
        <v>Mencapai kompetensi dengan baik dalam hal</v>
      </c>
      <c r="AK27" s="23">
        <v>87</v>
      </c>
      <c r="AL27" s="18" t="str">
        <f t="shared" si="11"/>
        <v>Mencapai kompetensi dengan baik dalam hal</v>
      </c>
      <c r="AM27" s="23">
        <v>85</v>
      </c>
      <c r="AN27" s="18" t="str">
        <f t="shared" si="12"/>
        <v>Mencapai kompetensi dengan baik dalam hal</v>
      </c>
      <c r="AO27" s="62">
        <f t="shared" si="18"/>
        <v>85.75</v>
      </c>
      <c r="AP27" s="23">
        <v>85</v>
      </c>
      <c r="AQ27" s="18" t="str">
        <f t="shared" si="13"/>
        <v>Mencapai kompetensi dengan baik dalam hal</v>
      </c>
      <c r="AR27" s="23">
        <v>80</v>
      </c>
      <c r="AS27" s="18" t="str">
        <f t="shared" si="14"/>
        <v>Mencapai kompetensi dengan baik dalam hal</v>
      </c>
      <c r="AT27" s="113">
        <v>5</v>
      </c>
      <c r="AU27" s="113" t="s">
        <v>81</v>
      </c>
      <c r="AV27" s="113" t="s">
        <v>81</v>
      </c>
      <c r="AW27" s="23">
        <v>1</v>
      </c>
      <c r="AX27" s="23" t="s">
        <v>82</v>
      </c>
      <c r="AY27" s="18" t="s">
        <v>83</v>
      </c>
      <c r="AZ27" s="23" t="s">
        <v>86</v>
      </c>
      <c r="BA27" s="18" t="str">
        <f t="shared" si="15"/>
        <v>Sangat baik</v>
      </c>
      <c r="BB27" s="23">
        <v>2</v>
      </c>
      <c r="BC27" s="18" t="s">
        <v>85</v>
      </c>
      <c r="BD27" s="18" t="s">
        <v>83</v>
      </c>
      <c r="BE27" s="23" t="s">
        <v>84</v>
      </c>
      <c r="BF27" s="18" t="str">
        <f t="shared" si="19"/>
        <v>Baik</v>
      </c>
      <c r="BG27" s="23"/>
      <c r="BH27" s="23"/>
      <c r="BI27" s="23"/>
      <c r="BJ27" s="23"/>
      <c r="BK27" s="18"/>
    </row>
    <row r="28" spans="1:63" ht="38.25" customHeight="1" x14ac:dyDescent="0.25">
      <c r="A28" s="23">
        <v>27</v>
      </c>
      <c r="B28" s="23">
        <v>2526004</v>
      </c>
      <c r="C28" s="23" t="s">
        <v>1434</v>
      </c>
      <c r="D28" s="135" t="s">
        <v>1435</v>
      </c>
      <c r="E28" s="23" t="s">
        <v>1380</v>
      </c>
      <c r="F28" s="135" t="s">
        <v>1381</v>
      </c>
      <c r="G28" s="137" t="s">
        <v>1382</v>
      </c>
      <c r="H28" s="24" t="s">
        <v>1383</v>
      </c>
      <c r="I28" s="60" t="s">
        <v>76</v>
      </c>
      <c r="J28" s="61" t="s">
        <v>77</v>
      </c>
      <c r="K28" s="61" t="s">
        <v>78</v>
      </c>
      <c r="L28" s="61" t="s">
        <v>79</v>
      </c>
      <c r="M28" s="23">
        <v>79</v>
      </c>
      <c r="N28" s="18" t="str">
        <f t="shared" si="0"/>
        <v>Mencapai kompetensi dengan baik dalam hal</v>
      </c>
      <c r="O28" s="23">
        <v>79</v>
      </c>
      <c r="P28" s="18" t="str">
        <f t="shared" si="1"/>
        <v>Mencapai kompetensi dengan baik dalam hal</v>
      </c>
      <c r="Q28" s="23">
        <v>83</v>
      </c>
      <c r="R28" s="18" t="str">
        <f t="shared" si="2"/>
        <v>Mencapai kompetensi dengan baik dalam hal</v>
      </c>
      <c r="S28" s="23">
        <v>82</v>
      </c>
      <c r="T28" s="18" t="str">
        <f t="shared" si="3"/>
        <v>Mencapai kompetensi dengan baik dalam hal</v>
      </c>
      <c r="U28" s="23">
        <v>82</v>
      </c>
      <c r="V28" s="18" t="str">
        <f t="shared" si="4"/>
        <v>Mencapai kompetensi dengan baik dalam hal</v>
      </c>
      <c r="W28" s="23">
        <v>80</v>
      </c>
      <c r="X28" s="18" t="str">
        <f t="shared" si="5"/>
        <v>Mencapai kompetensi dengan baik dalam hal</v>
      </c>
      <c r="Y28" s="23">
        <v>78</v>
      </c>
      <c r="Z28" s="18" t="str">
        <f t="shared" si="6"/>
        <v>Mencapai kompetensi dengan baik dalam hal</v>
      </c>
      <c r="AA28" s="23">
        <v>79</v>
      </c>
      <c r="AB28" s="18" t="str">
        <f t="shared" si="17"/>
        <v>Mencapai kompetensi dengan baik dalam hal</v>
      </c>
      <c r="AC28" s="23">
        <v>83</v>
      </c>
      <c r="AD28" s="18" t="str">
        <f t="shared" si="7"/>
        <v>Mencapai kompetensi dengan baik dalam hal</v>
      </c>
      <c r="AE28" s="23">
        <v>81</v>
      </c>
      <c r="AF28" s="18" t="str">
        <f t="shared" si="8"/>
        <v>Mencapai kompetensi dengan baik dalam hal</v>
      </c>
      <c r="AG28" s="23">
        <v>78</v>
      </c>
      <c r="AH28" s="18" t="str">
        <f t="shared" si="9"/>
        <v>Mencapai kompetensi dengan baik dalam hal</v>
      </c>
      <c r="AI28" s="23">
        <v>79</v>
      </c>
      <c r="AJ28" s="18" t="str">
        <f t="shared" si="10"/>
        <v>Mencapai kompetensi dengan baik dalam hal</v>
      </c>
      <c r="AK28" s="23">
        <v>80</v>
      </c>
      <c r="AL28" s="18" t="str">
        <f t="shared" si="11"/>
        <v>Mencapai kompetensi dengan baik dalam hal</v>
      </c>
      <c r="AM28" s="23">
        <v>84</v>
      </c>
      <c r="AN28" s="18" t="str">
        <f t="shared" si="12"/>
        <v>Mencapai kompetensi dengan baik dalam hal</v>
      </c>
      <c r="AO28" s="62">
        <f t="shared" si="18"/>
        <v>80.25</v>
      </c>
      <c r="AP28" s="23">
        <v>83</v>
      </c>
      <c r="AQ28" s="18" t="str">
        <f t="shared" si="13"/>
        <v>Mencapai kompetensi dengan baik dalam hal</v>
      </c>
      <c r="AR28" s="23">
        <v>79</v>
      </c>
      <c r="AS28" s="18" t="str">
        <f t="shared" si="14"/>
        <v>Mencapai kompetensi dengan baik dalam hal</v>
      </c>
      <c r="AT28" s="113">
        <v>1</v>
      </c>
      <c r="AU28" s="113" t="s">
        <v>81</v>
      </c>
      <c r="AV28" s="113" t="s">
        <v>81</v>
      </c>
      <c r="AW28" s="23">
        <v>1</v>
      </c>
      <c r="AX28" s="23" t="s">
        <v>82</v>
      </c>
      <c r="AY28" s="18" t="s">
        <v>83</v>
      </c>
      <c r="AZ28" s="23" t="s">
        <v>84</v>
      </c>
      <c r="BA28" s="18" t="str">
        <f t="shared" si="15"/>
        <v>Baik</v>
      </c>
      <c r="BB28" s="23">
        <v>2</v>
      </c>
      <c r="BC28" s="18" t="s">
        <v>1073</v>
      </c>
      <c r="BD28" s="18" t="s">
        <v>83</v>
      </c>
      <c r="BE28" s="23" t="s">
        <v>86</v>
      </c>
      <c r="BF28" s="18" t="str">
        <f t="shared" si="19"/>
        <v>Sangat baik</v>
      </c>
      <c r="BG28" s="23"/>
      <c r="BH28" s="23"/>
      <c r="BI28" s="23"/>
      <c r="BJ28" s="23"/>
      <c r="BK28" s="18"/>
    </row>
    <row r="29" spans="1:63" ht="38.25" customHeight="1" x14ac:dyDescent="0.25">
      <c r="A29" s="23">
        <v>28</v>
      </c>
      <c r="B29" s="23">
        <v>2526005</v>
      </c>
      <c r="C29" s="23" t="s">
        <v>1436</v>
      </c>
      <c r="D29" s="135" t="s">
        <v>1437</v>
      </c>
      <c r="E29" s="23" t="s">
        <v>1380</v>
      </c>
      <c r="F29" s="135" t="s">
        <v>1381</v>
      </c>
      <c r="G29" s="137" t="s">
        <v>1382</v>
      </c>
      <c r="H29" s="24" t="s">
        <v>1383</v>
      </c>
      <c r="I29" s="60" t="s">
        <v>76</v>
      </c>
      <c r="J29" s="61" t="s">
        <v>77</v>
      </c>
      <c r="K29" s="61" t="s">
        <v>78</v>
      </c>
      <c r="L29" s="61" t="s">
        <v>79</v>
      </c>
      <c r="M29" s="23">
        <v>82</v>
      </c>
      <c r="N29" s="18" t="str">
        <f t="shared" si="0"/>
        <v>Mencapai kompetensi dengan baik dalam hal</v>
      </c>
      <c r="O29" s="23">
        <v>79</v>
      </c>
      <c r="P29" s="18" t="str">
        <f t="shared" si="1"/>
        <v>Mencapai kompetensi dengan baik dalam hal</v>
      </c>
      <c r="Q29" s="23">
        <v>80</v>
      </c>
      <c r="R29" s="18" t="str">
        <f t="shared" si="2"/>
        <v>Mencapai kompetensi dengan baik dalam hal</v>
      </c>
      <c r="S29" s="23">
        <v>82</v>
      </c>
      <c r="T29" s="18" t="str">
        <f t="shared" si="3"/>
        <v>Mencapai kompetensi dengan baik dalam hal</v>
      </c>
      <c r="U29" s="23">
        <v>84</v>
      </c>
      <c r="V29" s="18" t="str">
        <f t="shared" si="4"/>
        <v>Mencapai kompetensi dengan baik dalam hal</v>
      </c>
      <c r="W29" s="23">
        <v>81</v>
      </c>
      <c r="X29" s="18" t="str">
        <f t="shared" si="5"/>
        <v>Mencapai kompetensi dengan baik dalam hal</v>
      </c>
      <c r="Y29" s="23">
        <v>79</v>
      </c>
      <c r="Z29" s="18" t="str">
        <f t="shared" si="6"/>
        <v>Mencapai kompetensi dengan baik dalam hal</v>
      </c>
      <c r="AA29" s="23">
        <v>80</v>
      </c>
      <c r="AB29" s="18" t="str">
        <f t="shared" si="17"/>
        <v>Mencapai kompetensi dengan baik dalam hal</v>
      </c>
      <c r="AC29" s="23">
        <v>85</v>
      </c>
      <c r="AD29" s="18" t="str">
        <f t="shared" si="7"/>
        <v>Mencapai kompetensi dengan baik dalam hal</v>
      </c>
      <c r="AE29" s="23">
        <v>88</v>
      </c>
      <c r="AF29" s="18" t="str">
        <f t="shared" si="8"/>
        <v>Mencapai kompetensi dengan baik dalam hal</v>
      </c>
      <c r="AG29" s="23">
        <v>84</v>
      </c>
      <c r="AH29" s="18" t="str">
        <f t="shared" si="9"/>
        <v>Mencapai kompetensi dengan baik dalam hal</v>
      </c>
      <c r="AI29" s="23">
        <v>85</v>
      </c>
      <c r="AJ29" s="18" t="str">
        <f t="shared" si="10"/>
        <v>Mencapai kompetensi dengan baik dalam hal</v>
      </c>
      <c r="AK29" s="23">
        <v>86</v>
      </c>
      <c r="AL29" s="18" t="str">
        <f t="shared" si="11"/>
        <v>Mencapai kompetensi dengan baik dalam hal</v>
      </c>
      <c r="AM29" s="23">
        <v>85</v>
      </c>
      <c r="AN29" s="18" t="str">
        <f t="shared" si="12"/>
        <v>Mencapai kompetensi dengan baik dalam hal</v>
      </c>
      <c r="AO29" s="62">
        <f t="shared" si="18"/>
        <v>85</v>
      </c>
      <c r="AP29" s="23">
        <v>85</v>
      </c>
      <c r="AQ29" s="18" t="str">
        <f t="shared" si="13"/>
        <v>Mencapai kompetensi dengan baik dalam hal</v>
      </c>
      <c r="AR29" s="23">
        <v>80</v>
      </c>
      <c r="AS29" s="18" t="str">
        <f t="shared" si="14"/>
        <v>Mencapai kompetensi dengan baik dalam hal</v>
      </c>
      <c r="AT29" s="113">
        <v>1</v>
      </c>
      <c r="AU29" s="113" t="s">
        <v>81</v>
      </c>
      <c r="AV29" s="113" t="s">
        <v>81</v>
      </c>
      <c r="AW29" s="23">
        <v>1</v>
      </c>
      <c r="AX29" s="23" t="s">
        <v>82</v>
      </c>
      <c r="AY29" s="18" t="s">
        <v>83</v>
      </c>
      <c r="AZ29" s="23" t="s">
        <v>86</v>
      </c>
      <c r="BA29" s="18" t="str">
        <f t="shared" si="15"/>
        <v>Sangat baik</v>
      </c>
      <c r="BB29" s="23">
        <v>2</v>
      </c>
      <c r="BC29" s="18" t="s">
        <v>125</v>
      </c>
      <c r="BD29" s="18" t="s">
        <v>83</v>
      </c>
      <c r="BE29" s="23" t="s">
        <v>86</v>
      </c>
      <c r="BF29" s="18" t="str">
        <f t="shared" si="19"/>
        <v>Sangat baik</v>
      </c>
      <c r="BG29" s="23"/>
      <c r="BH29" s="23"/>
      <c r="BI29" s="23"/>
      <c r="BJ29" s="23"/>
      <c r="BK29" s="18"/>
    </row>
    <row r="30" spans="1:63" ht="38.25" customHeight="1" x14ac:dyDescent="0.25">
      <c r="A30" s="23">
        <v>29</v>
      </c>
      <c r="B30" s="23">
        <v>2526006</v>
      </c>
      <c r="C30" s="23" t="s">
        <v>1438</v>
      </c>
      <c r="D30" s="135" t="s">
        <v>1439</v>
      </c>
      <c r="E30" s="23" t="s">
        <v>1380</v>
      </c>
      <c r="F30" s="135" t="s">
        <v>1381</v>
      </c>
      <c r="G30" s="137" t="s">
        <v>1382</v>
      </c>
      <c r="H30" s="24" t="s">
        <v>1383</v>
      </c>
      <c r="I30" s="60" t="s">
        <v>76</v>
      </c>
      <c r="J30" s="61" t="s">
        <v>77</v>
      </c>
      <c r="K30" s="61" t="s">
        <v>78</v>
      </c>
      <c r="L30" s="61" t="s">
        <v>79</v>
      </c>
      <c r="M30" s="23">
        <v>80</v>
      </c>
      <c r="N30" s="18" t="str">
        <f t="shared" si="0"/>
        <v>Mencapai kompetensi dengan baik dalam hal</v>
      </c>
      <c r="O30" s="23">
        <v>78</v>
      </c>
      <c r="P30" s="18" t="str">
        <f t="shared" si="1"/>
        <v>Mencapai kompetensi dengan baik dalam hal</v>
      </c>
      <c r="Q30" s="23">
        <v>82</v>
      </c>
      <c r="R30" s="18" t="str">
        <f t="shared" si="2"/>
        <v>Mencapai kompetensi dengan baik dalam hal</v>
      </c>
      <c r="S30" s="23">
        <v>82</v>
      </c>
      <c r="T30" s="18" t="str">
        <f t="shared" si="3"/>
        <v>Mencapai kompetensi dengan baik dalam hal</v>
      </c>
      <c r="U30" s="23">
        <v>84</v>
      </c>
      <c r="V30" s="18" t="str">
        <f t="shared" si="4"/>
        <v>Mencapai kompetensi dengan baik dalam hal</v>
      </c>
      <c r="W30" s="23">
        <v>81</v>
      </c>
      <c r="X30" s="18" t="str">
        <f t="shared" si="5"/>
        <v>Mencapai kompetensi dengan baik dalam hal</v>
      </c>
      <c r="Y30" s="23">
        <v>77</v>
      </c>
      <c r="Z30" s="18" t="str">
        <f t="shared" si="6"/>
        <v>Mencapai kompetensi dengan baik dalam hal</v>
      </c>
      <c r="AA30" s="23">
        <v>78</v>
      </c>
      <c r="AB30" s="18" t="str">
        <f t="shared" si="17"/>
        <v>Mencapai kompetensi dengan baik dalam hal</v>
      </c>
      <c r="AC30" s="23">
        <v>84</v>
      </c>
      <c r="AD30" s="18" t="str">
        <f t="shared" si="7"/>
        <v>Mencapai kompetensi dengan baik dalam hal</v>
      </c>
      <c r="AE30" s="23">
        <v>83</v>
      </c>
      <c r="AF30" s="18" t="str">
        <f t="shared" si="8"/>
        <v>Mencapai kompetensi dengan baik dalam hal</v>
      </c>
      <c r="AG30" s="23">
        <v>78</v>
      </c>
      <c r="AH30" s="18" t="str">
        <f t="shared" si="9"/>
        <v>Mencapai kompetensi dengan baik dalam hal</v>
      </c>
      <c r="AI30" s="23">
        <v>80</v>
      </c>
      <c r="AJ30" s="18" t="str">
        <f t="shared" si="10"/>
        <v>Mencapai kompetensi dengan baik dalam hal</v>
      </c>
      <c r="AK30" s="23">
        <v>82</v>
      </c>
      <c r="AL30" s="18" t="str">
        <f t="shared" si="11"/>
        <v>Mencapai kompetensi dengan baik dalam hal</v>
      </c>
      <c r="AM30" s="23">
        <v>83</v>
      </c>
      <c r="AN30" s="18" t="str">
        <f t="shared" si="12"/>
        <v>Mencapai kompetensi dengan baik dalam hal</v>
      </c>
      <c r="AO30" s="62">
        <f t="shared" si="18"/>
        <v>80.75</v>
      </c>
      <c r="AP30" s="23">
        <v>84</v>
      </c>
      <c r="AQ30" s="18" t="str">
        <f t="shared" si="13"/>
        <v>Mencapai kompetensi dengan baik dalam hal</v>
      </c>
      <c r="AR30" s="23">
        <v>80</v>
      </c>
      <c r="AS30" s="18" t="str">
        <f t="shared" si="14"/>
        <v>Mencapai kompetensi dengan baik dalam hal</v>
      </c>
      <c r="AT30" s="113">
        <v>1</v>
      </c>
      <c r="AU30" s="113" t="s">
        <v>81</v>
      </c>
      <c r="AV30" s="113" t="s">
        <v>81</v>
      </c>
      <c r="AW30" s="23">
        <v>1</v>
      </c>
      <c r="AX30" s="23" t="s">
        <v>82</v>
      </c>
      <c r="AY30" s="18" t="s">
        <v>83</v>
      </c>
      <c r="AZ30" s="23" t="s">
        <v>86</v>
      </c>
      <c r="BA30" s="18" t="str">
        <f t="shared" si="15"/>
        <v>Sangat baik</v>
      </c>
      <c r="BB30" s="23">
        <v>2</v>
      </c>
      <c r="BC30" s="18" t="s">
        <v>134</v>
      </c>
      <c r="BD30" s="18" t="s">
        <v>83</v>
      </c>
      <c r="BE30" s="23" t="s">
        <v>84</v>
      </c>
      <c r="BF30" s="18" t="str">
        <f t="shared" si="19"/>
        <v>Baik</v>
      </c>
      <c r="BG30" s="23"/>
      <c r="BH30" s="23"/>
      <c r="BI30" s="23"/>
      <c r="BJ30" s="23"/>
      <c r="BK30" s="18"/>
    </row>
    <row r="31" spans="1:63" ht="38.25" customHeight="1" x14ac:dyDescent="0.25">
      <c r="A31" s="23">
        <v>30</v>
      </c>
      <c r="B31" s="23">
        <v>2526007</v>
      </c>
      <c r="C31" s="23" t="s">
        <v>1440</v>
      </c>
      <c r="D31" s="135" t="s">
        <v>1441</v>
      </c>
      <c r="E31" s="23" t="s">
        <v>1380</v>
      </c>
      <c r="F31" s="135" t="s">
        <v>1381</v>
      </c>
      <c r="G31" s="137" t="s">
        <v>1382</v>
      </c>
      <c r="H31" s="24" t="s">
        <v>1383</v>
      </c>
      <c r="I31" s="60" t="s">
        <v>76</v>
      </c>
      <c r="J31" s="61" t="s">
        <v>77</v>
      </c>
      <c r="K31" s="61" t="s">
        <v>78</v>
      </c>
      <c r="L31" s="61" t="s">
        <v>79</v>
      </c>
      <c r="M31" s="23">
        <v>79</v>
      </c>
      <c r="N31" s="18" t="str">
        <f t="shared" si="0"/>
        <v>Mencapai kompetensi dengan baik dalam hal</v>
      </c>
      <c r="O31" s="23">
        <v>75</v>
      </c>
      <c r="P31" s="18" t="str">
        <f t="shared" si="1"/>
        <v>Mencapai kompetensi dengan baik dalam hal</v>
      </c>
      <c r="Q31" s="23">
        <v>80</v>
      </c>
      <c r="R31" s="18" t="str">
        <f t="shared" si="2"/>
        <v>Mencapai kompetensi dengan baik dalam hal</v>
      </c>
      <c r="S31" s="23">
        <v>82</v>
      </c>
      <c r="T31" s="18" t="str">
        <f t="shared" si="3"/>
        <v>Mencapai kompetensi dengan baik dalam hal</v>
      </c>
      <c r="U31" s="23">
        <v>82</v>
      </c>
      <c r="V31" s="18" t="str">
        <f t="shared" si="4"/>
        <v>Mencapai kompetensi dengan baik dalam hal</v>
      </c>
      <c r="W31" s="23">
        <v>79</v>
      </c>
      <c r="X31" s="18" t="str">
        <f t="shared" si="5"/>
        <v>Mencapai kompetensi dengan baik dalam hal</v>
      </c>
      <c r="Y31" s="23">
        <v>76</v>
      </c>
      <c r="Z31" s="18" t="str">
        <f t="shared" si="6"/>
        <v>Mencapai kompetensi dengan baik dalam hal</v>
      </c>
      <c r="AA31" s="23">
        <v>78</v>
      </c>
      <c r="AB31" s="18" t="str">
        <f t="shared" si="17"/>
        <v>Mencapai kompetensi dengan baik dalam hal</v>
      </c>
      <c r="AC31" s="23">
        <v>83</v>
      </c>
      <c r="AD31" s="18" t="str">
        <f t="shared" si="7"/>
        <v>Mencapai kompetensi dengan baik dalam hal</v>
      </c>
      <c r="AE31" s="23">
        <v>79</v>
      </c>
      <c r="AF31" s="18" t="str">
        <f t="shared" si="8"/>
        <v>Mencapai kompetensi dengan baik dalam hal</v>
      </c>
      <c r="AG31" s="23">
        <v>85</v>
      </c>
      <c r="AH31" s="18" t="str">
        <f t="shared" si="9"/>
        <v>Mencapai kompetensi dengan baik dalam hal</v>
      </c>
      <c r="AI31" s="23">
        <v>83</v>
      </c>
      <c r="AJ31" s="18" t="str">
        <f t="shared" si="10"/>
        <v>Mencapai kompetensi dengan baik dalam hal</v>
      </c>
      <c r="AK31" s="23">
        <v>84</v>
      </c>
      <c r="AL31" s="18" t="str">
        <f t="shared" si="11"/>
        <v>Mencapai kompetensi dengan baik dalam hal</v>
      </c>
      <c r="AM31" s="23">
        <v>86</v>
      </c>
      <c r="AN31" s="18" t="str">
        <f t="shared" si="12"/>
        <v>Mencapai kompetensi dengan baik dalam hal</v>
      </c>
      <c r="AO31" s="62">
        <f t="shared" si="18"/>
        <v>84.5</v>
      </c>
      <c r="AP31" s="23">
        <v>83</v>
      </c>
      <c r="AQ31" s="18" t="str">
        <f t="shared" si="13"/>
        <v>Mencapai kompetensi dengan baik dalam hal</v>
      </c>
      <c r="AR31" s="23">
        <v>79</v>
      </c>
      <c r="AS31" s="18" t="str">
        <f t="shared" si="14"/>
        <v>Mencapai kompetensi dengan baik dalam hal</v>
      </c>
      <c r="AT31" s="113">
        <v>2</v>
      </c>
      <c r="AU31" s="113">
        <v>2</v>
      </c>
      <c r="AV31" s="113" t="s">
        <v>81</v>
      </c>
      <c r="AW31" s="23">
        <v>1</v>
      </c>
      <c r="AX31" s="23" t="s">
        <v>82</v>
      </c>
      <c r="AY31" s="18" t="s">
        <v>83</v>
      </c>
      <c r="AZ31" s="23" t="s">
        <v>104</v>
      </c>
      <c r="BA31" s="18" t="str">
        <f t="shared" si="15"/>
        <v>Cukup</v>
      </c>
      <c r="BB31" s="23">
        <v>2</v>
      </c>
      <c r="BC31" s="18" t="s">
        <v>125</v>
      </c>
      <c r="BD31" s="18" t="s">
        <v>83</v>
      </c>
      <c r="BE31" s="23" t="s">
        <v>104</v>
      </c>
      <c r="BF31" s="18" t="str">
        <f t="shared" si="19"/>
        <v>Cukup</v>
      </c>
      <c r="BG31" s="23"/>
      <c r="BH31" s="23"/>
      <c r="BI31" s="23"/>
      <c r="BJ31" s="23"/>
      <c r="BK31" s="18"/>
    </row>
    <row r="32" spans="1:63" ht="38.25" customHeight="1" x14ac:dyDescent="0.25">
      <c r="A32" s="23">
        <v>31</v>
      </c>
      <c r="B32" s="23">
        <v>2526008</v>
      </c>
      <c r="C32" s="23" t="s">
        <v>1442</v>
      </c>
      <c r="D32" s="135" t="s">
        <v>1443</v>
      </c>
      <c r="E32" s="23" t="s">
        <v>1380</v>
      </c>
      <c r="F32" s="135" t="s">
        <v>1381</v>
      </c>
      <c r="G32" s="137" t="s">
        <v>1382</v>
      </c>
      <c r="H32" s="24" t="s">
        <v>1383</v>
      </c>
      <c r="I32" s="60" t="s">
        <v>76</v>
      </c>
      <c r="J32" s="61" t="s">
        <v>77</v>
      </c>
      <c r="K32" s="61" t="s">
        <v>78</v>
      </c>
      <c r="L32" s="61" t="s">
        <v>79</v>
      </c>
      <c r="M32" s="23">
        <v>85</v>
      </c>
      <c r="N32" s="18" t="str">
        <f t="shared" si="0"/>
        <v>Mencapai kompetensi dengan baik dalam hal</v>
      </c>
      <c r="O32" s="23">
        <v>81</v>
      </c>
      <c r="P32" s="18" t="str">
        <f t="shared" si="1"/>
        <v>Mencapai kompetensi dengan baik dalam hal</v>
      </c>
      <c r="Q32" s="23">
        <v>82</v>
      </c>
      <c r="R32" s="18" t="str">
        <f t="shared" si="2"/>
        <v>Mencapai kompetensi dengan baik dalam hal</v>
      </c>
      <c r="S32" s="23">
        <v>80</v>
      </c>
      <c r="T32" s="18" t="str">
        <f t="shared" si="3"/>
        <v>Mencapai kompetensi dengan baik dalam hal</v>
      </c>
      <c r="U32" s="23">
        <v>81</v>
      </c>
      <c r="V32" s="18" t="str">
        <f t="shared" si="4"/>
        <v>Mencapai kompetensi dengan baik dalam hal</v>
      </c>
      <c r="W32" s="23">
        <v>84</v>
      </c>
      <c r="X32" s="18" t="str">
        <f t="shared" si="5"/>
        <v>Mencapai kompetensi dengan baik dalam hal</v>
      </c>
      <c r="Y32" s="23">
        <v>80</v>
      </c>
      <c r="Z32" s="18" t="str">
        <f t="shared" si="6"/>
        <v>Mencapai kompetensi dengan baik dalam hal</v>
      </c>
      <c r="AA32" s="23">
        <v>80</v>
      </c>
      <c r="AB32" s="18" t="str">
        <f t="shared" si="17"/>
        <v>Mencapai kompetensi dengan baik dalam hal</v>
      </c>
      <c r="AC32" s="23">
        <v>84</v>
      </c>
      <c r="AD32" s="18" t="str">
        <f t="shared" si="7"/>
        <v>Mencapai kompetensi dengan baik dalam hal</v>
      </c>
      <c r="AE32" s="23">
        <v>81</v>
      </c>
      <c r="AF32" s="18" t="str">
        <f t="shared" si="8"/>
        <v>Mencapai kompetensi dengan baik dalam hal</v>
      </c>
      <c r="AG32" s="23">
        <v>84</v>
      </c>
      <c r="AH32" s="18" t="str">
        <f t="shared" si="9"/>
        <v>Mencapai kompetensi dengan baik dalam hal</v>
      </c>
      <c r="AI32" s="23">
        <v>85</v>
      </c>
      <c r="AJ32" s="18" t="str">
        <f t="shared" si="10"/>
        <v>Mencapai kompetensi dengan baik dalam hal</v>
      </c>
      <c r="AK32" s="23">
        <v>86</v>
      </c>
      <c r="AL32" s="18" t="str">
        <f t="shared" si="11"/>
        <v>Mencapai kompetensi dengan baik dalam hal</v>
      </c>
      <c r="AM32" s="23">
        <v>85</v>
      </c>
      <c r="AN32" s="18" t="str">
        <f t="shared" si="12"/>
        <v>Mencapai kompetensi dengan baik dalam hal</v>
      </c>
      <c r="AO32" s="62">
        <f t="shared" si="18"/>
        <v>85</v>
      </c>
      <c r="AP32" s="23">
        <v>84</v>
      </c>
      <c r="AQ32" s="18" t="str">
        <f t="shared" si="13"/>
        <v>Mencapai kompetensi dengan baik dalam hal</v>
      </c>
      <c r="AR32" s="23">
        <v>80</v>
      </c>
      <c r="AS32" s="18" t="str">
        <f t="shared" si="14"/>
        <v>Mencapai kompetensi dengan baik dalam hal</v>
      </c>
      <c r="AT32" s="113">
        <v>5</v>
      </c>
      <c r="AU32" s="113" t="s">
        <v>81</v>
      </c>
      <c r="AV32" s="113" t="s">
        <v>81</v>
      </c>
      <c r="AW32" s="23">
        <v>1</v>
      </c>
      <c r="AX32" s="23" t="s">
        <v>82</v>
      </c>
      <c r="AY32" s="18" t="s">
        <v>83</v>
      </c>
      <c r="AZ32" s="23" t="s">
        <v>84</v>
      </c>
      <c r="BA32" s="18" t="str">
        <f t="shared" si="15"/>
        <v>Baik</v>
      </c>
      <c r="BB32" s="23">
        <v>2</v>
      </c>
      <c r="BC32" s="18" t="s">
        <v>579</v>
      </c>
      <c r="BD32" s="18" t="s">
        <v>83</v>
      </c>
      <c r="BE32" s="23" t="s">
        <v>86</v>
      </c>
      <c r="BF32" s="18" t="str">
        <f t="shared" si="19"/>
        <v>Sangat baik</v>
      </c>
      <c r="BG32" s="23"/>
      <c r="BH32" s="23"/>
      <c r="BI32" s="23"/>
      <c r="BJ32" s="23"/>
      <c r="BK32" s="18"/>
    </row>
    <row r="33" spans="1:63" ht="38.25" customHeight="1" x14ac:dyDescent="0.25">
      <c r="A33" s="23">
        <v>32</v>
      </c>
      <c r="B33" s="23">
        <v>2526009</v>
      </c>
      <c r="C33" s="23" t="s">
        <v>1444</v>
      </c>
      <c r="D33" s="135" t="s">
        <v>1445</v>
      </c>
      <c r="E33" s="23" t="s">
        <v>1380</v>
      </c>
      <c r="F33" s="135" t="s">
        <v>1381</v>
      </c>
      <c r="G33" s="137" t="s">
        <v>1382</v>
      </c>
      <c r="H33" s="24" t="s">
        <v>1383</v>
      </c>
      <c r="I33" s="60" t="s">
        <v>76</v>
      </c>
      <c r="J33" s="61" t="s">
        <v>77</v>
      </c>
      <c r="K33" s="61" t="s">
        <v>78</v>
      </c>
      <c r="L33" s="61" t="s">
        <v>79</v>
      </c>
      <c r="M33" s="23">
        <v>83</v>
      </c>
      <c r="N33" s="18" t="str">
        <f t="shared" si="0"/>
        <v>Mencapai kompetensi dengan baik dalam hal</v>
      </c>
      <c r="O33" s="23">
        <v>80</v>
      </c>
      <c r="P33" s="18" t="str">
        <f t="shared" si="1"/>
        <v>Mencapai kompetensi dengan baik dalam hal</v>
      </c>
      <c r="Q33" s="23">
        <v>82</v>
      </c>
      <c r="R33" s="18" t="str">
        <f t="shared" si="2"/>
        <v>Mencapai kompetensi dengan baik dalam hal</v>
      </c>
      <c r="S33" s="23">
        <v>82</v>
      </c>
      <c r="T33" s="18" t="str">
        <f t="shared" si="3"/>
        <v>Mencapai kompetensi dengan baik dalam hal</v>
      </c>
      <c r="U33" s="23">
        <v>86</v>
      </c>
      <c r="V33" s="18" t="str">
        <f t="shared" si="4"/>
        <v>Mencapai kompetensi dengan baik dalam hal</v>
      </c>
      <c r="W33" s="23">
        <v>82</v>
      </c>
      <c r="X33" s="18" t="str">
        <f t="shared" si="5"/>
        <v>Mencapai kompetensi dengan baik dalam hal</v>
      </c>
      <c r="Y33" s="23">
        <v>80</v>
      </c>
      <c r="Z33" s="18" t="str">
        <f t="shared" si="6"/>
        <v>Mencapai kompetensi dengan baik dalam hal</v>
      </c>
      <c r="AA33" s="23">
        <v>79</v>
      </c>
      <c r="AB33" s="18" t="str">
        <f t="shared" si="17"/>
        <v>Mencapai kompetensi dengan baik dalam hal</v>
      </c>
      <c r="AC33" s="23">
        <v>82</v>
      </c>
      <c r="AD33" s="18" t="str">
        <f t="shared" si="7"/>
        <v>Mencapai kompetensi dengan baik dalam hal</v>
      </c>
      <c r="AE33" s="23">
        <v>83</v>
      </c>
      <c r="AF33" s="18" t="str">
        <f t="shared" si="8"/>
        <v>Mencapai kompetensi dengan baik dalam hal</v>
      </c>
      <c r="AG33" s="23">
        <v>78</v>
      </c>
      <c r="AH33" s="18" t="str">
        <f t="shared" si="9"/>
        <v>Mencapai kompetensi dengan baik dalam hal</v>
      </c>
      <c r="AI33" s="23">
        <v>82</v>
      </c>
      <c r="AJ33" s="18" t="str">
        <f t="shared" si="10"/>
        <v>Mencapai kompetensi dengan baik dalam hal</v>
      </c>
      <c r="AK33" s="23">
        <v>81</v>
      </c>
      <c r="AL33" s="18" t="str">
        <f t="shared" si="11"/>
        <v>Mencapai kompetensi dengan baik dalam hal</v>
      </c>
      <c r="AM33" s="23">
        <v>84</v>
      </c>
      <c r="AN33" s="18" t="str">
        <f t="shared" si="12"/>
        <v>Mencapai kompetensi dengan baik dalam hal</v>
      </c>
      <c r="AO33" s="62">
        <f t="shared" si="18"/>
        <v>81.25</v>
      </c>
      <c r="AP33" s="23">
        <v>82</v>
      </c>
      <c r="AQ33" s="18" t="str">
        <f t="shared" si="13"/>
        <v>Mencapai kompetensi dengan baik dalam hal</v>
      </c>
      <c r="AR33" s="23">
        <v>80</v>
      </c>
      <c r="AS33" s="18" t="str">
        <f t="shared" si="14"/>
        <v>Mencapai kompetensi dengan baik dalam hal</v>
      </c>
      <c r="AT33" s="113" t="s">
        <v>81</v>
      </c>
      <c r="AU33" s="113" t="s">
        <v>81</v>
      </c>
      <c r="AV33" s="113" t="s">
        <v>81</v>
      </c>
      <c r="AW33" s="23">
        <v>1</v>
      </c>
      <c r="AX33" s="23" t="s">
        <v>82</v>
      </c>
      <c r="AY33" s="18" t="s">
        <v>83</v>
      </c>
      <c r="AZ33" s="23" t="s">
        <v>84</v>
      </c>
      <c r="BA33" s="18" t="str">
        <f t="shared" si="15"/>
        <v>Baik</v>
      </c>
      <c r="BB33" s="23">
        <v>2</v>
      </c>
      <c r="BC33" s="18" t="s">
        <v>1073</v>
      </c>
      <c r="BD33" s="18" t="s">
        <v>83</v>
      </c>
      <c r="BE33" s="23" t="s">
        <v>86</v>
      </c>
      <c r="BF33" s="18" t="str">
        <f t="shared" si="19"/>
        <v>Sangat baik</v>
      </c>
      <c r="BG33" s="23"/>
      <c r="BH33" s="23"/>
      <c r="BI33" s="23"/>
      <c r="BJ33" s="23"/>
      <c r="BK33" s="18"/>
    </row>
    <row r="34" spans="1:63" ht="38.25" customHeight="1" x14ac:dyDescent="0.25">
      <c r="A34" s="23">
        <v>33</v>
      </c>
      <c r="B34" s="23">
        <v>2526010</v>
      </c>
      <c r="C34" s="23" t="s">
        <v>1446</v>
      </c>
      <c r="D34" s="135" t="s">
        <v>1447</v>
      </c>
      <c r="E34" s="23" t="s">
        <v>1380</v>
      </c>
      <c r="F34" s="135" t="s">
        <v>1381</v>
      </c>
      <c r="G34" s="137" t="s">
        <v>1382</v>
      </c>
      <c r="H34" s="24" t="s">
        <v>1383</v>
      </c>
      <c r="I34" s="60" t="s">
        <v>76</v>
      </c>
      <c r="J34" s="61" t="s">
        <v>77</v>
      </c>
      <c r="K34" s="61" t="s">
        <v>78</v>
      </c>
      <c r="L34" s="61" t="s">
        <v>79</v>
      </c>
      <c r="M34" s="23">
        <v>80</v>
      </c>
      <c r="N34" s="18" t="str">
        <f t="shared" si="0"/>
        <v>Mencapai kompetensi dengan baik dalam hal</v>
      </c>
      <c r="O34" s="23">
        <v>76</v>
      </c>
      <c r="P34" s="18" t="str">
        <f t="shared" si="1"/>
        <v>Mencapai kompetensi dengan baik dalam hal</v>
      </c>
      <c r="Q34" s="23">
        <v>80</v>
      </c>
      <c r="R34" s="18" t="str">
        <f t="shared" si="2"/>
        <v>Mencapai kompetensi dengan baik dalam hal</v>
      </c>
      <c r="S34" s="23">
        <v>82</v>
      </c>
      <c r="T34" s="18" t="str">
        <f t="shared" si="3"/>
        <v>Mencapai kompetensi dengan baik dalam hal</v>
      </c>
      <c r="U34" s="23">
        <v>87</v>
      </c>
      <c r="V34" s="18" t="str">
        <f t="shared" si="4"/>
        <v>Mencapai kompetensi dengan baik dalam hal</v>
      </c>
      <c r="W34" s="23">
        <v>81</v>
      </c>
      <c r="X34" s="18" t="str">
        <f t="shared" si="5"/>
        <v>Mencapai kompetensi dengan baik dalam hal</v>
      </c>
      <c r="Y34" s="23">
        <v>80</v>
      </c>
      <c r="Z34" s="18" t="str">
        <f t="shared" si="6"/>
        <v>Mencapai kompetensi dengan baik dalam hal</v>
      </c>
      <c r="AA34" s="23">
        <v>79</v>
      </c>
      <c r="AB34" s="18" t="str">
        <f t="shared" si="17"/>
        <v>Mencapai kompetensi dengan baik dalam hal</v>
      </c>
      <c r="AC34" s="23">
        <v>84</v>
      </c>
      <c r="AD34" s="18" t="str">
        <f t="shared" si="7"/>
        <v>Mencapai kompetensi dengan baik dalam hal</v>
      </c>
      <c r="AE34" s="23">
        <v>82</v>
      </c>
      <c r="AF34" s="18" t="str">
        <f t="shared" si="8"/>
        <v>Mencapai kompetensi dengan baik dalam hal</v>
      </c>
      <c r="AG34" s="23">
        <v>78</v>
      </c>
      <c r="AH34" s="18" t="str">
        <f t="shared" si="9"/>
        <v>Mencapai kompetensi dengan baik dalam hal</v>
      </c>
      <c r="AI34" s="23">
        <v>80</v>
      </c>
      <c r="AJ34" s="18" t="str">
        <f t="shared" si="10"/>
        <v>Mencapai kompetensi dengan baik dalam hal</v>
      </c>
      <c r="AK34" s="23">
        <v>82</v>
      </c>
      <c r="AL34" s="18" t="str">
        <f t="shared" si="11"/>
        <v>Mencapai kompetensi dengan baik dalam hal</v>
      </c>
      <c r="AM34" s="23">
        <v>82</v>
      </c>
      <c r="AN34" s="18" t="str">
        <f t="shared" si="12"/>
        <v>Mencapai kompetensi dengan baik dalam hal</v>
      </c>
      <c r="AO34" s="62">
        <f t="shared" si="18"/>
        <v>80.5</v>
      </c>
      <c r="AP34" s="23">
        <v>84</v>
      </c>
      <c r="AQ34" s="18" t="str">
        <f t="shared" si="13"/>
        <v>Mencapai kompetensi dengan baik dalam hal</v>
      </c>
      <c r="AR34" s="23">
        <v>79</v>
      </c>
      <c r="AS34" s="18" t="str">
        <f t="shared" si="14"/>
        <v>Mencapai kompetensi dengan baik dalam hal</v>
      </c>
      <c r="AT34" s="113">
        <v>1</v>
      </c>
      <c r="AU34" s="113" t="s">
        <v>81</v>
      </c>
      <c r="AV34" s="113" t="s">
        <v>81</v>
      </c>
      <c r="AW34" s="23">
        <v>1</v>
      </c>
      <c r="AX34" s="23" t="s">
        <v>82</v>
      </c>
      <c r="AY34" s="18" t="s">
        <v>83</v>
      </c>
      <c r="AZ34" s="23" t="s">
        <v>84</v>
      </c>
      <c r="BA34" s="18" t="str">
        <f t="shared" ref="BA34:BA65" si="20">VLOOKUP(AZ34,grades4,2,TRUE)</f>
        <v>Baik</v>
      </c>
      <c r="BB34" s="23">
        <v>2</v>
      </c>
      <c r="BC34" s="18" t="s">
        <v>1073</v>
      </c>
      <c r="BD34" s="18" t="s">
        <v>83</v>
      </c>
      <c r="BE34" s="23" t="s">
        <v>86</v>
      </c>
      <c r="BF34" s="18" t="str">
        <f t="shared" si="19"/>
        <v>Sangat baik</v>
      </c>
      <c r="BG34" s="23"/>
      <c r="BH34" s="23"/>
      <c r="BI34" s="23"/>
      <c r="BJ34" s="23"/>
      <c r="BK34" s="18"/>
    </row>
    <row r="35" spans="1:63" ht="38.25" customHeight="1" x14ac:dyDescent="0.25">
      <c r="A35" s="23">
        <v>34</v>
      </c>
      <c r="B35" s="23">
        <v>2526011</v>
      </c>
      <c r="C35" s="23" t="s">
        <v>1448</v>
      </c>
      <c r="D35" s="135" t="s">
        <v>1449</v>
      </c>
      <c r="E35" s="23" t="s">
        <v>1380</v>
      </c>
      <c r="F35" s="135" t="s">
        <v>1381</v>
      </c>
      <c r="G35" s="137" t="s">
        <v>1382</v>
      </c>
      <c r="H35" s="24" t="s">
        <v>1383</v>
      </c>
      <c r="I35" s="60" t="s">
        <v>76</v>
      </c>
      <c r="J35" s="61" t="s">
        <v>77</v>
      </c>
      <c r="K35" s="61" t="s">
        <v>78</v>
      </c>
      <c r="L35" s="61" t="s">
        <v>79</v>
      </c>
      <c r="M35" s="23">
        <v>83</v>
      </c>
      <c r="N35" s="18" t="str">
        <f t="shared" si="0"/>
        <v>Mencapai kompetensi dengan baik dalam hal</v>
      </c>
      <c r="O35" s="23">
        <v>82</v>
      </c>
      <c r="P35" s="18" t="str">
        <f t="shared" si="1"/>
        <v>Mencapai kompetensi dengan baik dalam hal</v>
      </c>
      <c r="Q35" s="23">
        <v>82</v>
      </c>
      <c r="R35" s="18" t="str">
        <f t="shared" si="2"/>
        <v>Mencapai kompetensi dengan baik dalam hal</v>
      </c>
      <c r="S35" s="23">
        <v>80</v>
      </c>
      <c r="T35" s="18" t="str">
        <f t="shared" si="3"/>
        <v>Mencapai kompetensi dengan baik dalam hal</v>
      </c>
      <c r="U35" s="23">
        <v>85</v>
      </c>
      <c r="V35" s="18" t="str">
        <f t="shared" si="4"/>
        <v>Mencapai kompetensi dengan baik dalam hal</v>
      </c>
      <c r="W35" s="23">
        <v>80</v>
      </c>
      <c r="X35" s="18" t="str">
        <f t="shared" si="5"/>
        <v>Mencapai kompetensi dengan baik dalam hal</v>
      </c>
      <c r="Y35" s="23">
        <v>80</v>
      </c>
      <c r="Z35" s="18" t="str">
        <f t="shared" si="6"/>
        <v>Mencapai kompetensi dengan baik dalam hal</v>
      </c>
      <c r="AA35" s="23">
        <v>81</v>
      </c>
      <c r="AB35" s="18" t="str">
        <f t="shared" si="17"/>
        <v>Mencapai kompetensi dengan baik dalam hal</v>
      </c>
      <c r="AC35" s="23">
        <v>84</v>
      </c>
      <c r="AD35" s="18" t="str">
        <f t="shared" si="7"/>
        <v>Mencapai kompetensi dengan baik dalam hal</v>
      </c>
      <c r="AE35" s="23">
        <v>83</v>
      </c>
      <c r="AF35" s="18" t="str">
        <f t="shared" si="8"/>
        <v>Mencapai kompetensi dengan baik dalam hal</v>
      </c>
      <c r="AG35" s="23">
        <v>82</v>
      </c>
      <c r="AH35" s="18" t="str">
        <f t="shared" si="9"/>
        <v>Mencapai kompetensi dengan baik dalam hal</v>
      </c>
      <c r="AI35" s="23">
        <v>83</v>
      </c>
      <c r="AJ35" s="18" t="str">
        <f t="shared" si="10"/>
        <v>Mencapai kompetensi dengan baik dalam hal</v>
      </c>
      <c r="AK35" s="23">
        <v>84</v>
      </c>
      <c r="AL35" s="18" t="str">
        <f t="shared" si="11"/>
        <v>Mencapai kompetensi dengan baik dalam hal</v>
      </c>
      <c r="AM35" s="23">
        <v>82</v>
      </c>
      <c r="AN35" s="18" t="str">
        <f t="shared" si="12"/>
        <v>Mencapai kompetensi dengan baik dalam hal</v>
      </c>
      <c r="AO35" s="62">
        <f t="shared" si="18"/>
        <v>82.75</v>
      </c>
      <c r="AP35" s="23">
        <v>84</v>
      </c>
      <c r="AQ35" s="18" t="str">
        <f t="shared" si="13"/>
        <v>Mencapai kompetensi dengan baik dalam hal</v>
      </c>
      <c r="AR35" s="23">
        <v>80</v>
      </c>
      <c r="AS35" s="18" t="str">
        <f t="shared" si="14"/>
        <v>Mencapai kompetensi dengan baik dalam hal</v>
      </c>
      <c r="AT35" s="113" t="s">
        <v>81</v>
      </c>
      <c r="AU35" s="113" t="s">
        <v>81</v>
      </c>
      <c r="AV35" s="113" t="s">
        <v>81</v>
      </c>
      <c r="AW35" s="23">
        <v>1</v>
      </c>
      <c r="AX35" s="23" t="s">
        <v>82</v>
      </c>
      <c r="AY35" s="18" t="s">
        <v>83</v>
      </c>
      <c r="AZ35" s="23" t="s">
        <v>84</v>
      </c>
      <c r="BA35" s="18" t="str">
        <f t="shared" si="20"/>
        <v>Baik</v>
      </c>
      <c r="BB35" s="23">
        <v>2</v>
      </c>
      <c r="BC35" s="18" t="s">
        <v>429</v>
      </c>
      <c r="BD35" s="18" t="s">
        <v>83</v>
      </c>
      <c r="BE35" s="23" t="s">
        <v>86</v>
      </c>
      <c r="BF35" s="18" t="str">
        <f t="shared" si="19"/>
        <v>Sangat baik</v>
      </c>
      <c r="BG35" s="23"/>
      <c r="BH35" s="23"/>
      <c r="BI35" s="23"/>
      <c r="BJ35" s="23"/>
      <c r="BK35" s="18"/>
    </row>
    <row r="36" spans="1:63" ht="38.25" customHeight="1" x14ac:dyDescent="0.25">
      <c r="A36" s="23">
        <v>35</v>
      </c>
      <c r="B36" s="23">
        <v>2526012</v>
      </c>
      <c r="C36" s="23" t="s">
        <v>1450</v>
      </c>
      <c r="D36" s="135" t="s">
        <v>1451</v>
      </c>
      <c r="E36" s="23" t="s">
        <v>1380</v>
      </c>
      <c r="F36" s="135" t="s">
        <v>1381</v>
      </c>
      <c r="G36" s="137" t="s">
        <v>1382</v>
      </c>
      <c r="H36" s="24" t="s">
        <v>1383</v>
      </c>
      <c r="I36" s="60" t="s">
        <v>76</v>
      </c>
      <c r="J36" s="61" t="s">
        <v>77</v>
      </c>
      <c r="K36" s="61" t="s">
        <v>78</v>
      </c>
      <c r="L36" s="61" t="s">
        <v>79</v>
      </c>
      <c r="M36" s="23">
        <v>79</v>
      </c>
      <c r="N36" s="18" t="str">
        <f t="shared" si="0"/>
        <v>Mencapai kompetensi dengan baik dalam hal</v>
      </c>
      <c r="O36" s="23">
        <v>76</v>
      </c>
      <c r="P36" s="18" t="str">
        <f t="shared" si="1"/>
        <v>Mencapai kompetensi dengan baik dalam hal</v>
      </c>
      <c r="Q36" s="23">
        <v>81</v>
      </c>
      <c r="R36" s="18" t="str">
        <f t="shared" si="2"/>
        <v>Mencapai kompetensi dengan baik dalam hal</v>
      </c>
      <c r="S36" s="23">
        <v>82</v>
      </c>
      <c r="T36" s="18" t="str">
        <f t="shared" si="3"/>
        <v>Mencapai kompetensi dengan baik dalam hal</v>
      </c>
      <c r="U36" s="23">
        <v>77</v>
      </c>
      <c r="V36" s="18" t="str">
        <f t="shared" si="4"/>
        <v>Mencapai kompetensi dengan baik dalam hal</v>
      </c>
      <c r="W36" s="23">
        <v>77</v>
      </c>
      <c r="X36" s="18" t="str">
        <f t="shared" si="5"/>
        <v>Mencapai kompetensi dengan baik dalam hal</v>
      </c>
      <c r="Y36" s="23">
        <v>75</v>
      </c>
      <c r="Z36" s="18" t="str">
        <f t="shared" si="6"/>
        <v>Mencapai kompetensi dengan baik dalam hal</v>
      </c>
      <c r="AA36" s="23">
        <v>76</v>
      </c>
      <c r="AB36" s="18" t="str">
        <f t="shared" si="17"/>
        <v>Mencapai kompetensi dengan baik dalam hal</v>
      </c>
      <c r="AC36" s="23">
        <v>83</v>
      </c>
      <c r="AD36" s="18" t="str">
        <f t="shared" si="7"/>
        <v>Mencapai kompetensi dengan baik dalam hal</v>
      </c>
      <c r="AE36" s="23">
        <v>81</v>
      </c>
      <c r="AF36" s="18" t="str">
        <f t="shared" si="8"/>
        <v>Mencapai kompetensi dengan baik dalam hal</v>
      </c>
      <c r="AG36" s="23">
        <v>80</v>
      </c>
      <c r="AH36" s="18" t="str">
        <f t="shared" si="9"/>
        <v>Mencapai kompetensi dengan baik dalam hal</v>
      </c>
      <c r="AI36" s="23">
        <v>82</v>
      </c>
      <c r="AJ36" s="18" t="str">
        <f t="shared" si="10"/>
        <v>Mencapai kompetensi dengan baik dalam hal</v>
      </c>
      <c r="AK36" s="23">
        <v>82</v>
      </c>
      <c r="AL36" s="18" t="str">
        <f t="shared" si="11"/>
        <v>Mencapai kompetensi dengan baik dalam hal</v>
      </c>
      <c r="AM36" s="23">
        <v>82</v>
      </c>
      <c r="AN36" s="18" t="str">
        <f t="shared" si="12"/>
        <v>Mencapai kompetensi dengan baik dalam hal</v>
      </c>
      <c r="AO36" s="62">
        <f t="shared" si="18"/>
        <v>81.5</v>
      </c>
      <c r="AP36" s="23">
        <v>83</v>
      </c>
      <c r="AQ36" s="18" t="str">
        <f t="shared" si="13"/>
        <v>Mencapai kompetensi dengan baik dalam hal</v>
      </c>
      <c r="AR36" s="23">
        <v>75</v>
      </c>
      <c r="AS36" s="18" t="str">
        <f t="shared" si="14"/>
        <v>Mencapai kompetensi dengan baik dalam hal</v>
      </c>
      <c r="AT36" s="113">
        <v>11</v>
      </c>
      <c r="AU36" s="113" t="s">
        <v>81</v>
      </c>
      <c r="AV36" s="113" t="s">
        <v>81</v>
      </c>
      <c r="AW36" s="23">
        <v>1</v>
      </c>
      <c r="AX36" s="23" t="s">
        <v>82</v>
      </c>
      <c r="AY36" s="18" t="s">
        <v>83</v>
      </c>
      <c r="AZ36" s="23" t="s">
        <v>110</v>
      </c>
      <c r="BA36" s="18" t="str">
        <f t="shared" si="20"/>
        <v>Kurang</v>
      </c>
      <c r="BB36" s="23">
        <v>2</v>
      </c>
      <c r="BC36" s="18" t="s">
        <v>170</v>
      </c>
      <c r="BD36" s="18" t="s">
        <v>83</v>
      </c>
      <c r="BE36" s="23" t="s">
        <v>110</v>
      </c>
      <c r="BF36" s="18" t="str">
        <f t="shared" si="19"/>
        <v>Kurang</v>
      </c>
      <c r="BG36" s="23"/>
      <c r="BH36" s="23"/>
      <c r="BI36" s="23"/>
      <c r="BJ36" s="23"/>
      <c r="BK36" s="18"/>
    </row>
    <row r="37" spans="1:63" ht="38.25" customHeight="1" x14ac:dyDescent="0.25">
      <c r="A37" s="23">
        <v>36</v>
      </c>
      <c r="B37" s="23">
        <v>2526013</v>
      </c>
      <c r="C37" s="23" t="s">
        <v>1452</v>
      </c>
      <c r="D37" s="135" t="s">
        <v>1453</v>
      </c>
      <c r="E37" s="23" t="s">
        <v>1380</v>
      </c>
      <c r="F37" s="135" t="s">
        <v>1381</v>
      </c>
      <c r="G37" s="137" t="s">
        <v>1382</v>
      </c>
      <c r="H37" s="24" t="s">
        <v>1383</v>
      </c>
      <c r="I37" s="60" t="s">
        <v>76</v>
      </c>
      <c r="J37" s="61" t="s">
        <v>77</v>
      </c>
      <c r="K37" s="61" t="s">
        <v>78</v>
      </c>
      <c r="L37" s="61" t="s">
        <v>79</v>
      </c>
      <c r="M37" s="23">
        <v>81</v>
      </c>
      <c r="N37" s="18" t="str">
        <f t="shared" si="0"/>
        <v>Mencapai kompetensi dengan baik dalam hal</v>
      </c>
      <c r="O37" s="23">
        <v>82</v>
      </c>
      <c r="P37" s="18" t="str">
        <f t="shared" si="1"/>
        <v>Mencapai kompetensi dengan baik dalam hal</v>
      </c>
      <c r="Q37" s="23">
        <v>82</v>
      </c>
      <c r="R37" s="18" t="str">
        <f t="shared" si="2"/>
        <v>Mencapai kompetensi dengan baik dalam hal</v>
      </c>
      <c r="S37" s="23">
        <v>85</v>
      </c>
      <c r="T37" s="18" t="str">
        <f t="shared" si="3"/>
        <v>Mencapai kompetensi dengan baik dalam hal</v>
      </c>
      <c r="U37" s="23">
        <v>86</v>
      </c>
      <c r="V37" s="18" t="str">
        <f t="shared" si="4"/>
        <v>Mencapai kompetensi dengan baik dalam hal</v>
      </c>
      <c r="W37" s="23">
        <v>80</v>
      </c>
      <c r="X37" s="18" t="str">
        <f t="shared" si="5"/>
        <v>Mencapai kompetensi dengan baik dalam hal</v>
      </c>
      <c r="Y37" s="23">
        <v>80</v>
      </c>
      <c r="Z37" s="18" t="str">
        <f t="shared" si="6"/>
        <v>Mencapai kompetensi dengan baik dalam hal</v>
      </c>
      <c r="AA37" s="23">
        <v>82</v>
      </c>
      <c r="AB37" s="18" t="str">
        <f t="shared" si="17"/>
        <v>Mencapai kompetensi dengan baik dalam hal</v>
      </c>
      <c r="AC37" s="23">
        <v>84</v>
      </c>
      <c r="AD37" s="18" t="str">
        <f t="shared" si="7"/>
        <v>Mencapai kompetensi dengan baik dalam hal</v>
      </c>
      <c r="AE37" s="23">
        <v>83</v>
      </c>
      <c r="AF37" s="18" t="str">
        <f t="shared" si="8"/>
        <v>Mencapai kompetensi dengan baik dalam hal</v>
      </c>
      <c r="AG37" s="23">
        <v>86</v>
      </c>
      <c r="AH37" s="18" t="str">
        <f t="shared" si="9"/>
        <v>Mencapai kompetensi dengan baik dalam hal</v>
      </c>
      <c r="AI37" s="23">
        <v>83</v>
      </c>
      <c r="AJ37" s="18" t="str">
        <f t="shared" si="10"/>
        <v>Mencapai kompetensi dengan baik dalam hal</v>
      </c>
      <c r="AK37" s="23">
        <v>84</v>
      </c>
      <c r="AL37" s="18" t="str">
        <f t="shared" si="11"/>
        <v>Mencapai kompetensi dengan baik dalam hal</v>
      </c>
      <c r="AM37" s="23">
        <v>85</v>
      </c>
      <c r="AN37" s="18" t="str">
        <f t="shared" si="12"/>
        <v>Mencapai kompetensi dengan baik dalam hal</v>
      </c>
      <c r="AO37" s="62">
        <f t="shared" si="18"/>
        <v>84.5</v>
      </c>
      <c r="AP37" s="23">
        <v>84</v>
      </c>
      <c r="AQ37" s="18" t="str">
        <f t="shared" si="13"/>
        <v>Mencapai kompetensi dengan baik dalam hal</v>
      </c>
      <c r="AR37" s="23">
        <v>80</v>
      </c>
      <c r="AS37" s="18" t="str">
        <f t="shared" si="14"/>
        <v>Mencapai kompetensi dengan baik dalam hal</v>
      </c>
      <c r="AT37" s="113" t="s">
        <v>81</v>
      </c>
      <c r="AU37" s="113" t="s">
        <v>81</v>
      </c>
      <c r="AV37" s="113" t="s">
        <v>81</v>
      </c>
      <c r="AW37" s="23">
        <v>1</v>
      </c>
      <c r="AX37" s="23" t="s">
        <v>82</v>
      </c>
      <c r="AY37" s="18" t="s">
        <v>83</v>
      </c>
      <c r="AZ37" s="23" t="s">
        <v>84</v>
      </c>
      <c r="BA37" s="18" t="str">
        <f t="shared" si="20"/>
        <v>Baik</v>
      </c>
      <c r="BB37" s="23">
        <v>2</v>
      </c>
      <c r="BC37" s="18" t="s">
        <v>99</v>
      </c>
      <c r="BD37" s="18" t="s">
        <v>83</v>
      </c>
      <c r="BE37" s="23" t="s">
        <v>84</v>
      </c>
      <c r="BF37" s="18" t="str">
        <f t="shared" si="19"/>
        <v>Baik</v>
      </c>
      <c r="BG37" s="23"/>
      <c r="BH37" s="23"/>
      <c r="BI37" s="23"/>
      <c r="BJ37" s="23"/>
      <c r="BK37" s="18"/>
    </row>
    <row r="38" spans="1:63" ht="38.25" customHeight="1" x14ac:dyDescent="0.25">
      <c r="A38" s="23">
        <v>37</v>
      </c>
      <c r="B38" s="23">
        <v>2526014</v>
      </c>
      <c r="C38" s="23" t="s">
        <v>1454</v>
      </c>
      <c r="D38" s="135" t="s">
        <v>1455</v>
      </c>
      <c r="E38" s="23" t="s">
        <v>1456</v>
      </c>
      <c r="F38" s="135" t="s">
        <v>1381</v>
      </c>
      <c r="G38" s="137" t="s">
        <v>1457</v>
      </c>
      <c r="H38" s="24" t="s">
        <v>1458</v>
      </c>
      <c r="I38" s="60" t="s">
        <v>76</v>
      </c>
      <c r="J38" s="61" t="s">
        <v>77</v>
      </c>
      <c r="K38" s="61" t="s">
        <v>78</v>
      </c>
      <c r="L38" s="61" t="s">
        <v>79</v>
      </c>
      <c r="M38" s="23">
        <v>79</v>
      </c>
      <c r="N38" s="18" t="str">
        <f t="shared" si="0"/>
        <v>Mencapai kompetensi dengan baik dalam hal</v>
      </c>
      <c r="O38" s="23">
        <v>76</v>
      </c>
      <c r="P38" s="18" t="str">
        <f t="shared" si="1"/>
        <v>Mencapai kompetensi dengan baik dalam hal</v>
      </c>
      <c r="Q38" s="23">
        <v>79</v>
      </c>
      <c r="R38" s="18" t="str">
        <f t="shared" si="2"/>
        <v>Mencapai kompetensi dengan baik dalam hal</v>
      </c>
      <c r="S38" s="23">
        <v>80</v>
      </c>
      <c r="T38" s="18" t="str">
        <f t="shared" si="3"/>
        <v>Mencapai kompetensi dengan baik dalam hal</v>
      </c>
      <c r="U38" s="23">
        <v>79</v>
      </c>
      <c r="V38" s="18" t="str">
        <f t="shared" si="4"/>
        <v>Mencapai kompetensi dengan baik dalam hal</v>
      </c>
      <c r="W38" s="23">
        <v>78</v>
      </c>
      <c r="X38" s="18" t="str">
        <f t="shared" si="5"/>
        <v>Mencapai kompetensi dengan baik dalam hal</v>
      </c>
      <c r="Y38" s="23">
        <v>78</v>
      </c>
      <c r="Z38" s="18" t="str">
        <f t="shared" si="6"/>
        <v>Mencapai kompetensi dengan baik dalam hal</v>
      </c>
      <c r="AA38" s="23">
        <v>76</v>
      </c>
      <c r="AB38" s="18" t="str">
        <f t="shared" si="17"/>
        <v>Mencapai kompetensi dengan baik dalam hal</v>
      </c>
      <c r="AC38" s="23">
        <v>81</v>
      </c>
      <c r="AD38" s="18" t="str">
        <f t="shared" si="7"/>
        <v>Mencapai kompetensi dengan baik dalam hal</v>
      </c>
      <c r="AE38" s="23">
        <v>79</v>
      </c>
      <c r="AF38" s="18" t="str">
        <f t="shared" si="8"/>
        <v>Mencapai kompetensi dengan baik dalam hal</v>
      </c>
      <c r="AG38" s="23">
        <v>82</v>
      </c>
      <c r="AH38" s="18" t="str">
        <f t="shared" si="9"/>
        <v>Mencapai kompetensi dengan baik dalam hal</v>
      </c>
      <c r="AI38" s="23">
        <v>80</v>
      </c>
      <c r="AJ38" s="18" t="str">
        <f t="shared" si="10"/>
        <v>Mencapai kompetensi dengan baik dalam hal</v>
      </c>
      <c r="AK38" s="23">
        <v>83</v>
      </c>
      <c r="AL38" s="18" t="str">
        <f t="shared" si="11"/>
        <v>Mencapai kompetensi dengan baik dalam hal</v>
      </c>
      <c r="AM38" s="23">
        <v>82</v>
      </c>
      <c r="AN38" s="18" t="str">
        <f t="shared" si="12"/>
        <v>Mencapai kompetensi dengan baik dalam hal</v>
      </c>
      <c r="AO38" s="62">
        <f t="shared" si="18"/>
        <v>81.75</v>
      </c>
      <c r="AP38" s="23">
        <v>81</v>
      </c>
      <c r="AQ38" s="18" t="str">
        <f t="shared" si="13"/>
        <v>Mencapai kompetensi dengan baik dalam hal</v>
      </c>
      <c r="AR38" s="23">
        <v>77</v>
      </c>
      <c r="AS38" s="18" t="str">
        <f t="shared" si="14"/>
        <v>Mencapai kompetensi dengan baik dalam hal</v>
      </c>
      <c r="AT38" s="113">
        <v>2</v>
      </c>
      <c r="AU38" s="113" t="s">
        <v>81</v>
      </c>
      <c r="AV38" s="113" t="s">
        <v>81</v>
      </c>
      <c r="AW38" s="23">
        <v>1</v>
      </c>
      <c r="AX38" s="23" t="s">
        <v>82</v>
      </c>
      <c r="AY38" s="18" t="s">
        <v>83</v>
      </c>
      <c r="AZ38" s="23" t="s">
        <v>86</v>
      </c>
      <c r="BA38" s="18" t="str">
        <f t="shared" si="20"/>
        <v>Sangat baik</v>
      </c>
      <c r="BB38" s="23">
        <v>2</v>
      </c>
      <c r="BC38" s="18" t="s">
        <v>108</v>
      </c>
      <c r="BD38" s="18" t="s">
        <v>83</v>
      </c>
      <c r="BE38" s="23" t="s">
        <v>86</v>
      </c>
      <c r="BF38" s="18" t="str">
        <f t="shared" si="19"/>
        <v>Sangat baik</v>
      </c>
      <c r="BG38" s="23"/>
      <c r="BH38" s="23"/>
      <c r="BI38" s="23"/>
      <c r="BJ38" s="23"/>
      <c r="BK38" s="18"/>
    </row>
    <row r="39" spans="1:63" ht="38.25" customHeight="1" x14ac:dyDescent="0.25">
      <c r="A39" s="23">
        <v>38</v>
      </c>
      <c r="B39" s="23">
        <v>2526015</v>
      </c>
      <c r="C39" s="23" t="s">
        <v>1459</v>
      </c>
      <c r="D39" s="135" t="s">
        <v>1460</v>
      </c>
      <c r="E39" s="23" t="s">
        <v>1456</v>
      </c>
      <c r="F39" s="135" t="s">
        <v>1381</v>
      </c>
      <c r="G39" s="137" t="s">
        <v>1457</v>
      </c>
      <c r="H39" s="24" t="s">
        <v>1458</v>
      </c>
      <c r="I39" s="60" t="s">
        <v>76</v>
      </c>
      <c r="J39" s="61" t="s">
        <v>77</v>
      </c>
      <c r="K39" s="61" t="s">
        <v>78</v>
      </c>
      <c r="L39" s="61" t="s">
        <v>79</v>
      </c>
      <c r="M39" s="23">
        <v>79</v>
      </c>
      <c r="N39" s="18" t="str">
        <f t="shared" si="0"/>
        <v>Mencapai kompetensi dengan baik dalam hal</v>
      </c>
      <c r="O39" s="23">
        <v>77</v>
      </c>
      <c r="P39" s="18" t="str">
        <f t="shared" si="1"/>
        <v>Mencapai kompetensi dengan baik dalam hal</v>
      </c>
      <c r="Q39" s="23">
        <v>81</v>
      </c>
      <c r="R39" s="18" t="str">
        <f t="shared" si="2"/>
        <v>Mencapai kompetensi dengan baik dalam hal</v>
      </c>
      <c r="S39" s="23">
        <v>82</v>
      </c>
      <c r="T39" s="18" t="str">
        <f t="shared" si="3"/>
        <v>Mencapai kompetensi dengan baik dalam hal</v>
      </c>
      <c r="U39" s="23">
        <v>83</v>
      </c>
      <c r="V39" s="18" t="str">
        <f t="shared" si="4"/>
        <v>Mencapai kompetensi dengan baik dalam hal</v>
      </c>
      <c r="W39" s="23">
        <v>83</v>
      </c>
      <c r="X39" s="18" t="str">
        <f t="shared" si="5"/>
        <v>Mencapai kompetensi dengan baik dalam hal</v>
      </c>
      <c r="Y39" s="23">
        <v>79</v>
      </c>
      <c r="Z39" s="18" t="str">
        <f t="shared" si="6"/>
        <v>Mencapai kompetensi dengan baik dalam hal</v>
      </c>
      <c r="AA39" s="23">
        <v>79</v>
      </c>
      <c r="AB39" s="18" t="str">
        <f t="shared" si="17"/>
        <v>Mencapai kompetensi dengan baik dalam hal</v>
      </c>
      <c r="AC39" s="23">
        <v>81</v>
      </c>
      <c r="AD39" s="18" t="str">
        <f t="shared" si="7"/>
        <v>Mencapai kompetensi dengan baik dalam hal</v>
      </c>
      <c r="AE39" s="23">
        <v>84</v>
      </c>
      <c r="AF39" s="18" t="str">
        <f t="shared" si="8"/>
        <v>Mencapai kompetensi dengan baik dalam hal</v>
      </c>
      <c r="AG39" s="23">
        <v>78</v>
      </c>
      <c r="AH39" s="18" t="str">
        <f t="shared" si="9"/>
        <v>Mencapai kompetensi dengan baik dalam hal</v>
      </c>
      <c r="AI39" s="23">
        <v>85</v>
      </c>
      <c r="AJ39" s="18" t="str">
        <f t="shared" si="10"/>
        <v>Mencapai kompetensi dengan baik dalam hal</v>
      </c>
      <c r="AK39" s="23">
        <v>82</v>
      </c>
      <c r="AL39" s="18" t="str">
        <f t="shared" si="11"/>
        <v>Mencapai kompetensi dengan baik dalam hal</v>
      </c>
      <c r="AM39" s="23">
        <v>82</v>
      </c>
      <c r="AN39" s="18" t="str">
        <f t="shared" si="12"/>
        <v>Mencapai kompetensi dengan baik dalam hal</v>
      </c>
      <c r="AO39" s="62">
        <f t="shared" si="18"/>
        <v>81.75</v>
      </c>
      <c r="AP39" s="23">
        <v>81</v>
      </c>
      <c r="AQ39" s="18" t="str">
        <f t="shared" si="13"/>
        <v>Mencapai kompetensi dengan baik dalam hal</v>
      </c>
      <c r="AR39" s="23">
        <v>80</v>
      </c>
      <c r="AS39" s="18" t="str">
        <f t="shared" si="14"/>
        <v>Mencapai kompetensi dengan baik dalam hal</v>
      </c>
      <c r="AT39" s="113" t="s">
        <v>81</v>
      </c>
      <c r="AU39" s="113" t="s">
        <v>81</v>
      </c>
      <c r="AV39" s="113" t="s">
        <v>81</v>
      </c>
      <c r="AW39" s="23">
        <v>1</v>
      </c>
      <c r="AX39" s="23" t="s">
        <v>82</v>
      </c>
      <c r="AY39" s="18" t="s">
        <v>83</v>
      </c>
      <c r="AZ39" s="23" t="s">
        <v>86</v>
      </c>
      <c r="BA39" s="18" t="str">
        <f t="shared" si="20"/>
        <v>Sangat baik</v>
      </c>
      <c r="BB39" s="23">
        <v>2</v>
      </c>
      <c r="BC39" s="18" t="s">
        <v>108</v>
      </c>
      <c r="BD39" s="18" t="s">
        <v>83</v>
      </c>
      <c r="BE39" s="23" t="s">
        <v>86</v>
      </c>
      <c r="BF39" s="18" t="str">
        <f t="shared" si="19"/>
        <v>Sangat baik</v>
      </c>
      <c r="BG39" s="23"/>
      <c r="BH39" s="23"/>
      <c r="BI39" s="23"/>
      <c r="BJ39" s="23"/>
      <c r="BK39" s="18"/>
    </row>
    <row r="40" spans="1:63" ht="38.25" customHeight="1" x14ac:dyDescent="0.25">
      <c r="A40" s="23">
        <v>39</v>
      </c>
      <c r="B40" s="23">
        <v>2526016</v>
      </c>
      <c r="C40" s="23" t="s">
        <v>1461</v>
      </c>
      <c r="D40" s="135" t="s">
        <v>1462</v>
      </c>
      <c r="E40" s="23" t="s">
        <v>1456</v>
      </c>
      <c r="F40" s="135" t="s">
        <v>1381</v>
      </c>
      <c r="G40" s="137" t="s">
        <v>1457</v>
      </c>
      <c r="H40" s="24" t="s">
        <v>1458</v>
      </c>
      <c r="I40" s="60" t="s">
        <v>76</v>
      </c>
      <c r="J40" s="61" t="s">
        <v>77</v>
      </c>
      <c r="K40" s="61" t="s">
        <v>158</v>
      </c>
      <c r="L40" s="61" t="s">
        <v>159</v>
      </c>
      <c r="M40" s="23">
        <v>88</v>
      </c>
      <c r="N40" s="18" t="str">
        <f t="shared" si="0"/>
        <v>Mencapai kompetensi dengan baik dalam hal</v>
      </c>
      <c r="O40" s="23">
        <v>76</v>
      </c>
      <c r="P40" s="18" t="str">
        <f t="shared" si="1"/>
        <v>Mencapai kompetensi dengan baik dalam hal</v>
      </c>
      <c r="Q40" s="23">
        <v>81</v>
      </c>
      <c r="R40" s="18" t="str">
        <f t="shared" si="2"/>
        <v>Mencapai kompetensi dengan baik dalam hal</v>
      </c>
      <c r="S40" s="23">
        <v>80</v>
      </c>
      <c r="T40" s="18" t="str">
        <f t="shared" si="3"/>
        <v>Mencapai kompetensi dengan baik dalam hal</v>
      </c>
      <c r="U40" s="23">
        <v>87</v>
      </c>
      <c r="V40" s="18" t="str">
        <f t="shared" si="4"/>
        <v>Mencapai kompetensi dengan baik dalam hal</v>
      </c>
      <c r="W40" s="23">
        <v>78</v>
      </c>
      <c r="X40" s="18" t="str">
        <f t="shared" si="5"/>
        <v>Mencapai kompetensi dengan baik dalam hal</v>
      </c>
      <c r="Y40" s="23">
        <v>76</v>
      </c>
      <c r="Z40" s="18" t="str">
        <f t="shared" si="6"/>
        <v>Mencapai kompetensi dengan baik dalam hal</v>
      </c>
      <c r="AA40" s="23">
        <v>77</v>
      </c>
      <c r="AB40" s="18" t="str">
        <f t="shared" si="17"/>
        <v>Mencapai kompetensi dengan baik dalam hal</v>
      </c>
      <c r="AC40" s="23">
        <v>83</v>
      </c>
      <c r="AD40" s="18" t="str">
        <f t="shared" si="7"/>
        <v>Mencapai kompetensi dengan baik dalam hal</v>
      </c>
      <c r="AE40" s="23">
        <v>79</v>
      </c>
      <c r="AF40" s="18" t="str">
        <f t="shared" si="8"/>
        <v>Mencapai kompetensi dengan baik dalam hal</v>
      </c>
      <c r="AG40" s="23">
        <v>78</v>
      </c>
      <c r="AH40" s="18" t="str">
        <f t="shared" si="9"/>
        <v>Mencapai kompetensi dengan baik dalam hal</v>
      </c>
      <c r="AI40" s="23">
        <v>82</v>
      </c>
      <c r="AJ40" s="18" t="str">
        <f t="shared" si="10"/>
        <v>Mencapai kompetensi dengan baik dalam hal</v>
      </c>
      <c r="AK40" s="23">
        <v>86</v>
      </c>
      <c r="AL40" s="18" t="str">
        <f t="shared" si="11"/>
        <v>Mencapai kompetensi dengan baik dalam hal</v>
      </c>
      <c r="AM40" s="23">
        <v>85</v>
      </c>
      <c r="AN40" s="18" t="str">
        <f t="shared" si="12"/>
        <v>Mencapai kompetensi dengan baik dalam hal</v>
      </c>
      <c r="AO40" s="62">
        <f t="shared" si="18"/>
        <v>82.75</v>
      </c>
      <c r="AP40" s="23">
        <v>83</v>
      </c>
      <c r="AQ40" s="18" t="str">
        <f t="shared" si="13"/>
        <v>Mencapai kompetensi dengan baik dalam hal</v>
      </c>
      <c r="AR40" s="23">
        <v>78</v>
      </c>
      <c r="AS40" s="18" t="str">
        <f t="shared" si="14"/>
        <v>Mencapai kompetensi dengan baik dalam hal</v>
      </c>
      <c r="AT40" s="113">
        <v>2</v>
      </c>
      <c r="AU40" s="113" t="s">
        <v>81</v>
      </c>
      <c r="AV40" s="113" t="s">
        <v>81</v>
      </c>
      <c r="AW40" s="23">
        <v>1</v>
      </c>
      <c r="AX40" s="23" t="s">
        <v>82</v>
      </c>
      <c r="AY40" s="18" t="s">
        <v>83</v>
      </c>
      <c r="AZ40" s="23" t="s">
        <v>104</v>
      </c>
      <c r="BA40" s="18" t="str">
        <f t="shared" si="20"/>
        <v>Cukup</v>
      </c>
      <c r="BB40" s="23">
        <v>2</v>
      </c>
      <c r="BC40" s="18" t="s">
        <v>125</v>
      </c>
      <c r="BD40" s="18" t="s">
        <v>83</v>
      </c>
      <c r="BE40" s="23" t="s">
        <v>104</v>
      </c>
      <c r="BF40" s="18" t="str">
        <f t="shared" si="19"/>
        <v>Cukup</v>
      </c>
      <c r="BG40" s="23"/>
      <c r="BH40" s="23"/>
      <c r="BI40" s="23"/>
      <c r="BJ40" s="23"/>
      <c r="BK40" s="18"/>
    </row>
    <row r="41" spans="1:63" ht="38.25" customHeight="1" x14ac:dyDescent="0.25">
      <c r="A41" s="23">
        <v>40</v>
      </c>
      <c r="B41" s="23">
        <v>2526017</v>
      </c>
      <c r="C41" s="23" t="s">
        <v>1463</v>
      </c>
      <c r="D41" s="135" t="s">
        <v>1464</v>
      </c>
      <c r="E41" s="23" t="s">
        <v>1456</v>
      </c>
      <c r="F41" s="135" t="s">
        <v>1381</v>
      </c>
      <c r="G41" s="137" t="s">
        <v>1457</v>
      </c>
      <c r="H41" s="24" t="s">
        <v>1458</v>
      </c>
      <c r="I41" s="60" t="s">
        <v>76</v>
      </c>
      <c r="J41" s="61" t="s">
        <v>77</v>
      </c>
      <c r="K41" s="61" t="s">
        <v>78</v>
      </c>
      <c r="L41" s="61" t="s">
        <v>79</v>
      </c>
      <c r="M41" s="23">
        <v>78</v>
      </c>
      <c r="N41" s="18" t="str">
        <f t="shared" si="0"/>
        <v>Mencapai kompetensi dengan baik dalam hal</v>
      </c>
      <c r="O41" s="23">
        <v>76</v>
      </c>
      <c r="P41" s="18" t="str">
        <f t="shared" si="1"/>
        <v>Mencapai kompetensi dengan baik dalam hal</v>
      </c>
      <c r="Q41" s="23">
        <v>80</v>
      </c>
      <c r="R41" s="18" t="str">
        <f t="shared" si="2"/>
        <v>Mencapai kompetensi dengan baik dalam hal</v>
      </c>
      <c r="S41" s="23">
        <v>80</v>
      </c>
      <c r="T41" s="18" t="str">
        <f t="shared" si="3"/>
        <v>Mencapai kompetensi dengan baik dalam hal</v>
      </c>
      <c r="U41" s="23">
        <v>76</v>
      </c>
      <c r="V41" s="18" t="str">
        <f t="shared" si="4"/>
        <v>Mencapai kompetensi dengan baik dalam hal</v>
      </c>
      <c r="W41" s="23">
        <v>77</v>
      </c>
      <c r="X41" s="18" t="str">
        <f t="shared" si="5"/>
        <v>Mencapai kompetensi dengan baik dalam hal</v>
      </c>
      <c r="Y41" s="23">
        <v>77</v>
      </c>
      <c r="Z41" s="18" t="str">
        <f t="shared" si="6"/>
        <v>Mencapai kompetensi dengan baik dalam hal</v>
      </c>
      <c r="AA41" s="23">
        <v>77</v>
      </c>
      <c r="AB41" s="18" t="str">
        <f t="shared" si="17"/>
        <v>Mencapai kompetensi dengan baik dalam hal</v>
      </c>
      <c r="AC41" s="23">
        <v>81</v>
      </c>
      <c r="AD41" s="18" t="str">
        <f t="shared" si="7"/>
        <v>Mencapai kompetensi dengan baik dalam hal</v>
      </c>
      <c r="AE41" s="23">
        <v>80</v>
      </c>
      <c r="AF41" s="18" t="str">
        <f t="shared" si="8"/>
        <v>Mencapai kompetensi dengan baik dalam hal</v>
      </c>
      <c r="AG41" s="23">
        <v>78</v>
      </c>
      <c r="AH41" s="18" t="str">
        <f t="shared" si="9"/>
        <v>Mencapai kompetensi dengan baik dalam hal</v>
      </c>
      <c r="AI41" s="23">
        <v>78</v>
      </c>
      <c r="AJ41" s="18" t="str">
        <f t="shared" si="10"/>
        <v>Mencapai kompetensi dengan baik dalam hal</v>
      </c>
      <c r="AK41" s="23">
        <v>81</v>
      </c>
      <c r="AL41" s="18" t="str">
        <f t="shared" si="11"/>
        <v>Mencapai kompetensi dengan baik dalam hal</v>
      </c>
      <c r="AM41" s="23">
        <v>81</v>
      </c>
      <c r="AN41" s="18" t="str">
        <f t="shared" si="12"/>
        <v>Mencapai kompetensi dengan baik dalam hal</v>
      </c>
      <c r="AO41" s="62">
        <f t="shared" si="18"/>
        <v>79.5</v>
      </c>
      <c r="AP41" s="23">
        <v>81</v>
      </c>
      <c r="AQ41" s="18" t="str">
        <f t="shared" si="13"/>
        <v>Mencapai kompetensi dengan baik dalam hal</v>
      </c>
      <c r="AR41" s="23">
        <v>76</v>
      </c>
      <c r="AS41" s="18" t="str">
        <f t="shared" si="14"/>
        <v>Mencapai kompetensi dengan baik dalam hal</v>
      </c>
      <c r="AT41" s="113" t="s">
        <v>81</v>
      </c>
      <c r="AU41" s="113" t="s">
        <v>81</v>
      </c>
      <c r="AV41" s="113" t="s">
        <v>81</v>
      </c>
      <c r="AW41" s="23">
        <v>1</v>
      </c>
      <c r="AX41" s="23" t="s">
        <v>82</v>
      </c>
      <c r="AY41" s="18" t="s">
        <v>83</v>
      </c>
      <c r="AZ41" s="23" t="s">
        <v>84</v>
      </c>
      <c r="BA41" s="18" t="str">
        <f t="shared" si="20"/>
        <v>Baik</v>
      </c>
      <c r="BB41" s="23">
        <v>2</v>
      </c>
      <c r="BC41" s="18" t="s">
        <v>108</v>
      </c>
      <c r="BD41" s="18" t="s">
        <v>83</v>
      </c>
      <c r="BE41" s="23" t="s">
        <v>86</v>
      </c>
      <c r="BF41" s="18" t="str">
        <f t="shared" si="19"/>
        <v>Sangat baik</v>
      </c>
      <c r="BG41" s="23"/>
      <c r="BH41" s="23"/>
      <c r="BI41" s="23"/>
      <c r="BJ41" s="23"/>
      <c r="BK41" s="18"/>
    </row>
    <row r="42" spans="1:63" ht="38.25" customHeight="1" x14ac:dyDescent="0.25">
      <c r="A42" s="23">
        <v>41</v>
      </c>
      <c r="B42" s="23">
        <v>2526018</v>
      </c>
      <c r="C42" s="23" t="s">
        <v>1465</v>
      </c>
      <c r="D42" s="135" t="s">
        <v>1466</v>
      </c>
      <c r="E42" s="23" t="s">
        <v>1456</v>
      </c>
      <c r="F42" s="135" t="s">
        <v>1381</v>
      </c>
      <c r="G42" s="137" t="s">
        <v>1457</v>
      </c>
      <c r="H42" s="24" t="s">
        <v>1458</v>
      </c>
      <c r="I42" s="60" t="s">
        <v>76</v>
      </c>
      <c r="J42" s="61" t="s">
        <v>77</v>
      </c>
      <c r="K42" s="61" t="s">
        <v>78</v>
      </c>
      <c r="L42" s="61" t="s">
        <v>79</v>
      </c>
      <c r="M42" s="23">
        <v>79</v>
      </c>
      <c r="N42" s="18" t="str">
        <f t="shared" si="0"/>
        <v>Mencapai kompetensi dengan baik dalam hal</v>
      </c>
      <c r="O42" s="23">
        <v>76</v>
      </c>
      <c r="P42" s="18" t="str">
        <f t="shared" si="1"/>
        <v>Mencapai kompetensi dengan baik dalam hal</v>
      </c>
      <c r="Q42" s="23">
        <v>80</v>
      </c>
      <c r="R42" s="18" t="str">
        <f t="shared" si="2"/>
        <v>Mencapai kompetensi dengan baik dalam hal</v>
      </c>
      <c r="S42" s="23">
        <v>80</v>
      </c>
      <c r="T42" s="18" t="str">
        <f t="shared" si="3"/>
        <v>Mencapai kompetensi dengan baik dalam hal</v>
      </c>
      <c r="U42" s="23">
        <v>77</v>
      </c>
      <c r="V42" s="18" t="str">
        <f t="shared" si="4"/>
        <v>Mencapai kompetensi dengan baik dalam hal</v>
      </c>
      <c r="W42" s="23">
        <v>78</v>
      </c>
      <c r="X42" s="18" t="str">
        <f t="shared" si="5"/>
        <v>Mencapai kompetensi dengan baik dalam hal</v>
      </c>
      <c r="Y42" s="23">
        <v>78</v>
      </c>
      <c r="Z42" s="18" t="str">
        <f t="shared" si="6"/>
        <v>Mencapai kompetensi dengan baik dalam hal</v>
      </c>
      <c r="AA42" s="23">
        <v>78</v>
      </c>
      <c r="AB42" s="18" t="str">
        <f t="shared" si="17"/>
        <v>Mencapai kompetensi dengan baik dalam hal</v>
      </c>
      <c r="AC42" s="23">
        <v>81</v>
      </c>
      <c r="AD42" s="18" t="str">
        <f t="shared" si="7"/>
        <v>Mencapai kompetensi dengan baik dalam hal</v>
      </c>
      <c r="AE42" s="23">
        <v>83</v>
      </c>
      <c r="AF42" s="18" t="str">
        <f t="shared" si="8"/>
        <v>Mencapai kompetensi dengan baik dalam hal</v>
      </c>
      <c r="AG42" s="23">
        <v>78</v>
      </c>
      <c r="AH42" s="18" t="str">
        <f t="shared" si="9"/>
        <v>Mencapai kompetensi dengan baik dalam hal</v>
      </c>
      <c r="AI42" s="23">
        <v>78</v>
      </c>
      <c r="AJ42" s="18" t="str">
        <f t="shared" si="10"/>
        <v>Mencapai kompetensi dengan baik dalam hal</v>
      </c>
      <c r="AK42" s="23">
        <v>78</v>
      </c>
      <c r="AL42" s="18" t="str">
        <f t="shared" si="11"/>
        <v>Mencapai kompetensi dengan baik dalam hal</v>
      </c>
      <c r="AM42" s="23">
        <v>78</v>
      </c>
      <c r="AN42" s="18" t="str">
        <f t="shared" si="12"/>
        <v>Mencapai kompetensi dengan baik dalam hal</v>
      </c>
      <c r="AO42" s="62">
        <f t="shared" si="18"/>
        <v>78</v>
      </c>
      <c r="AP42" s="23">
        <v>81</v>
      </c>
      <c r="AQ42" s="18" t="str">
        <f t="shared" si="13"/>
        <v>Mencapai kompetensi dengan baik dalam hal</v>
      </c>
      <c r="AR42" s="23">
        <v>76</v>
      </c>
      <c r="AS42" s="18" t="str">
        <f t="shared" si="14"/>
        <v>Mencapai kompetensi dengan baik dalam hal</v>
      </c>
      <c r="AT42" s="113">
        <v>3</v>
      </c>
      <c r="AU42" s="113" t="s">
        <v>81</v>
      </c>
      <c r="AV42" s="113" t="s">
        <v>81</v>
      </c>
      <c r="AW42" s="23">
        <v>1</v>
      </c>
      <c r="AX42" s="23" t="s">
        <v>82</v>
      </c>
      <c r="AY42" s="18" t="s">
        <v>83</v>
      </c>
      <c r="AZ42" s="23" t="s">
        <v>84</v>
      </c>
      <c r="BA42" s="18" t="str">
        <f t="shared" si="20"/>
        <v>Baik</v>
      </c>
      <c r="BB42" s="23">
        <v>2</v>
      </c>
      <c r="BC42" s="18" t="s">
        <v>170</v>
      </c>
      <c r="BD42" s="18" t="s">
        <v>83</v>
      </c>
      <c r="BE42" s="23" t="s">
        <v>84</v>
      </c>
      <c r="BF42" s="18" t="str">
        <f t="shared" si="19"/>
        <v>Baik</v>
      </c>
      <c r="BG42" s="23"/>
      <c r="BH42" s="23"/>
      <c r="BI42" s="23"/>
      <c r="BJ42" s="23"/>
      <c r="BK42" s="18"/>
    </row>
    <row r="43" spans="1:63" ht="38.25" customHeight="1" x14ac:dyDescent="0.25">
      <c r="A43" s="23">
        <v>42</v>
      </c>
      <c r="B43" s="23">
        <v>2526019</v>
      </c>
      <c r="C43" s="23" t="s">
        <v>1467</v>
      </c>
      <c r="D43" s="135" t="s">
        <v>1468</v>
      </c>
      <c r="E43" s="23" t="s">
        <v>1456</v>
      </c>
      <c r="F43" s="135" t="s">
        <v>1381</v>
      </c>
      <c r="G43" s="137" t="s">
        <v>1457</v>
      </c>
      <c r="H43" s="24" t="s">
        <v>1458</v>
      </c>
      <c r="I43" s="60" t="s">
        <v>76</v>
      </c>
      <c r="J43" s="61" t="s">
        <v>77</v>
      </c>
      <c r="K43" s="61" t="s">
        <v>78</v>
      </c>
      <c r="L43" s="61" t="s">
        <v>79</v>
      </c>
      <c r="M43" s="23">
        <v>80</v>
      </c>
      <c r="N43" s="18" t="str">
        <f t="shared" si="0"/>
        <v>Mencapai kompetensi dengan baik dalam hal</v>
      </c>
      <c r="O43" s="23">
        <v>78</v>
      </c>
      <c r="P43" s="18" t="str">
        <f t="shared" si="1"/>
        <v>Mencapai kompetensi dengan baik dalam hal</v>
      </c>
      <c r="Q43" s="23">
        <v>82</v>
      </c>
      <c r="R43" s="18" t="str">
        <f t="shared" si="2"/>
        <v>Mencapai kompetensi dengan baik dalam hal</v>
      </c>
      <c r="S43" s="23">
        <v>84</v>
      </c>
      <c r="T43" s="18" t="str">
        <f t="shared" si="3"/>
        <v>Mencapai kompetensi dengan baik dalam hal</v>
      </c>
      <c r="U43" s="23">
        <v>83</v>
      </c>
      <c r="V43" s="18" t="str">
        <f t="shared" si="4"/>
        <v>Mencapai kompetensi dengan baik dalam hal</v>
      </c>
      <c r="W43" s="23">
        <v>85</v>
      </c>
      <c r="X43" s="18" t="str">
        <f t="shared" si="5"/>
        <v>Mencapai kompetensi dengan baik dalam hal</v>
      </c>
      <c r="Y43" s="23">
        <v>79</v>
      </c>
      <c r="Z43" s="18" t="str">
        <f t="shared" si="6"/>
        <v>Mencapai kompetensi dengan baik dalam hal</v>
      </c>
      <c r="AA43" s="23">
        <v>81</v>
      </c>
      <c r="AB43" s="18" t="str">
        <f t="shared" si="17"/>
        <v>Mencapai kompetensi dengan baik dalam hal</v>
      </c>
      <c r="AC43" s="23">
        <v>83</v>
      </c>
      <c r="AD43" s="18" t="str">
        <f t="shared" si="7"/>
        <v>Mencapai kompetensi dengan baik dalam hal</v>
      </c>
      <c r="AE43" s="23">
        <v>85</v>
      </c>
      <c r="AF43" s="18" t="str">
        <f t="shared" si="8"/>
        <v>Mencapai kompetensi dengan baik dalam hal</v>
      </c>
      <c r="AG43" s="23">
        <v>84</v>
      </c>
      <c r="AH43" s="18" t="str">
        <f t="shared" si="9"/>
        <v>Mencapai kompetensi dengan baik dalam hal</v>
      </c>
      <c r="AI43" s="23">
        <v>85</v>
      </c>
      <c r="AJ43" s="18" t="str">
        <f t="shared" si="10"/>
        <v>Mencapai kompetensi dengan baik dalam hal</v>
      </c>
      <c r="AK43" s="23">
        <v>86</v>
      </c>
      <c r="AL43" s="18" t="str">
        <f t="shared" si="11"/>
        <v>Mencapai kompetensi dengan baik dalam hal</v>
      </c>
      <c r="AM43" s="23">
        <v>85</v>
      </c>
      <c r="AN43" s="18" t="str">
        <f t="shared" si="12"/>
        <v>Mencapai kompetensi dengan baik dalam hal</v>
      </c>
      <c r="AO43" s="62">
        <f t="shared" si="18"/>
        <v>85</v>
      </c>
      <c r="AP43" s="23">
        <v>83</v>
      </c>
      <c r="AQ43" s="18" t="str">
        <f t="shared" si="13"/>
        <v>Mencapai kompetensi dengan baik dalam hal</v>
      </c>
      <c r="AR43" s="23">
        <v>80</v>
      </c>
      <c r="AS43" s="18" t="str">
        <f t="shared" si="14"/>
        <v>Mencapai kompetensi dengan baik dalam hal</v>
      </c>
      <c r="AT43" s="113" t="s">
        <v>81</v>
      </c>
      <c r="AU43" s="113" t="s">
        <v>81</v>
      </c>
      <c r="AV43" s="113" t="s">
        <v>81</v>
      </c>
      <c r="AW43" s="23">
        <v>1</v>
      </c>
      <c r="AX43" s="23" t="s">
        <v>82</v>
      </c>
      <c r="AY43" s="18" t="s">
        <v>83</v>
      </c>
      <c r="AZ43" s="23" t="s">
        <v>86</v>
      </c>
      <c r="BA43" s="18" t="str">
        <f t="shared" si="20"/>
        <v>Sangat baik</v>
      </c>
      <c r="BB43" s="23">
        <v>2</v>
      </c>
      <c r="BC43" s="18" t="s">
        <v>108</v>
      </c>
      <c r="BD43" s="18" t="s">
        <v>83</v>
      </c>
      <c r="BE43" s="23" t="s">
        <v>84</v>
      </c>
      <c r="BF43" s="18" t="str">
        <f t="shared" si="19"/>
        <v>Baik</v>
      </c>
      <c r="BG43" s="23"/>
      <c r="BH43" s="23"/>
      <c r="BI43" s="23"/>
      <c r="BJ43" s="23"/>
      <c r="BK43" s="18"/>
    </row>
    <row r="44" spans="1:63" ht="38.25" customHeight="1" x14ac:dyDescent="0.25">
      <c r="A44" s="23">
        <v>43</v>
      </c>
      <c r="B44" s="23">
        <v>2526020</v>
      </c>
      <c r="C44" s="23" t="s">
        <v>1469</v>
      </c>
      <c r="D44" s="135" t="s">
        <v>1470</v>
      </c>
      <c r="E44" s="23" t="s">
        <v>1456</v>
      </c>
      <c r="F44" s="135" t="s">
        <v>1381</v>
      </c>
      <c r="G44" s="137" t="s">
        <v>1457</v>
      </c>
      <c r="H44" s="24" t="s">
        <v>1458</v>
      </c>
      <c r="I44" s="60" t="s">
        <v>76</v>
      </c>
      <c r="J44" s="61" t="s">
        <v>77</v>
      </c>
      <c r="K44" s="61" t="s">
        <v>78</v>
      </c>
      <c r="L44" s="61" t="s">
        <v>79</v>
      </c>
      <c r="M44" s="23">
        <v>80</v>
      </c>
      <c r="N44" s="18" t="str">
        <f t="shared" si="0"/>
        <v>Mencapai kompetensi dengan baik dalam hal</v>
      </c>
      <c r="O44" s="23">
        <v>76</v>
      </c>
      <c r="P44" s="18" t="str">
        <f t="shared" si="1"/>
        <v>Mencapai kompetensi dengan baik dalam hal</v>
      </c>
      <c r="Q44" s="23">
        <v>80</v>
      </c>
      <c r="R44" s="18" t="str">
        <f t="shared" si="2"/>
        <v>Mencapai kompetensi dengan baik dalam hal</v>
      </c>
      <c r="S44" s="23">
        <v>81</v>
      </c>
      <c r="T44" s="18" t="str">
        <f t="shared" si="3"/>
        <v>Mencapai kompetensi dengan baik dalam hal</v>
      </c>
      <c r="U44" s="23">
        <v>76</v>
      </c>
      <c r="V44" s="18" t="str">
        <f t="shared" si="4"/>
        <v>Mencapai kompetensi dengan baik dalam hal</v>
      </c>
      <c r="W44" s="23">
        <v>77</v>
      </c>
      <c r="X44" s="18" t="str">
        <f t="shared" si="5"/>
        <v>Mencapai kompetensi dengan baik dalam hal</v>
      </c>
      <c r="Y44" s="23">
        <v>76</v>
      </c>
      <c r="Z44" s="18" t="str">
        <f t="shared" si="6"/>
        <v>Mencapai kompetensi dengan baik dalam hal</v>
      </c>
      <c r="AA44" s="23">
        <v>79</v>
      </c>
      <c r="AB44" s="18" t="str">
        <f t="shared" si="17"/>
        <v>Mencapai kompetensi dengan baik dalam hal</v>
      </c>
      <c r="AC44" s="23">
        <v>81</v>
      </c>
      <c r="AD44" s="18" t="str">
        <f t="shared" si="7"/>
        <v>Mencapai kompetensi dengan baik dalam hal</v>
      </c>
      <c r="AE44" s="23">
        <v>79</v>
      </c>
      <c r="AF44" s="18" t="str">
        <f t="shared" si="8"/>
        <v>Mencapai kompetensi dengan baik dalam hal</v>
      </c>
      <c r="AG44" s="23">
        <v>78</v>
      </c>
      <c r="AH44" s="18" t="str">
        <f t="shared" si="9"/>
        <v>Mencapai kompetensi dengan baik dalam hal</v>
      </c>
      <c r="AI44" s="23">
        <v>78</v>
      </c>
      <c r="AJ44" s="18" t="str">
        <f t="shared" si="10"/>
        <v>Mencapai kompetensi dengan baik dalam hal</v>
      </c>
      <c r="AK44" s="23">
        <v>82</v>
      </c>
      <c r="AL44" s="18" t="str">
        <f t="shared" si="11"/>
        <v>Mencapai kompetensi dengan baik dalam hal</v>
      </c>
      <c r="AM44" s="23">
        <v>84</v>
      </c>
      <c r="AN44" s="18" t="str">
        <f t="shared" si="12"/>
        <v>Mencapai kompetensi dengan baik dalam hal</v>
      </c>
      <c r="AO44" s="62">
        <f t="shared" si="18"/>
        <v>80.5</v>
      </c>
      <c r="AP44" s="23">
        <v>81</v>
      </c>
      <c r="AQ44" s="18" t="str">
        <f t="shared" si="13"/>
        <v>Mencapai kompetensi dengan baik dalam hal</v>
      </c>
      <c r="AR44" s="23">
        <v>76</v>
      </c>
      <c r="AS44" s="18" t="str">
        <f t="shared" si="14"/>
        <v>Mencapai kompetensi dengan baik dalam hal</v>
      </c>
      <c r="AT44" s="113">
        <v>2</v>
      </c>
      <c r="AU44" s="113" t="s">
        <v>81</v>
      </c>
      <c r="AV44" s="113" t="s">
        <v>81</v>
      </c>
      <c r="AW44" s="23">
        <v>1</v>
      </c>
      <c r="AX44" s="23" t="s">
        <v>82</v>
      </c>
      <c r="AY44" s="18" t="s">
        <v>83</v>
      </c>
      <c r="AZ44" s="23" t="s">
        <v>86</v>
      </c>
      <c r="BA44" s="18" t="str">
        <f t="shared" si="20"/>
        <v>Sangat baik</v>
      </c>
      <c r="BB44" s="23">
        <v>2</v>
      </c>
      <c r="BC44" s="18" t="s">
        <v>108</v>
      </c>
      <c r="BD44" s="18" t="s">
        <v>83</v>
      </c>
      <c r="BE44" s="23" t="s">
        <v>84</v>
      </c>
      <c r="BF44" s="18" t="str">
        <f t="shared" si="19"/>
        <v>Baik</v>
      </c>
      <c r="BG44" s="23"/>
      <c r="BH44" s="23"/>
      <c r="BI44" s="23"/>
      <c r="BJ44" s="23"/>
      <c r="BK44" s="18"/>
    </row>
    <row r="45" spans="1:63" ht="38.25" customHeight="1" x14ac:dyDescent="0.25">
      <c r="A45" s="23">
        <v>44</v>
      </c>
      <c r="B45" s="23">
        <v>2526021</v>
      </c>
      <c r="C45" s="23" t="s">
        <v>1471</v>
      </c>
      <c r="D45" s="135" t="s">
        <v>1472</v>
      </c>
      <c r="E45" s="23" t="s">
        <v>1456</v>
      </c>
      <c r="F45" s="135" t="s">
        <v>1381</v>
      </c>
      <c r="G45" s="137" t="s">
        <v>1457</v>
      </c>
      <c r="H45" s="24" t="s">
        <v>1458</v>
      </c>
      <c r="I45" s="60" t="s">
        <v>76</v>
      </c>
      <c r="J45" s="61" t="s">
        <v>77</v>
      </c>
      <c r="K45" s="61" t="s">
        <v>78</v>
      </c>
      <c r="L45" s="61" t="s">
        <v>79</v>
      </c>
      <c r="M45" s="23">
        <v>80</v>
      </c>
      <c r="N45" s="18" t="str">
        <f t="shared" si="0"/>
        <v>Mencapai kompetensi dengan baik dalam hal</v>
      </c>
      <c r="O45" s="23">
        <v>77</v>
      </c>
      <c r="P45" s="18" t="str">
        <f t="shared" si="1"/>
        <v>Mencapai kompetensi dengan baik dalam hal</v>
      </c>
      <c r="Q45" s="23">
        <v>80</v>
      </c>
      <c r="R45" s="18" t="str">
        <f t="shared" si="2"/>
        <v>Mencapai kompetensi dengan baik dalam hal</v>
      </c>
      <c r="S45" s="23">
        <v>81</v>
      </c>
      <c r="T45" s="18" t="str">
        <f t="shared" si="3"/>
        <v>Mencapai kompetensi dengan baik dalam hal</v>
      </c>
      <c r="U45" s="23">
        <v>77</v>
      </c>
      <c r="V45" s="18" t="str">
        <f t="shared" si="4"/>
        <v>Mencapai kompetensi dengan baik dalam hal</v>
      </c>
      <c r="W45" s="23">
        <v>82</v>
      </c>
      <c r="X45" s="18" t="str">
        <f t="shared" si="5"/>
        <v>Mencapai kompetensi dengan baik dalam hal</v>
      </c>
      <c r="Y45" s="23">
        <v>76</v>
      </c>
      <c r="Z45" s="18" t="str">
        <f t="shared" si="6"/>
        <v>Mencapai kompetensi dengan baik dalam hal</v>
      </c>
      <c r="AA45" s="23">
        <v>79</v>
      </c>
      <c r="AB45" s="18" t="str">
        <f t="shared" si="17"/>
        <v>Mencapai kompetensi dengan baik dalam hal</v>
      </c>
      <c r="AC45" s="23">
        <v>81</v>
      </c>
      <c r="AD45" s="18" t="str">
        <f t="shared" si="7"/>
        <v>Mencapai kompetensi dengan baik dalam hal</v>
      </c>
      <c r="AE45" s="23">
        <v>82</v>
      </c>
      <c r="AF45" s="18" t="str">
        <f t="shared" si="8"/>
        <v>Mencapai kompetensi dengan baik dalam hal</v>
      </c>
      <c r="AG45" s="23">
        <v>78</v>
      </c>
      <c r="AH45" s="18" t="str">
        <f t="shared" si="9"/>
        <v>Mencapai kompetensi dengan baik dalam hal</v>
      </c>
      <c r="AI45" s="23">
        <v>82</v>
      </c>
      <c r="AJ45" s="18" t="str">
        <f t="shared" si="10"/>
        <v>Mencapai kompetensi dengan baik dalam hal</v>
      </c>
      <c r="AK45" s="23">
        <v>81</v>
      </c>
      <c r="AL45" s="18" t="str">
        <f t="shared" si="11"/>
        <v>Mencapai kompetensi dengan baik dalam hal</v>
      </c>
      <c r="AM45" s="23">
        <v>79</v>
      </c>
      <c r="AN45" s="18" t="str">
        <f t="shared" si="12"/>
        <v>Mencapai kompetensi dengan baik dalam hal</v>
      </c>
      <c r="AO45" s="62">
        <f t="shared" si="18"/>
        <v>80</v>
      </c>
      <c r="AP45" s="23">
        <v>81</v>
      </c>
      <c r="AQ45" s="18" t="str">
        <f t="shared" si="13"/>
        <v>Mencapai kompetensi dengan baik dalam hal</v>
      </c>
      <c r="AR45" s="23">
        <v>79</v>
      </c>
      <c r="AS45" s="18" t="str">
        <f t="shared" si="14"/>
        <v>Mencapai kompetensi dengan baik dalam hal</v>
      </c>
      <c r="AT45" s="113" t="s">
        <v>81</v>
      </c>
      <c r="AU45" s="113" t="s">
        <v>81</v>
      </c>
      <c r="AV45" s="113" t="s">
        <v>81</v>
      </c>
      <c r="AW45" s="23">
        <v>1</v>
      </c>
      <c r="AX45" s="23" t="s">
        <v>82</v>
      </c>
      <c r="AY45" s="18" t="s">
        <v>83</v>
      </c>
      <c r="AZ45" s="23" t="s">
        <v>84</v>
      </c>
      <c r="BA45" s="18" t="str">
        <f t="shared" si="20"/>
        <v>Baik</v>
      </c>
      <c r="BB45" s="23">
        <v>2</v>
      </c>
      <c r="BC45" s="18" t="s">
        <v>429</v>
      </c>
      <c r="BD45" s="18" t="s">
        <v>83</v>
      </c>
      <c r="BE45" s="23" t="s">
        <v>86</v>
      </c>
      <c r="BF45" s="18" t="str">
        <f t="shared" si="19"/>
        <v>Sangat baik</v>
      </c>
      <c r="BG45" s="23"/>
      <c r="BH45" s="23"/>
      <c r="BI45" s="23"/>
      <c r="BJ45" s="23"/>
      <c r="BK45" s="18"/>
    </row>
    <row r="46" spans="1:63" ht="38.25" customHeight="1" x14ac:dyDescent="0.25">
      <c r="A46" s="23">
        <v>45</v>
      </c>
      <c r="B46" s="23">
        <v>2526022</v>
      </c>
      <c r="C46" s="23" t="s">
        <v>1473</v>
      </c>
      <c r="D46" s="135" t="s">
        <v>1474</v>
      </c>
      <c r="E46" s="23" t="s">
        <v>1456</v>
      </c>
      <c r="F46" s="135" t="s">
        <v>1381</v>
      </c>
      <c r="G46" s="137" t="s">
        <v>1457</v>
      </c>
      <c r="H46" s="24" t="s">
        <v>1458</v>
      </c>
      <c r="I46" s="60" t="s">
        <v>76</v>
      </c>
      <c r="J46" s="61" t="s">
        <v>77</v>
      </c>
      <c r="K46" s="61" t="s">
        <v>78</v>
      </c>
      <c r="L46" s="61" t="s">
        <v>79</v>
      </c>
      <c r="M46" s="23">
        <v>83</v>
      </c>
      <c r="N46" s="18" t="str">
        <f t="shared" si="0"/>
        <v>Mencapai kompetensi dengan baik dalam hal</v>
      </c>
      <c r="O46" s="23">
        <v>81</v>
      </c>
      <c r="P46" s="18" t="str">
        <f t="shared" si="1"/>
        <v>Mencapai kompetensi dengan baik dalam hal</v>
      </c>
      <c r="Q46" s="23">
        <v>82</v>
      </c>
      <c r="R46" s="18" t="str">
        <f t="shared" si="2"/>
        <v>Mencapai kompetensi dengan baik dalam hal</v>
      </c>
      <c r="S46" s="23">
        <v>82</v>
      </c>
      <c r="T46" s="18" t="str">
        <f t="shared" si="3"/>
        <v>Mencapai kompetensi dengan baik dalam hal</v>
      </c>
      <c r="U46" s="23">
        <v>76</v>
      </c>
      <c r="V46" s="18" t="str">
        <f t="shared" si="4"/>
        <v>Mencapai kompetensi dengan baik dalam hal</v>
      </c>
      <c r="W46" s="23">
        <v>81</v>
      </c>
      <c r="X46" s="18" t="str">
        <f t="shared" si="5"/>
        <v>Mencapai kompetensi dengan baik dalam hal</v>
      </c>
      <c r="Y46" s="23">
        <v>78</v>
      </c>
      <c r="Z46" s="18" t="str">
        <f t="shared" si="6"/>
        <v>Mencapai kompetensi dengan baik dalam hal</v>
      </c>
      <c r="AA46" s="23">
        <v>82</v>
      </c>
      <c r="AB46" s="18" t="str">
        <f t="shared" si="17"/>
        <v>Mencapai kompetensi dengan baik dalam hal</v>
      </c>
      <c r="AC46" s="23">
        <v>86</v>
      </c>
      <c r="AD46" s="18" t="str">
        <f t="shared" si="7"/>
        <v>Mencapai kompetensi dengan baik dalam hal</v>
      </c>
      <c r="AE46" s="23">
        <v>84</v>
      </c>
      <c r="AF46" s="18" t="str">
        <f t="shared" si="8"/>
        <v>Mencapai kompetensi dengan baik dalam hal</v>
      </c>
      <c r="AG46" s="23">
        <v>85</v>
      </c>
      <c r="AH46" s="18" t="str">
        <f t="shared" si="9"/>
        <v>Mencapai kompetensi dengan baik dalam hal</v>
      </c>
      <c r="AI46" s="23">
        <v>85</v>
      </c>
      <c r="AJ46" s="18" t="str">
        <f t="shared" si="10"/>
        <v>Mencapai kompetensi dengan baik dalam hal</v>
      </c>
      <c r="AK46" s="23">
        <v>85</v>
      </c>
      <c r="AL46" s="18" t="str">
        <f t="shared" si="11"/>
        <v>Mencapai kompetensi dengan baik dalam hal</v>
      </c>
      <c r="AM46" s="23">
        <v>85</v>
      </c>
      <c r="AN46" s="18" t="str">
        <f t="shared" si="12"/>
        <v>Mencapai kompetensi dengan baik dalam hal</v>
      </c>
      <c r="AO46" s="62">
        <f t="shared" si="18"/>
        <v>85</v>
      </c>
      <c r="AP46" s="23">
        <v>86</v>
      </c>
      <c r="AQ46" s="18" t="str">
        <f t="shared" si="13"/>
        <v>Mencapai kompetensi dengan baik dalam hal</v>
      </c>
      <c r="AR46" s="23">
        <v>80</v>
      </c>
      <c r="AS46" s="18" t="str">
        <f t="shared" si="14"/>
        <v>Mencapai kompetensi dengan baik dalam hal</v>
      </c>
      <c r="AT46" s="113" t="s">
        <v>81</v>
      </c>
      <c r="AU46" s="113" t="s">
        <v>81</v>
      </c>
      <c r="AV46" s="113" t="s">
        <v>81</v>
      </c>
      <c r="AW46" s="23">
        <v>1</v>
      </c>
      <c r="AX46" s="23" t="s">
        <v>82</v>
      </c>
      <c r="AY46" s="18" t="s">
        <v>83</v>
      </c>
      <c r="AZ46" s="23" t="s">
        <v>84</v>
      </c>
      <c r="BA46" s="18" t="str">
        <f t="shared" si="20"/>
        <v>Baik</v>
      </c>
      <c r="BB46" s="23">
        <v>2</v>
      </c>
      <c r="BC46" s="18" t="s">
        <v>108</v>
      </c>
      <c r="BD46" s="18" t="s">
        <v>83</v>
      </c>
      <c r="BE46" s="23" t="s">
        <v>86</v>
      </c>
      <c r="BF46" s="18" t="str">
        <f t="shared" si="19"/>
        <v>Sangat baik</v>
      </c>
      <c r="BG46" s="23"/>
      <c r="BH46" s="23"/>
      <c r="BI46" s="23"/>
      <c r="BJ46" s="23"/>
      <c r="BK46" s="18"/>
    </row>
    <row r="47" spans="1:63" ht="38.25" customHeight="1" x14ac:dyDescent="0.25">
      <c r="A47" s="23">
        <v>46</v>
      </c>
      <c r="B47" s="23">
        <v>2526023</v>
      </c>
      <c r="C47" s="23" t="s">
        <v>1475</v>
      </c>
      <c r="D47" s="135" t="s">
        <v>1476</v>
      </c>
      <c r="E47" s="23" t="s">
        <v>1456</v>
      </c>
      <c r="F47" s="135" t="s">
        <v>1381</v>
      </c>
      <c r="G47" s="137" t="s">
        <v>1457</v>
      </c>
      <c r="H47" s="24" t="s">
        <v>1458</v>
      </c>
      <c r="I47" s="60" t="s">
        <v>76</v>
      </c>
      <c r="J47" s="61" t="s">
        <v>77</v>
      </c>
      <c r="K47" s="61" t="s">
        <v>78</v>
      </c>
      <c r="L47" s="61" t="s">
        <v>79</v>
      </c>
      <c r="M47" s="23">
        <v>80</v>
      </c>
      <c r="N47" s="18" t="str">
        <f t="shared" si="0"/>
        <v>Mencapai kompetensi dengan baik dalam hal</v>
      </c>
      <c r="O47" s="23">
        <v>77</v>
      </c>
      <c r="P47" s="18" t="str">
        <f t="shared" si="1"/>
        <v>Mencapai kompetensi dengan baik dalam hal</v>
      </c>
      <c r="Q47" s="23">
        <v>79</v>
      </c>
      <c r="R47" s="18" t="str">
        <f t="shared" si="2"/>
        <v>Mencapai kompetensi dengan baik dalam hal</v>
      </c>
      <c r="S47" s="23">
        <v>82</v>
      </c>
      <c r="T47" s="18" t="str">
        <f t="shared" si="3"/>
        <v>Mencapai kompetensi dengan baik dalam hal</v>
      </c>
      <c r="U47" s="23">
        <v>76</v>
      </c>
      <c r="V47" s="18" t="str">
        <f t="shared" si="4"/>
        <v>Mencapai kompetensi dengan baik dalam hal</v>
      </c>
      <c r="W47" s="23">
        <v>80</v>
      </c>
      <c r="X47" s="18" t="str">
        <f t="shared" si="5"/>
        <v>Mencapai kompetensi dengan baik dalam hal</v>
      </c>
      <c r="Y47" s="23">
        <v>77</v>
      </c>
      <c r="Z47" s="18" t="str">
        <f t="shared" si="6"/>
        <v>Mencapai kompetensi dengan baik dalam hal</v>
      </c>
      <c r="AA47" s="23">
        <v>81</v>
      </c>
      <c r="AB47" s="18" t="str">
        <f t="shared" si="17"/>
        <v>Mencapai kompetensi dengan baik dalam hal</v>
      </c>
      <c r="AC47" s="23">
        <v>84</v>
      </c>
      <c r="AD47" s="18" t="str">
        <f t="shared" si="7"/>
        <v>Mencapai kompetensi dengan baik dalam hal</v>
      </c>
      <c r="AE47" s="23">
        <v>80</v>
      </c>
      <c r="AF47" s="18" t="str">
        <f t="shared" si="8"/>
        <v>Mencapai kompetensi dengan baik dalam hal</v>
      </c>
      <c r="AG47" s="23">
        <v>85</v>
      </c>
      <c r="AH47" s="18" t="str">
        <f t="shared" si="9"/>
        <v>Mencapai kompetensi dengan baik dalam hal</v>
      </c>
      <c r="AI47" s="23">
        <v>85</v>
      </c>
      <c r="AJ47" s="18" t="str">
        <f t="shared" si="10"/>
        <v>Mencapai kompetensi dengan baik dalam hal</v>
      </c>
      <c r="AK47" s="23">
        <v>85</v>
      </c>
      <c r="AL47" s="18" t="str">
        <f t="shared" si="11"/>
        <v>Mencapai kompetensi dengan baik dalam hal</v>
      </c>
      <c r="AM47" s="23">
        <v>85</v>
      </c>
      <c r="AN47" s="18" t="str">
        <f t="shared" si="12"/>
        <v>Mencapai kompetensi dengan baik dalam hal</v>
      </c>
      <c r="AO47" s="62">
        <f t="shared" si="18"/>
        <v>85</v>
      </c>
      <c r="AP47" s="23">
        <v>84</v>
      </c>
      <c r="AQ47" s="18" t="str">
        <f t="shared" si="13"/>
        <v>Mencapai kompetensi dengan baik dalam hal</v>
      </c>
      <c r="AR47" s="23">
        <v>78</v>
      </c>
      <c r="AS47" s="18" t="str">
        <f t="shared" si="14"/>
        <v>Mencapai kompetensi dengan baik dalam hal</v>
      </c>
      <c r="AT47" s="113">
        <v>1</v>
      </c>
      <c r="AU47" s="113" t="s">
        <v>81</v>
      </c>
      <c r="AV47" s="113" t="s">
        <v>81</v>
      </c>
      <c r="AW47" s="23">
        <v>1</v>
      </c>
      <c r="AX47" s="23" t="s">
        <v>82</v>
      </c>
      <c r="AY47" s="18" t="s">
        <v>83</v>
      </c>
      <c r="AZ47" s="23" t="s">
        <v>84</v>
      </c>
      <c r="BA47" s="18" t="str">
        <f t="shared" si="20"/>
        <v>Baik</v>
      </c>
      <c r="BB47" s="23">
        <v>2</v>
      </c>
      <c r="BC47" s="18" t="s">
        <v>125</v>
      </c>
      <c r="BD47" s="18" t="s">
        <v>83</v>
      </c>
      <c r="BE47" s="23" t="s">
        <v>84</v>
      </c>
      <c r="BF47" s="18" t="str">
        <f t="shared" si="19"/>
        <v>Baik</v>
      </c>
      <c r="BG47" s="23"/>
      <c r="BH47" s="23"/>
      <c r="BI47" s="23"/>
      <c r="BJ47" s="23"/>
      <c r="BK47" s="18"/>
    </row>
    <row r="48" spans="1:63" ht="38.25" customHeight="1" x14ac:dyDescent="0.25">
      <c r="A48" s="23">
        <v>47</v>
      </c>
      <c r="B48" s="23">
        <v>2526024</v>
      </c>
      <c r="C48" s="23" t="s">
        <v>1477</v>
      </c>
      <c r="D48" s="135" t="s">
        <v>1478</v>
      </c>
      <c r="E48" s="23" t="s">
        <v>1456</v>
      </c>
      <c r="F48" s="135" t="s">
        <v>1381</v>
      </c>
      <c r="G48" s="137" t="s">
        <v>1457</v>
      </c>
      <c r="H48" s="24" t="s">
        <v>1458</v>
      </c>
      <c r="I48" s="60" t="s">
        <v>76</v>
      </c>
      <c r="J48" s="61" t="s">
        <v>77</v>
      </c>
      <c r="K48" s="61" t="s">
        <v>78</v>
      </c>
      <c r="L48" s="61" t="s">
        <v>79</v>
      </c>
      <c r="M48" s="23">
        <v>79</v>
      </c>
      <c r="N48" s="18" t="str">
        <f t="shared" si="0"/>
        <v>Mencapai kompetensi dengan baik dalam hal</v>
      </c>
      <c r="O48" s="23">
        <v>77</v>
      </c>
      <c r="P48" s="18" t="str">
        <f t="shared" si="1"/>
        <v>Mencapai kompetensi dengan baik dalam hal</v>
      </c>
      <c r="Q48" s="23">
        <v>80</v>
      </c>
      <c r="R48" s="18" t="str">
        <f t="shared" si="2"/>
        <v>Mencapai kompetensi dengan baik dalam hal</v>
      </c>
      <c r="S48" s="23">
        <v>81</v>
      </c>
      <c r="T48" s="18" t="str">
        <f t="shared" si="3"/>
        <v>Mencapai kompetensi dengan baik dalam hal</v>
      </c>
      <c r="U48" s="23">
        <v>86</v>
      </c>
      <c r="V48" s="18" t="str">
        <f t="shared" si="4"/>
        <v>Mencapai kompetensi dengan baik dalam hal</v>
      </c>
      <c r="W48" s="23">
        <v>79</v>
      </c>
      <c r="X48" s="18" t="str">
        <f t="shared" si="5"/>
        <v>Mencapai kompetensi dengan baik dalam hal</v>
      </c>
      <c r="Y48" s="23">
        <v>77</v>
      </c>
      <c r="Z48" s="18" t="str">
        <f t="shared" si="6"/>
        <v>Mencapai kompetensi dengan baik dalam hal</v>
      </c>
      <c r="AA48" s="23">
        <v>80</v>
      </c>
      <c r="AB48" s="18" t="str">
        <f t="shared" si="17"/>
        <v>Mencapai kompetensi dengan baik dalam hal</v>
      </c>
      <c r="AC48" s="23">
        <v>84</v>
      </c>
      <c r="AD48" s="18" t="str">
        <f t="shared" si="7"/>
        <v>Mencapai kompetensi dengan baik dalam hal</v>
      </c>
      <c r="AE48" s="23">
        <v>82</v>
      </c>
      <c r="AF48" s="18" t="str">
        <f t="shared" si="8"/>
        <v>Mencapai kompetensi dengan baik dalam hal</v>
      </c>
      <c r="AG48" s="23">
        <v>80</v>
      </c>
      <c r="AH48" s="18" t="str">
        <f t="shared" si="9"/>
        <v>Mencapai kompetensi dengan baik dalam hal</v>
      </c>
      <c r="AI48" s="23">
        <v>78</v>
      </c>
      <c r="AJ48" s="18" t="str">
        <f t="shared" si="10"/>
        <v>Mencapai kompetensi dengan baik dalam hal</v>
      </c>
      <c r="AK48" s="23">
        <v>79</v>
      </c>
      <c r="AL48" s="18" t="str">
        <f t="shared" si="11"/>
        <v>Mencapai kompetensi dengan baik dalam hal</v>
      </c>
      <c r="AM48" s="23">
        <v>78</v>
      </c>
      <c r="AN48" s="18" t="str">
        <f t="shared" si="12"/>
        <v>Mencapai kompetensi dengan baik dalam hal</v>
      </c>
      <c r="AO48" s="62">
        <f t="shared" si="18"/>
        <v>78.75</v>
      </c>
      <c r="AP48" s="23">
        <v>84</v>
      </c>
      <c r="AQ48" s="18" t="str">
        <f t="shared" si="13"/>
        <v>Mencapai kompetensi dengan baik dalam hal</v>
      </c>
      <c r="AR48" s="23">
        <v>79</v>
      </c>
      <c r="AS48" s="18" t="str">
        <f t="shared" si="14"/>
        <v>Mencapai kompetensi dengan baik dalam hal</v>
      </c>
      <c r="AT48" s="113" t="s">
        <v>81</v>
      </c>
      <c r="AU48" s="113" t="s">
        <v>81</v>
      </c>
      <c r="AV48" s="113" t="s">
        <v>81</v>
      </c>
      <c r="AW48" s="23">
        <v>1</v>
      </c>
      <c r="AX48" s="23" t="s">
        <v>82</v>
      </c>
      <c r="AY48" s="18" t="s">
        <v>83</v>
      </c>
      <c r="AZ48" s="23" t="s">
        <v>86</v>
      </c>
      <c r="BA48" s="18" t="str">
        <f t="shared" si="20"/>
        <v>Sangat baik</v>
      </c>
      <c r="BB48" s="23">
        <v>2</v>
      </c>
      <c r="BC48" s="18" t="s">
        <v>170</v>
      </c>
      <c r="BD48" s="18" t="s">
        <v>83</v>
      </c>
      <c r="BE48" s="23" t="s">
        <v>84</v>
      </c>
      <c r="BF48" s="18" t="str">
        <f t="shared" si="19"/>
        <v>Baik</v>
      </c>
      <c r="BG48" s="23"/>
      <c r="BH48" s="23"/>
      <c r="BI48" s="23"/>
      <c r="BJ48" s="23"/>
      <c r="BK48" s="18"/>
    </row>
    <row r="49" spans="1:63" ht="38.25" customHeight="1" x14ac:dyDescent="0.25">
      <c r="A49" s="23">
        <v>48</v>
      </c>
      <c r="B49" s="23">
        <v>2526025</v>
      </c>
      <c r="C49" s="23" t="s">
        <v>1479</v>
      </c>
      <c r="D49" s="135" t="s">
        <v>1480</v>
      </c>
      <c r="E49" s="23" t="s">
        <v>1456</v>
      </c>
      <c r="F49" s="135" t="s">
        <v>1381</v>
      </c>
      <c r="G49" s="137" t="s">
        <v>1457</v>
      </c>
      <c r="H49" s="24" t="s">
        <v>1458</v>
      </c>
      <c r="I49" s="60" t="s">
        <v>76</v>
      </c>
      <c r="J49" s="61" t="s">
        <v>77</v>
      </c>
      <c r="K49" s="61" t="s">
        <v>78</v>
      </c>
      <c r="L49" s="61" t="s">
        <v>79</v>
      </c>
      <c r="M49" s="23">
        <v>79</v>
      </c>
      <c r="N49" s="18" t="str">
        <f t="shared" si="0"/>
        <v>Mencapai kompetensi dengan baik dalam hal</v>
      </c>
      <c r="O49" s="23">
        <v>77</v>
      </c>
      <c r="P49" s="18" t="str">
        <f t="shared" si="1"/>
        <v>Mencapai kompetensi dengan baik dalam hal</v>
      </c>
      <c r="Q49" s="23">
        <v>82</v>
      </c>
      <c r="R49" s="18" t="str">
        <f t="shared" si="2"/>
        <v>Mencapai kompetensi dengan baik dalam hal</v>
      </c>
      <c r="S49" s="23">
        <v>85</v>
      </c>
      <c r="T49" s="18" t="str">
        <f t="shared" si="3"/>
        <v>Mencapai kompetensi dengan baik dalam hal</v>
      </c>
      <c r="U49" s="23">
        <v>85</v>
      </c>
      <c r="V49" s="18" t="str">
        <f t="shared" si="4"/>
        <v>Mencapai kompetensi dengan baik dalam hal</v>
      </c>
      <c r="W49" s="23">
        <v>80</v>
      </c>
      <c r="X49" s="18" t="str">
        <f t="shared" si="5"/>
        <v>Mencapai kompetensi dengan baik dalam hal</v>
      </c>
      <c r="Y49" s="23">
        <v>77</v>
      </c>
      <c r="Z49" s="18" t="str">
        <f t="shared" si="6"/>
        <v>Mencapai kompetensi dengan baik dalam hal</v>
      </c>
      <c r="AA49" s="23">
        <v>79</v>
      </c>
      <c r="AB49" s="18" t="str">
        <f t="shared" si="17"/>
        <v>Mencapai kompetensi dengan baik dalam hal</v>
      </c>
      <c r="AC49" s="23">
        <v>81</v>
      </c>
      <c r="AD49" s="18" t="str">
        <f t="shared" si="7"/>
        <v>Mencapai kompetensi dengan baik dalam hal</v>
      </c>
      <c r="AE49" s="23">
        <v>83</v>
      </c>
      <c r="AF49" s="18" t="str">
        <f t="shared" si="8"/>
        <v>Mencapai kompetensi dengan baik dalam hal</v>
      </c>
      <c r="AG49" s="23">
        <v>78</v>
      </c>
      <c r="AH49" s="18" t="str">
        <f t="shared" si="9"/>
        <v>Mencapai kompetensi dengan baik dalam hal</v>
      </c>
      <c r="AI49" s="23">
        <v>80</v>
      </c>
      <c r="AJ49" s="18" t="str">
        <f t="shared" si="10"/>
        <v>Mencapai kompetensi dengan baik dalam hal</v>
      </c>
      <c r="AK49" s="23">
        <v>78</v>
      </c>
      <c r="AL49" s="18" t="str">
        <f t="shared" si="11"/>
        <v>Mencapai kompetensi dengan baik dalam hal</v>
      </c>
      <c r="AM49" s="23">
        <v>79</v>
      </c>
      <c r="AN49" s="18" t="str">
        <f t="shared" si="12"/>
        <v>Mencapai kompetensi dengan baik dalam hal</v>
      </c>
      <c r="AO49" s="62">
        <f t="shared" si="18"/>
        <v>78.75</v>
      </c>
      <c r="AP49" s="23">
        <v>81</v>
      </c>
      <c r="AQ49" s="18" t="str">
        <f t="shared" si="13"/>
        <v>Mencapai kompetensi dengan baik dalam hal</v>
      </c>
      <c r="AR49" s="23">
        <v>79</v>
      </c>
      <c r="AS49" s="18" t="str">
        <f t="shared" si="14"/>
        <v>Mencapai kompetensi dengan baik dalam hal</v>
      </c>
      <c r="AT49" s="113" t="s">
        <v>81</v>
      </c>
      <c r="AU49" s="113" t="s">
        <v>81</v>
      </c>
      <c r="AV49" s="113" t="s">
        <v>81</v>
      </c>
      <c r="AW49" s="23">
        <v>1</v>
      </c>
      <c r="AX49" s="23" t="s">
        <v>82</v>
      </c>
      <c r="AY49" s="18" t="s">
        <v>83</v>
      </c>
      <c r="AZ49" s="23" t="s">
        <v>86</v>
      </c>
      <c r="BA49" s="18" t="str">
        <f t="shared" si="20"/>
        <v>Sangat baik</v>
      </c>
      <c r="BB49" s="23">
        <v>2</v>
      </c>
      <c r="BC49" s="18" t="s">
        <v>212</v>
      </c>
      <c r="BD49" s="18" t="s">
        <v>83</v>
      </c>
      <c r="BE49" s="23" t="s">
        <v>86</v>
      </c>
      <c r="BF49" s="18" t="str">
        <f t="shared" si="19"/>
        <v>Sangat baik</v>
      </c>
      <c r="BG49" s="23"/>
      <c r="BH49" s="23"/>
      <c r="BI49" s="23"/>
      <c r="BJ49" s="23"/>
      <c r="BK49" s="18"/>
    </row>
    <row r="50" spans="1:63" ht="38.25" customHeight="1" x14ac:dyDescent="0.25">
      <c r="A50" s="23">
        <v>49</v>
      </c>
      <c r="B50" s="23">
        <v>2526026</v>
      </c>
      <c r="C50" s="23" t="s">
        <v>1481</v>
      </c>
      <c r="D50" s="135" t="s">
        <v>1482</v>
      </c>
      <c r="E50" s="23" t="s">
        <v>1456</v>
      </c>
      <c r="F50" s="135" t="s">
        <v>1381</v>
      </c>
      <c r="G50" s="137" t="s">
        <v>1457</v>
      </c>
      <c r="H50" s="24" t="s">
        <v>1458</v>
      </c>
      <c r="I50" s="60" t="s">
        <v>76</v>
      </c>
      <c r="J50" s="61" t="s">
        <v>77</v>
      </c>
      <c r="K50" s="61" t="s">
        <v>78</v>
      </c>
      <c r="L50" s="61" t="s">
        <v>79</v>
      </c>
      <c r="M50" s="23">
        <v>85</v>
      </c>
      <c r="N50" s="18" t="str">
        <f t="shared" si="0"/>
        <v>Mencapai kompetensi dengan baik dalam hal</v>
      </c>
      <c r="O50" s="23">
        <v>81</v>
      </c>
      <c r="P50" s="18" t="str">
        <f t="shared" si="1"/>
        <v>Mencapai kompetensi dengan baik dalam hal</v>
      </c>
      <c r="Q50" s="23">
        <v>83</v>
      </c>
      <c r="R50" s="18" t="str">
        <f t="shared" si="2"/>
        <v>Mencapai kompetensi dengan baik dalam hal</v>
      </c>
      <c r="S50" s="23">
        <v>82</v>
      </c>
      <c r="T50" s="18" t="str">
        <f t="shared" si="3"/>
        <v>Mencapai kompetensi dengan baik dalam hal</v>
      </c>
      <c r="U50" s="23">
        <v>83</v>
      </c>
      <c r="V50" s="18" t="str">
        <f t="shared" si="4"/>
        <v>Mencapai kompetensi dengan baik dalam hal</v>
      </c>
      <c r="W50" s="23">
        <v>80</v>
      </c>
      <c r="X50" s="18" t="str">
        <f t="shared" si="5"/>
        <v>Mencapai kompetensi dengan baik dalam hal</v>
      </c>
      <c r="Y50" s="23">
        <v>78</v>
      </c>
      <c r="Z50" s="18" t="str">
        <f t="shared" si="6"/>
        <v>Mencapai kompetensi dengan baik dalam hal</v>
      </c>
      <c r="AA50" s="23">
        <v>82</v>
      </c>
      <c r="AB50" s="18" t="str">
        <f t="shared" si="17"/>
        <v>Mencapai kompetensi dengan baik dalam hal</v>
      </c>
      <c r="AC50" s="23">
        <v>83</v>
      </c>
      <c r="AD50" s="18" t="str">
        <f t="shared" si="7"/>
        <v>Mencapai kompetensi dengan baik dalam hal</v>
      </c>
      <c r="AE50" s="23">
        <v>83</v>
      </c>
      <c r="AF50" s="18" t="str">
        <f t="shared" si="8"/>
        <v>Mencapai kompetensi dengan baik dalam hal</v>
      </c>
      <c r="AG50" s="23">
        <v>86</v>
      </c>
      <c r="AH50" s="18" t="str">
        <f t="shared" si="9"/>
        <v>Mencapai kompetensi dengan baik dalam hal</v>
      </c>
      <c r="AI50" s="23">
        <v>86</v>
      </c>
      <c r="AJ50" s="18" t="str">
        <f t="shared" si="10"/>
        <v>Mencapai kompetensi dengan baik dalam hal</v>
      </c>
      <c r="AK50" s="23">
        <v>85</v>
      </c>
      <c r="AL50" s="18" t="str">
        <f t="shared" si="11"/>
        <v>Mencapai kompetensi dengan baik dalam hal</v>
      </c>
      <c r="AM50" s="23">
        <v>84</v>
      </c>
      <c r="AN50" s="18" t="str">
        <f t="shared" si="12"/>
        <v>Mencapai kompetensi dengan baik dalam hal</v>
      </c>
      <c r="AO50" s="62">
        <f t="shared" si="18"/>
        <v>85.25</v>
      </c>
      <c r="AP50" s="23">
        <v>83</v>
      </c>
      <c r="AQ50" s="18" t="str">
        <f t="shared" si="13"/>
        <v>Mencapai kompetensi dengan baik dalam hal</v>
      </c>
      <c r="AR50" s="23">
        <v>80</v>
      </c>
      <c r="AS50" s="18" t="str">
        <f t="shared" si="14"/>
        <v>Mencapai kompetensi dengan baik dalam hal</v>
      </c>
      <c r="AT50" s="113">
        <v>4</v>
      </c>
      <c r="AU50" s="113" t="s">
        <v>81</v>
      </c>
      <c r="AV50" s="113" t="s">
        <v>81</v>
      </c>
      <c r="AW50" s="23">
        <v>1</v>
      </c>
      <c r="AX50" s="23" t="s">
        <v>82</v>
      </c>
      <c r="AY50" s="18" t="s">
        <v>83</v>
      </c>
      <c r="AZ50" s="23" t="s">
        <v>86</v>
      </c>
      <c r="BA50" s="18" t="str">
        <f t="shared" si="20"/>
        <v>Sangat baik</v>
      </c>
      <c r="BB50" s="23">
        <v>2</v>
      </c>
      <c r="BC50" s="18" t="s">
        <v>170</v>
      </c>
      <c r="BD50" s="18" t="s">
        <v>83</v>
      </c>
      <c r="BE50" s="23" t="s">
        <v>84</v>
      </c>
      <c r="BF50" s="18" t="str">
        <f t="shared" si="19"/>
        <v>Baik</v>
      </c>
      <c r="BG50" s="23"/>
      <c r="BH50" s="23"/>
      <c r="BI50" s="23"/>
      <c r="BJ50" s="23"/>
      <c r="BK50" s="18"/>
    </row>
    <row r="51" spans="1:63" ht="38.25" customHeight="1" x14ac:dyDescent="0.25">
      <c r="A51" s="23">
        <v>50</v>
      </c>
      <c r="B51" s="23">
        <v>2526027</v>
      </c>
      <c r="C51" s="23" t="s">
        <v>1483</v>
      </c>
      <c r="D51" s="135" t="s">
        <v>1484</v>
      </c>
      <c r="E51" s="23" t="s">
        <v>1456</v>
      </c>
      <c r="F51" s="135" t="s">
        <v>1381</v>
      </c>
      <c r="G51" s="137" t="s">
        <v>1457</v>
      </c>
      <c r="H51" s="24" t="s">
        <v>1458</v>
      </c>
      <c r="I51" s="60" t="s">
        <v>76</v>
      </c>
      <c r="J51" s="61" t="s">
        <v>77</v>
      </c>
      <c r="K51" s="61" t="s">
        <v>78</v>
      </c>
      <c r="L51" s="61" t="s">
        <v>79</v>
      </c>
      <c r="M51" s="23">
        <v>80</v>
      </c>
      <c r="N51" s="18" t="str">
        <f t="shared" si="0"/>
        <v>Mencapai kompetensi dengan baik dalam hal</v>
      </c>
      <c r="O51" s="23">
        <v>79</v>
      </c>
      <c r="P51" s="18" t="str">
        <f t="shared" si="1"/>
        <v>Mencapai kompetensi dengan baik dalam hal</v>
      </c>
      <c r="Q51" s="23">
        <v>80</v>
      </c>
      <c r="R51" s="18" t="str">
        <f t="shared" si="2"/>
        <v>Mencapai kompetensi dengan baik dalam hal</v>
      </c>
      <c r="S51" s="23">
        <v>81</v>
      </c>
      <c r="T51" s="18" t="str">
        <f t="shared" si="3"/>
        <v>Mencapai kompetensi dengan baik dalam hal</v>
      </c>
      <c r="U51" s="23">
        <v>78</v>
      </c>
      <c r="V51" s="18" t="str">
        <f t="shared" si="4"/>
        <v>Mencapai kompetensi dengan baik dalam hal</v>
      </c>
      <c r="W51" s="23">
        <v>79</v>
      </c>
      <c r="X51" s="18" t="str">
        <f t="shared" si="5"/>
        <v>Mencapai kompetensi dengan baik dalam hal</v>
      </c>
      <c r="Y51" s="23">
        <v>78</v>
      </c>
      <c r="Z51" s="18" t="str">
        <f t="shared" si="6"/>
        <v>Mencapai kompetensi dengan baik dalam hal</v>
      </c>
      <c r="AA51" s="23">
        <v>77</v>
      </c>
      <c r="AB51" s="18" t="str">
        <f t="shared" si="17"/>
        <v>Mencapai kompetensi dengan baik dalam hal</v>
      </c>
      <c r="AC51" s="23">
        <v>81</v>
      </c>
      <c r="AD51" s="18" t="str">
        <f t="shared" si="7"/>
        <v>Mencapai kompetensi dengan baik dalam hal</v>
      </c>
      <c r="AE51" s="23">
        <v>81</v>
      </c>
      <c r="AF51" s="18" t="str">
        <f t="shared" si="8"/>
        <v>Mencapai kompetensi dengan baik dalam hal</v>
      </c>
      <c r="AG51" s="23">
        <v>78</v>
      </c>
      <c r="AH51" s="18" t="str">
        <f t="shared" si="9"/>
        <v>Mencapai kompetensi dengan baik dalam hal</v>
      </c>
      <c r="AI51" s="23">
        <v>78</v>
      </c>
      <c r="AJ51" s="18" t="str">
        <f t="shared" si="10"/>
        <v>Mencapai kompetensi dengan baik dalam hal</v>
      </c>
      <c r="AK51" s="23">
        <v>84</v>
      </c>
      <c r="AL51" s="18" t="str">
        <f t="shared" si="11"/>
        <v>Mencapai kompetensi dengan baik dalam hal</v>
      </c>
      <c r="AM51" s="23">
        <v>85</v>
      </c>
      <c r="AN51" s="18" t="str">
        <f t="shared" si="12"/>
        <v>Mencapai kompetensi dengan baik dalam hal</v>
      </c>
      <c r="AO51" s="62">
        <f t="shared" si="18"/>
        <v>81.25</v>
      </c>
      <c r="AP51" s="23">
        <v>81</v>
      </c>
      <c r="AQ51" s="18" t="str">
        <f t="shared" si="13"/>
        <v>Mencapai kompetensi dengan baik dalam hal</v>
      </c>
      <c r="AR51" s="23">
        <v>78</v>
      </c>
      <c r="AS51" s="18" t="str">
        <f t="shared" si="14"/>
        <v>Mencapai kompetensi dengan baik dalam hal</v>
      </c>
      <c r="AT51" s="113">
        <v>2</v>
      </c>
      <c r="AU51" s="113" t="s">
        <v>81</v>
      </c>
      <c r="AV51" s="113" t="s">
        <v>81</v>
      </c>
      <c r="AW51" s="23">
        <v>1</v>
      </c>
      <c r="AX51" s="23" t="s">
        <v>82</v>
      </c>
      <c r="AY51" s="18" t="s">
        <v>83</v>
      </c>
      <c r="AZ51" s="23" t="s">
        <v>84</v>
      </c>
      <c r="BA51" s="18" t="str">
        <f t="shared" si="20"/>
        <v>Baik</v>
      </c>
      <c r="BB51" s="23">
        <v>2</v>
      </c>
      <c r="BC51" s="18" t="s">
        <v>99</v>
      </c>
      <c r="BD51" s="18" t="s">
        <v>83</v>
      </c>
      <c r="BE51" s="23" t="s">
        <v>84</v>
      </c>
      <c r="BF51" s="18" t="str">
        <f t="shared" si="19"/>
        <v>Baik</v>
      </c>
      <c r="BG51" s="23"/>
      <c r="BH51" s="23"/>
      <c r="BI51" s="23"/>
      <c r="BJ51" s="23"/>
      <c r="BK51" s="18"/>
    </row>
    <row r="52" spans="1:63" ht="38.25" customHeight="1" x14ac:dyDescent="0.25">
      <c r="A52" s="23">
        <v>51</v>
      </c>
      <c r="B52" s="23">
        <v>2526028</v>
      </c>
      <c r="C52" s="23" t="s">
        <v>1485</v>
      </c>
      <c r="D52" s="135" t="s">
        <v>1486</v>
      </c>
      <c r="E52" s="23" t="s">
        <v>1456</v>
      </c>
      <c r="F52" s="135" t="s">
        <v>1381</v>
      </c>
      <c r="G52" s="137" t="s">
        <v>1457</v>
      </c>
      <c r="H52" s="24" t="s">
        <v>1458</v>
      </c>
      <c r="I52" s="60" t="s">
        <v>76</v>
      </c>
      <c r="J52" s="61" t="s">
        <v>77</v>
      </c>
      <c r="K52" s="61" t="s">
        <v>78</v>
      </c>
      <c r="L52" s="61" t="s">
        <v>79</v>
      </c>
      <c r="M52" s="23">
        <v>80</v>
      </c>
      <c r="N52" s="18" t="str">
        <f t="shared" si="0"/>
        <v>Mencapai kompetensi dengan baik dalam hal</v>
      </c>
      <c r="O52" s="23">
        <v>76</v>
      </c>
      <c r="P52" s="18" t="str">
        <f t="shared" si="1"/>
        <v>Mencapai kompetensi dengan baik dalam hal</v>
      </c>
      <c r="Q52" s="23">
        <v>80</v>
      </c>
      <c r="R52" s="18" t="str">
        <f t="shared" si="2"/>
        <v>Mencapai kompetensi dengan baik dalam hal</v>
      </c>
      <c r="S52" s="23">
        <v>82</v>
      </c>
      <c r="T52" s="18" t="str">
        <f t="shared" si="3"/>
        <v>Mencapai kompetensi dengan baik dalam hal</v>
      </c>
      <c r="U52" s="23">
        <v>86</v>
      </c>
      <c r="V52" s="18" t="str">
        <f t="shared" si="4"/>
        <v>Mencapai kompetensi dengan baik dalam hal</v>
      </c>
      <c r="W52" s="23">
        <v>78</v>
      </c>
      <c r="X52" s="18" t="str">
        <f t="shared" si="5"/>
        <v>Mencapai kompetensi dengan baik dalam hal</v>
      </c>
      <c r="Y52" s="23">
        <v>77</v>
      </c>
      <c r="Z52" s="18" t="str">
        <f t="shared" si="6"/>
        <v>Mencapai kompetensi dengan baik dalam hal</v>
      </c>
      <c r="AA52" s="23">
        <v>78</v>
      </c>
      <c r="AB52" s="18" t="str">
        <f t="shared" si="17"/>
        <v>Mencapai kompetensi dengan baik dalam hal</v>
      </c>
      <c r="AC52" s="23">
        <v>83</v>
      </c>
      <c r="AD52" s="18" t="str">
        <f t="shared" si="7"/>
        <v>Mencapai kompetensi dengan baik dalam hal</v>
      </c>
      <c r="AE52" s="23">
        <v>79</v>
      </c>
      <c r="AF52" s="18" t="str">
        <f t="shared" si="8"/>
        <v>Mencapai kompetensi dengan baik dalam hal</v>
      </c>
      <c r="AG52" s="23">
        <v>78</v>
      </c>
      <c r="AH52" s="18" t="str">
        <f t="shared" si="9"/>
        <v>Mencapai kompetensi dengan baik dalam hal</v>
      </c>
      <c r="AI52" s="23">
        <v>75</v>
      </c>
      <c r="AJ52" s="18" t="str">
        <f t="shared" si="10"/>
        <v>Perlu peningkatan dalam hal</v>
      </c>
      <c r="AK52" s="23">
        <v>78</v>
      </c>
      <c r="AL52" s="18" t="str">
        <f t="shared" si="11"/>
        <v>Mencapai kompetensi dengan baik dalam hal</v>
      </c>
      <c r="AM52" s="23">
        <v>70</v>
      </c>
      <c r="AN52" s="18" t="str">
        <f t="shared" si="12"/>
        <v>Perlu peningkatan dalam hal</v>
      </c>
      <c r="AO52" s="62">
        <f t="shared" si="18"/>
        <v>75.25</v>
      </c>
      <c r="AP52" s="23">
        <v>83</v>
      </c>
      <c r="AQ52" s="18" t="str">
        <f t="shared" si="13"/>
        <v>Mencapai kompetensi dengan baik dalam hal</v>
      </c>
      <c r="AR52" s="23">
        <v>77</v>
      </c>
      <c r="AS52" s="18" t="str">
        <f t="shared" si="14"/>
        <v>Mencapai kompetensi dengan baik dalam hal</v>
      </c>
      <c r="AT52" s="113">
        <v>1</v>
      </c>
      <c r="AU52" s="113" t="s">
        <v>81</v>
      </c>
      <c r="AV52" s="113" t="s">
        <v>81</v>
      </c>
      <c r="AW52" s="23">
        <v>1</v>
      </c>
      <c r="AX52" s="23" t="s">
        <v>82</v>
      </c>
      <c r="AY52" s="18" t="s">
        <v>83</v>
      </c>
      <c r="AZ52" s="23" t="s">
        <v>84</v>
      </c>
      <c r="BA52" s="18" t="str">
        <f t="shared" si="20"/>
        <v>Baik</v>
      </c>
      <c r="BB52" s="23">
        <v>2</v>
      </c>
      <c r="BC52" s="18" t="s">
        <v>179</v>
      </c>
      <c r="BD52" s="18" t="s">
        <v>83</v>
      </c>
      <c r="BE52" s="23" t="s">
        <v>86</v>
      </c>
      <c r="BF52" s="18" t="str">
        <f t="shared" si="19"/>
        <v>Sangat baik</v>
      </c>
      <c r="BG52" s="23"/>
      <c r="BH52" s="23"/>
      <c r="BI52" s="23"/>
      <c r="BJ52" s="23"/>
      <c r="BK52" s="18"/>
    </row>
    <row r="53" spans="1:63" ht="38.25" customHeight="1" x14ac:dyDescent="0.25">
      <c r="A53" s="23">
        <v>52</v>
      </c>
      <c r="B53" s="23">
        <v>2526029</v>
      </c>
      <c r="C53" s="23" t="s">
        <v>1487</v>
      </c>
      <c r="D53" s="135" t="s">
        <v>1488</v>
      </c>
      <c r="E53" s="23" t="s">
        <v>1456</v>
      </c>
      <c r="F53" s="135" t="s">
        <v>1381</v>
      </c>
      <c r="G53" s="137" t="s">
        <v>1457</v>
      </c>
      <c r="H53" s="24" t="s">
        <v>1458</v>
      </c>
      <c r="I53" s="60" t="s">
        <v>76</v>
      </c>
      <c r="J53" s="61" t="s">
        <v>77</v>
      </c>
      <c r="K53" s="61" t="s">
        <v>78</v>
      </c>
      <c r="L53" s="61" t="s">
        <v>79</v>
      </c>
      <c r="M53" s="23">
        <v>80</v>
      </c>
      <c r="N53" s="18" t="str">
        <f t="shared" si="0"/>
        <v>Mencapai kompetensi dengan baik dalam hal</v>
      </c>
      <c r="O53" s="23">
        <v>76</v>
      </c>
      <c r="P53" s="18" t="str">
        <f t="shared" si="1"/>
        <v>Mencapai kompetensi dengan baik dalam hal</v>
      </c>
      <c r="Q53" s="23">
        <v>82</v>
      </c>
      <c r="R53" s="18" t="str">
        <f t="shared" si="2"/>
        <v>Mencapai kompetensi dengan baik dalam hal</v>
      </c>
      <c r="S53" s="23">
        <v>80</v>
      </c>
      <c r="T53" s="18" t="str">
        <f t="shared" si="3"/>
        <v>Mencapai kompetensi dengan baik dalam hal</v>
      </c>
      <c r="U53" s="23">
        <v>76</v>
      </c>
      <c r="V53" s="18" t="str">
        <f t="shared" si="4"/>
        <v>Mencapai kompetensi dengan baik dalam hal</v>
      </c>
      <c r="W53" s="23">
        <v>77</v>
      </c>
      <c r="X53" s="18" t="str">
        <f t="shared" si="5"/>
        <v>Mencapai kompetensi dengan baik dalam hal</v>
      </c>
      <c r="Y53" s="23">
        <v>77</v>
      </c>
      <c r="Z53" s="18" t="str">
        <f t="shared" si="6"/>
        <v>Mencapai kompetensi dengan baik dalam hal</v>
      </c>
      <c r="AA53" s="23">
        <v>81</v>
      </c>
      <c r="AB53" s="18" t="str">
        <f t="shared" si="17"/>
        <v>Mencapai kompetensi dengan baik dalam hal</v>
      </c>
      <c r="AC53" s="23">
        <v>81</v>
      </c>
      <c r="AD53" s="18" t="str">
        <f t="shared" si="7"/>
        <v>Mencapai kompetensi dengan baik dalam hal</v>
      </c>
      <c r="AE53" s="23">
        <v>79</v>
      </c>
      <c r="AF53" s="18" t="str">
        <f t="shared" si="8"/>
        <v>Mencapai kompetensi dengan baik dalam hal</v>
      </c>
      <c r="AG53" s="23">
        <v>80</v>
      </c>
      <c r="AH53" s="18" t="str">
        <f t="shared" si="9"/>
        <v>Mencapai kompetensi dengan baik dalam hal</v>
      </c>
      <c r="AI53" s="23">
        <v>82</v>
      </c>
      <c r="AJ53" s="18" t="str">
        <f t="shared" si="10"/>
        <v>Mencapai kompetensi dengan baik dalam hal</v>
      </c>
      <c r="AK53" s="23">
        <v>82</v>
      </c>
      <c r="AL53" s="18" t="str">
        <f t="shared" si="11"/>
        <v>Mencapai kompetensi dengan baik dalam hal</v>
      </c>
      <c r="AM53" s="23">
        <v>84</v>
      </c>
      <c r="AN53" s="18" t="str">
        <f t="shared" si="12"/>
        <v>Mencapai kompetensi dengan baik dalam hal</v>
      </c>
      <c r="AO53" s="62">
        <f t="shared" si="18"/>
        <v>82</v>
      </c>
      <c r="AP53" s="23">
        <v>81</v>
      </c>
      <c r="AQ53" s="18" t="str">
        <f t="shared" si="13"/>
        <v>Mencapai kompetensi dengan baik dalam hal</v>
      </c>
      <c r="AR53" s="23">
        <v>76</v>
      </c>
      <c r="AS53" s="18" t="str">
        <f t="shared" si="14"/>
        <v>Mencapai kompetensi dengan baik dalam hal</v>
      </c>
      <c r="AT53" s="113">
        <v>1</v>
      </c>
      <c r="AU53" s="113" t="s">
        <v>81</v>
      </c>
      <c r="AV53" s="113" t="s">
        <v>81</v>
      </c>
      <c r="AW53" s="23">
        <v>1</v>
      </c>
      <c r="AX53" s="23" t="s">
        <v>82</v>
      </c>
      <c r="AY53" s="18" t="s">
        <v>83</v>
      </c>
      <c r="AZ53" s="23" t="s">
        <v>84</v>
      </c>
      <c r="BA53" s="18" t="str">
        <f t="shared" si="20"/>
        <v>Baik</v>
      </c>
      <c r="BB53" s="23">
        <v>2</v>
      </c>
      <c r="BC53" s="18" t="s">
        <v>162</v>
      </c>
      <c r="BD53" s="18" t="s">
        <v>83</v>
      </c>
      <c r="BE53" s="23" t="s">
        <v>86</v>
      </c>
      <c r="BF53" s="18" t="str">
        <f t="shared" si="19"/>
        <v>Sangat baik</v>
      </c>
      <c r="BG53" s="23"/>
      <c r="BH53" s="23"/>
      <c r="BI53" s="23"/>
      <c r="BJ53" s="23"/>
      <c r="BK53" s="18"/>
    </row>
    <row r="54" spans="1:63" ht="38.25" customHeight="1" x14ac:dyDescent="0.25">
      <c r="A54" s="23">
        <v>53</v>
      </c>
      <c r="B54" s="23">
        <v>2526030</v>
      </c>
      <c r="C54" s="23" t="s">
        <v>1489</v>
      </c>
      <c r="D54" s="135" t="s">
        <v>1490</v>
      </c>
      <c r="E54" s="23" t="s">
        <v>1456</v>
      </c>
      <c r="F54" s="135" t="s">
        <v>1381</v>
      </c>
      <c r="G54" s="137" t="s">
        <v>1457</v>
      </c>
      <c r="H54" s="24" t="s">
        <v>1458</v>
      </c>
      <c r="I54" s="60" t="s">
        <v>76</v>
      </c>
      <c r="J54" s="61" t="s">
        <v>77</v>
      </c>
      <c r="K54" s="61" t="s">
        <v>78</v>
      </c>
      <c r="L54" s="61" t="s">
        <v>79</v>
      </c>
      <c r="M54" s="23">
        <v>81</v>
      </c>
      <c r="N54" s="18" t="str">
        <f t="shared" si="0"/>
        <v>Mencapai kompetensi dengan baik dalam hal</v>
      </c>
      <c r="O54" s="23">
        <v>77</v>
      </c>
      <c r="P54" s="18" t="str">
        <f t="shared" si="1"/>
        <v>Mencapai kompetensi dengan baik dalam hal</v>
      </c>
      <c r="Q54" s="23">
        <v>81</v>
      </c>
      <c r="R54" s="18" t="str">
        <f t="shared" si="2"/>
        <v>Mencapai kompetensi dengan baik dalam hal</v>
      </c>
      <c r="S54" s="23">
        <v>80</v>
      </c>
      <c r="T54" s="18" t="str">
        <f t="shared" si="3"/>
        <v>Mencapai kompetensi dengan baik dalam hal</v>
      </c>
      <c r="U54" s="23">
        <v>85</v>
      </c>
      <c r="V54" s="18" t="str">
        <f t="shared" si="4"/>
        <v>Mencapai kompetensi dengan baik dalam hal</v>
      </c>
      <c r="W54" s="23">
        <v>82</v>
      </c>
      <c r="X54" s="18" t="str">
        <f t="shared" si="5"/>
        <v>Mencapai kompetensi dengan baik dalam hal</v>
      </c>
      <c r="Y54" s="23">
        <v>75</v>
      </c>
      <c r="Z54" s="18" t="str">
        <f t="shared" si="6"/>
        <v>Mencapai kompetensi dengan baik dalam hal</v>
      </c>
      <c r="AA54" s="23">
        <v>81</v>
      </c>
      <c r="AB54" s="18" t="str">
        <f t="shared" si="17"/>
        <v>Mencapai kompetensi dengan baik dalam hal</v>
      </c>
      <c r="AC54" s="23">
        <v>84</v>
      </c>
      <c r="AD54" s="18" t="str">
        <f t="shared" si="7"/>
        <v>Mencapai kompetensi dengan baik dalam hal</v>
      </c>
      <c r="AE54" s="23">
        <v>79</v>
      </c>
      <c r="AF54" s="18" t="str">
        <f t="shared" si="8"/>
        <v>Mencapai kompetensi dengan baik dalam hal</v>
      </c>
      <c r="AG54" s="23">
        <v>85</v>
      </c>
      <c r="AH54" s="18" t="str">
        <f t="shared" si="9"/>
        <v>Mencapai kompetensi dengan baik dalam hal</v>
      </c>
      <c r="AI54" s="23">
        <v>86</v>
      </c>
      <c r="AJ54" s="18" t="str">
        <f t="shared" si="10"/>
        <v>Mencapai kompetensi dengan baik dalam hal</v>
      </c>
      <c r="AK54" s="23">
        <v>84</v>
      </c>
      <c r="AL54" s="18" t="str">
        <f t="shared" si="11"/>
        <v>Mencapai kompetensi dengan baik dalam hal</v>
      </c>
      <c r="AM54" s="23">
        <v>84</v>
      </c>
      <c r="AN54" s="18" t="str">
        <f t="shared" si="12"/>
        <v>Mencapai kompetensi dengan baik dalam hal</v>
      </c>
      <c r="AO54" s="62">
        <f t="shared" si="18"/>
        <v>84.75</v>
      </c>
      <c r="AP54" s="23">
        <v>84</v>
      </c>
      <c r="AQ54" s="18" t="str">
        <f t="shared" si="13"/>
        <v>Mencapai kompetensi dengan baik dalam hal</v>
      </c>
      <c r="AR54" s="23">
        <v>79</v>
      </c>
      <c r="AS54" s="18" t="str">
        <f t="shared" si="14"/>
        <v>Mencapai kompetensi dengan baik dalam hal</v>
      </c>
      <c r="AT54" s="113">
        <v>1</v>
      </c>
      <c r="AU54" s="113" t="s">
        <v>81</v>
      </c>
      <c r="AV54" s="113" t="s">
        <v>81</v>
      </c>
      <c r="AW54" s="23">
        <v>1</v>
      </c>
      <c r="AX54" s="23" t="s">
        <v>82</v>
      </c>
      <c r="AY54" s="18" t="s">
        <v>83</v>
      </c>
      <c r="AZ54" s="23" t="s">
        <v>84</v>
      </c>
      <c r="BA54" s="18" t="str">
        <f t="shared" si="20"/>
        <v>Baik</v>
      </c>
      <c r="BB54" s="23">
        <v>2</v>
      </c>
      <c r="BC54" s="18" t="s">
        <v>116</v>
      </c>
      <c r="BD54" s="18" t="s">
        <v>83</v>
      </c>
      <c r="BE54" s="23" t="s">
        <v>86</v>
      </c>
      <c r="BF54" s="18" t="str">
        <f t="shared" si="19"/>
        <v>Sangat baik</v>
      </c>
      <c r="BG54" s="23"/>
      <c r="BH54" s="23"/>
      <c r="BI54" s="23"/>
      <c r="BJ54" s="23"/>
      <c r="BK54" s="18"/>
    </row>
    <row r="55" spans="1:63" ht="38.25" customHeight="1" x14ac:dyDescent="0.25">
      <c r="A55" s="23">
        <v>54</v>
      </c>
      <c r="B55" s="23">
        <v>2526031</v>
      </c>
      <c r="C55" s="23" t="s">
        <v>1491</v>
      </c>
      <c r="D55" s="135" t="s">
        <v>1492</v>
      </c>
      <c r="E55" s="23" t="s">
        <v>1456</v>
      </c>
      <c r="F55" s="135" t="s">
        <v>1381</v>
      </c>
      <c r="G55" s="137" t="s">
        <v>1457</v>
      </c>
      <c r="H55" s="24" t="s">
        <v>1458</v>
      </c>
      <c r="I55" s="60" t="s">
        <v>76</v>
      </c>
      <c r="J55" s="61" t="s">
        <v>77</v>
      </c>
      <c r="K55" s="61" t="s">
        <v>78</v>
      </c>
      <c r="L55" s="61" t="s">
        <v>79</v>
      </c>
      <c r="M55" s="23">
        <v>79</v>
      </c>
      <c r="N55" s="18" t="str">
        <f t="shared" si="0"/>
        <v>Mencapai kompetensi dengan baik dalam hal</v>
      </c>
      <c r="O55" s="23">
        <v>79</v>
      </c>
      <c r="P55" s="18" t="str">
        <f t="shared" si="1"/>
        <v>Mencapai kompetensi dengan baik dalam hal</v>
      </c>
      <c r="Q55" s="23">
        <v>80</v>
      </c>
      <c r="R55" s="18" t="str">
        <f t="shared" si="2"/>
        <v>Mencapai kompetensi dengan baik dalam hal</v>
      </c>
      <c r="S55" s="23">
        <v>81</v>
      </c>
      <c r="T55" s="18" t="str">
        <f t="shared" si="3"/>
        <v>Mencapai kompetensi dengan baik dalam hal</v>
      </c>
      <c r="U55" s="23">
        <v>82</v>
      </c>
      <c r="V55" s="18" t="str">
        <f t="shared" si="4"/>
        <v>Mencapai kompetensi dengan baik dalam hal</v>
      </c>
      <c r="W55" s="23">
        <v>80</v>
      </c>
      <c r="X55" s="18" t="str">
        <f t="shared" si="5"/>
        <v>Mencapai kompetensi dengan baik dalam hal</v>
      </c>
      <c r="Y55" s="23">
        <v>78</v>
      </c>
      <c r="Z55" s="18" t="str">
        <f t="shared" si="6"/>
        <v>Mencapai kompetensi dengan baik dalam hal</v>
      </c>
      <c r="AA55" s="23">
        <v>78</v>
      </c>
      <c r="AB55" s="18" t="str">
        <f t="shared" si="17"/>
        <v>Mencapai kompetensi dengan baik dalam hal</v>
      </c>
      <c r="AC55" s="23">
        <v>81</v>
      </c>
      <c r="AD55" s="18" t="str">
        <f t="shared" si="7"/>
        <v>Mencapai kompetensi dengan baik dalam hal</v>
      </c>
      <c r="AE55" s="23">
        <v>82</v>
      </c>
      <c r="AF55" s="18" t="str">
        <f t="shared" si="8"/>
        <v>Mencapai kompetensi dengan baik dalam hal</v>
      </c>
      <c r="AG55" s="23">
        <v>80</v>
      </c>
      <c r="AH55" s="18" t="str">
        <f t="shared" si="9"/>
        <v>Mencapai kompetensi dengan baik dalam hal</v>
      </c>
      <c r="AI55" s="23">
        <v>84</v>
      </c>
      <c r="AJ55" s="18" t="str">
        <f t="shared" si="10"/>
        <v>Mencapai kompetensi dengan baik dalam hal</v>
      </c>
      <c r="AK55" s="23">
        <v>86</v>
      </c>
      <c r="AL55" s="18" t="str">
        <f t="shared" si="11"/>
        <v>Mencapai kompetensi dengan baik dalam hal</v>
      </c>
      <c r="AM55" s="23">
        <v>85</v>
      </c>
      <c r="AN55" s="18" t="str">
        <f t="shared" si="12"/>
        <v>Mencapai kompetensi dengan baik dalam hal</v>
      </c>
      <c r="AO55" s="62">
        <f t="shared" si="18"/>
        <v>83.75</v>
      </c>
      <c r="AP55" s="23">
        <v>81</v>
      </c>
      <c r="AQ55" s="18" t="str">
        <f t="shared" si="13"/>
        <v>Mencapai kompetensi dengan baik dalam hal</v>
      </c>
      <c r="AR55" s="23">
        <v>79</v>
      </c>
      <c r="AS55" s="18" t="str">
        <f t="shared" si="14"/>
        <v>Mencapai kompetensi dengan baik dalam hal</v>
      </c>
      <c r="AT55" s="113">
        <v>2</v>
      </c>
      <c r="AU55" s="113" t="s">
        <v>81</v>
      </c>
      <c r="AV55" s="113" t="s">
        <v>81</v>
      </c>
      <c r="AW55" s="23">
        <v>1</v>
      </c>
      <c r="AX55" s="23" t="s">
        <v>82</v>
      </c>
      <c r="AY55" s="18" t="s">
        <v>83</v>
      </c>
      <c r="AZ55" s="23" t="s">
        <v>86</v>
      </c>
      <c r="BA55" s="18" t="str">
        <f t="shared" si="20"/>
        <v>Sangat baik</v>
      </c>
      <c r="BB55" s="23">
        <v>2</v>
      </c>
      <c r="BC55" s="18" t="s">
        <v>108</v>
      </c>
      <c r="BD55" s="18" t="s">
        <v>83</v>
      </c>
      <c r="BE55" s="23" t="s">
        <v>84</v>
      </c>
      <c r="BF55" s="18" t="str">
        <f t="shared" si="19"/>
        <v>Baik</v>
      </c>
      <c r="BG55" s="23"/>
      <c r="BH55" s="23"/>
      <c r="BI55" s="23"/>
      <c r="BJ55" s="23"/>
      <c r="BK55" s="18"/>
    </row>
    <row r="56" spans="1:63" ht="38.25" customHeight="1" x14ac:dyDescent="0.25">
      <c r="A56" s="23">
        <v>55</v>
      </c>
      <c r="B56" s="23">
        <v>2526032</v>
      </c>
      <c r="C56" s="23" t="s">
        <v>1493</v>
      </c>
      <c r="D56" s="135" t="s">
        <v>1494</v>
      </c>
      <c r="E56" s="23" t="s">
        <v>1456</v>
      </c>
      <c r="F56" s="135" t="s">
        <v>1381</v>
      </c>
      <c r="G56" s="137" t="s">
        <v>1457</v>
      </c>
      <c r="H56" s="24" t="s">
        <v>1458</v>
      </c>
      <c r="I56" s="60" t="s">
        <v>76</v>
      </c>
      <c r="J56" s="61" t="s">
        <v>77</v>
      </c>
      <c r="K56" s="61" t="s">
        <v>158</v>
      </c>
      <c r="L56" s="61" t="s">
        <v>159</v>
      </c>
      <c r="M56" s="23">
        <v>89</v>
      </c>
      <c r="N56" s="18" t="str">
        <f t="shared" si="0"/>
        <v>Mencapai kompetensi dengan baik dalam hal</v>
      </c>
      <c r="O56" s="23">
        <v>76</v>
      </c>
      <c r="P56" s="18" t="str">
        <f t="shared" si="1"/>
        <v>Mencapai kompetensi dengan baik dalam hal</v>
      </c>
      <c r="Q56" s="23">
        <v>79</v>
      </c>
      <c r="R56" s="18" t="str">
        <f t="shared" si="2"/>
        <v>Mencapai kompetensi dengan baik dalam hal</v>
      </c>
      <c r="S56" s="23">
        <v>80</v>
      </c>
      <c r="T56" s="18" t="str">
        <f t="shared" si="3"/>
        <v>Mencapai kompetensi dengan baik dalam hal</v>
      </c>
      <c r="U56" s="23">
        <v>78</v>
      </c>
      <c r="V56" s="18" t="str">
        <f t="shared" si="4"/>
        <v>Mencapai kompetensi dengan baik dalam hal</v>
      </c>
      <c r="W56" s="23">
        <v>77</v>
      </c>
      <c r="X56" s="18" t="str">
        <f t="shared" si="5"/>
        <v>Mencapai kompetensi dengan baik dalam hal</v>
      </c>
      <c r="Y56" s="23">
        <v>75</v>
      </c>
      <c r="Z56" s="18" t="str">
        <f t="shared" si="6"/>
        <v>Mencapai kompetensi dengan baik dalam hal</v>
      </c>
      <c r="AA56" s="23">
        <v>78</v>
      </c>
      <c r="AB56" s="18" t="str">
        <f t="shared" si="17"/>
        <v>Mencapai kompetensi dengan baik dalam hal</v>
      </c>
      <c r="AC56" s="23">
        <v>82</v>
      </c>
      <c r="AD56" s="18" t="str">
        <f t="shared" si="7"/>
        <v>Mencapai kompetensi dengan baik dalam hal</v>
      </c>
      <c r="AE56" s="23">
        <v>81</v>
      </c>
      <c r="AF56" s="18" t="str">
        <f t="shared" si="8"/>
        <v>Mencapai kompetensi dengan baik dalam hal</v>
      </c>
      <c r="AG56" s="23">
        <v>78</v>
      </c>
      <c r="AH56" s="18" t="str">
        <f t="shared" si="9"/>
        <v>Mencapai kompetensi dengan baik dalam hal</v>
      </c>
      <c r="AI56" s="23">
        <v>80</v>
      </c>
      <c r="AJ56" s="18" t="str">
        <f t="shared" si="10"/>
        <v>Mencapai kompetensi dengan baik dalam hal</v>
      </c>
      <c r="AK56" s="23">
        <v>78</v>
      </c>
      <c r="AL56" s="18" t="str">
        <f t="shared" si="11"/>
        <v>Mencapai kompetensi dengan baik dalam hal</v>
      </c>
      <c r="AM56" s="23">
        <v>78</v>
      </c>
      <c r="AN56" s="18" t="str">
        <f t="shared" si="12"/>
        <v>Mencapai kompetensi dengan baik dalam hal</v>
      </c>
      <c r="AO56" s="62">
        <f t="shared" si="18"/>
        <v>78.5</v>
      </c>
      <c r="AP56" s="23">
        <v>82</v>
      </c>
      <c r="AQ56" s="18" t="str">
        <f t="shared" si="13"/>
        <v>Mencapai kompetensi dengan baik dalam hal</v>
      </c>
      <c r="AR56" s="23">
        <v>79</v>
      </c>
      <c r="AS56" s="18" t="str">
        <f t="shared" si="14"/>
        <v>Mencapai kompetensi dengan baik dalam hal</v>
      </c>
      <c r="AT56" s="113">
        <v>8</v>
      </c>
      <c r="AU56" s="113" t="s">
        <v>81</v>
      </c>
      <c r="AV56" s="113" t="s">
        <v>81</v>
      </c>
      <c r="AW56" s="23">
        <v>1</v>
      </c>
      <c r="AX56" s="23" t="s">
        <v>82</v>
      </c>
      <c r="AY56" s="18" t="s">
        <v>83</v>
      </c>
      <c r="AZ56" s="23" t="s">
        <v>84</v>
      </c>
      <c r="BA56" s="18" t="str">
        <f t="shared" si="20"/>
        <v>Baik</v>
      </c>
      <c r="BB56" s="23">
        <v>2</v>
      </c>
      <c r="BC56" s="18" t="s">
        <v>236</v>
      </c>
      <c r="BD56" s="18" t="s">
        <v>83</v>
      </c>
      <c r="BE56" s="23" t="s">
        <v>104</v>
      </c>
      <c r="BF56" s="18" t="str">
        <f t="shared" si="19"/>
        <v>Cukup</v>
      </c>
      <c r="BG56" s="23"/>
      <c r="BH56" s="23"/>
      <c r="BI56" s="23"/>
      <c r="BJ56" s="23"/>
      <c r="BK56" s="18"/>
    </row>
    <row r="57" spans="1:63" ht="38.25" customHeight="1" x14ac:dyDescent="0.25">
      <c r="A57" s="23">
        <v>56</v>
      </c>
      <c r="B57" s="23">
        <v>2526033</v>
      </c>
      <c r="C57" s="23" t="s">
        <v>1495</v>
      </c>
      <c r="D57" s="135" t="s">
        <v>1496</v>
      </c>
      <c r="E57" s="23" t="s">
        <v>1456</v>
      </c>
      <c r="F57" s="135" t="s">
        <v>1381</v>
      </c>
      <c r="G57" s="137" t="s">
        <v>1457</v>
      </c>
      <c r="H57" s="24" t="s">
        <v>1458</v>
      </c>
      <c r="I57" s="60" t="s">
        <v>76</v>
      </c>
      <c r="J57" s="61" t="s">
        <v>77</v>
      </c>
      <c r="K57" s="61" t="s">
        <v>78</v>
      </c>
      <c r="L57" s="61" t="s">
        <v>79</v>
      </c>
      <c r="M57" s="23">
        <v>79</v>
      </c>
      <c r="N57" s="18" t="str">
        <f t="shared" si="0"/>
        <v>Mencapai kompetensi dengan baik dalam hal</v>
      </c>
      <c r="O57" s="23">
        <v>76</v>
      </c>
      <c r="P57" s="18" t="str">
        <f t="shared" si="1"/>
        <v>Mencapai kompetensi dengan baik dalam hal</v>
      </c>
      <c r="Q57" s="23">
        <v>80</v>
      </c>
      <c r="R57" s="18" t="str">
        <f t="shared" si="2"/>
        <v>Mencapai kompetensi dengan baik dalam hal</v>
      </c>
      <c r="S57" s="23">
        <v>81</v>
      </c>
      <c r="T57" s="18" t="str">
        <f t="shared" si="3"/>
        <v>Mencapai kompetensi dengan baik dalam hal</v>
      </c>
      <c r="U57" s="23">
        <v>87</v>
      </c>
      <c r="V57" s="18" t="str">
        <f t="shared" si="4"/>
        <v>Mencapai kompetensi dengan baik dalam hal</v>
      </c>
      <c r="W57" s="23">
        <v>80</v>
      </c>
      <c r="X57" s="18" t="str">
        <f t="shared" si="5"/>
        <v>Mencapai kompetensi dengan baik dalam hal</v>
      </c>
      <c r="Y57" s="23">
        <v>75</v>
      </c>
      <c r="Z57" s="18" t="str">
        <f t="shared" si="6"/>
        <v>Mencapai kompetensi dengan baik dalam hal</v>
      </c>
      <c r="AA57" s="23">
        <v>79</v>
      </c>
      <c r="AB57" s="18" t="str">
        <f t="shared" si="17"/>
        <v>Mencapai kompetensi dengan baik dalam hal</v>
      </c>
      <c r="AC57" s="23">
        <v>81</v>
      </c>
      <c r="AD57" s="18" t="str">
        <f t="shared" si="7"/>
        <v>Mencapai kompetensi dengan baik dalam hal</v>
      </c>
      <c r="AE57" s="23">
        <v>83</v>
      </c>
      <c r="AF57" s="18" t="str">
        <f t="shared" si="8"/>
        <v>Mencapai kompetensi dengan baik dalam hal</v>
      </c>
      <c r="AG57" s="23">
        <v>78</v>
      </c>
      <c r="AH57" s="18" t="str">
        <f t="shared" si="9"/>
        <v>Mencapai kompetensi dengan baik dalam hal</v>
      </c>
      <c r="AI57" s="23">
        <v>79</v>
      </c>
      <c r="AJ57" s="18" t="str">
        <f t="shared" si="10"/>
        <v>Mencapai kompetensi dengan baik dalam hal</v>
      </c>
      <c r="AK57" s="23">
        <v>78</v>
      </c>
      <c r="AL57" s="18" t="str">
        <f t="shared" si="11"/>
        <v>Mencapai kompetensi dengan baik dalam hal</v>
      </c>
      <c r="AM57" s="23">
        <v>79</v>
      </c>
      <c r="AN57" s="18" t="str">
        <f t="shared" si="12"/>
        <v>Mencapai kompetensi dengan baik dalam hal</v>
      </c>
      <c r="AO57" s="62">
        <f t="shared" si="18"/>
        <v>78.5</v>
      </c>
      <c r="AP57" s="23">
        <v>81</v>
      </c>
      <c r="AQ57" s="18" t="str">
        <f t="shared" si="13"/>
        <v>Mencapai kompetensi dengan baik dalam hal</v>
      </c>
      <c r="AR57" s="23">
        <v>80</v>
      </c>
      <c r="AS57" s="18" t="str">
        <f t="shared" si="14"/>
        <v>Mencapai kompetensi dengan baik dalam hal</v>
      </c>
      <c r="AT57" s="113" t="s">
        <v>81</v>
      </c>
      <c r="AU57" s="113" t="s">
        <v>81</v>
      </c>
      <c r="AV57" s="113" t="s">
        <v>81</v>
      </c>
      <c r="AW57" s="23">
        <v>1</v>
      </c>
      <c r="AX57" s="23" t="s">
        <v>82</v>
      </c>
      <c r="AY57" s="18" t="s">
        <v>83</v>
      </c>
      <c r="AZ57" s="23" t="s">
        <v>84</v>
      </c>
      <c r="BA57" s="18" t="str">
        <f t="shared" si="20"/>
        <v>Baik</v>
      </c>
      <c r="BB57" s="23">
        <v>2</v>
      </c>
      <c r="BC57" s="18" t="s">
        <v>85</v>
      </c>
      <c r="BD57" s="18" t="s">
        <v>83</v>
      </c>
      <c r="BE57" s="23" t="s">
        <v>84</v>
      </c>
      <c r="BF57" s="18" t="str">
        <f t="shared" si="19"/>
        <v>Baik</v>
      </c>
      <c r="BG57" s="23">
        <v>3</v>
      </c>
      <c r="BH57" s="23" t="s">
        <v>87</v>
      </c>
      <c r="BI57" s="23" t="s">
        <v>83</v>
      </c>
      <c r="BJ57" s="23" t="s">
        <v>84</v>
      </c>
      <c r="BK57" s="18" t="str">
        <f>VLOOKUP(BJ57,grades4,2,TRUE)</f>
        <v>Baik</v>
      </c>
    </row>
    <row r="58" spans="1:63" ht="38.25" customHeight="1" x14ac:dyDescent="0.25">
      <c r="A58" s="23">
        <v>57</v>
      </c>
      <c r="B58" s="23">
        <v>2526034</v>
      </c>
      <c r="C58" s="23" t="s">
        <v>1497</v>
      </c>
      <c r="D58" s="135" t="s">
        <v>1498</v>
      </c>
      <c r="E58" s="23" t="s">
        <v>1456</v>
      </c>
      <c r="F58" s="135" t="s">
        <v>1381</v>
      </c>
      <c r="G58" s="137" t="s">
        <v>1457</v>
      </c>
      <c r="H58" s="24" t="s">
        <v>1458</v>
      </c>
      <c r="I58" s="60" t="s">
        <v>76</v>
      </c>
      <c r="J58" s="61" t="s">
        <v>77</v>
      </c>
      <c r="K58" s="61" t="s">
        <v>78</v>
      </c>
      <c r="L58" s="61" t="s">
        <v>79</v>
      </c>
      <c r="M58" s="23">
        <v>80</v>
      </c>
      <c r="N58" s="18" t="str">
        <f t="shared" si="0"/>
        <v>Mencapai kompetensi dengan baik dalam hal</v>
      </c>
      <c r="O58" s="23">
        <v>76</v>
      </c>
      <c r="P58" s="18" t="str">
        <f t="shared" si="1"/>
        <v>Mencapai kompetensi dengan baik dalam hal</v>
      </c>
      <c r="Q58" s="23">
        <v>80</v>
      </c>
      <c r="R58" s="18" t="str">
        <f t="shared" si="2"/>
        <v>Mencapai kompetensi dengan baik dalam hal</v>
      </c>
      <c r="S58" s="23">
        <v>81</v>
      </c>
      <c r="T58" s="18" t="str">
        <f t="shared" si="3"/>
        <v>Mencapai kompetensi dengan baik dalam hal</v>
      </c>
      <c r="U58" s="23">
        <v>76</v>
      </c>
      <c r="V58" s="18" t="str">
        <f t="shared" si="4"/>
        <v>Mencapai kompetensi dengan baik dalam hal</v>
      </c>
      <c r="W58" s="23">
        <v>78</v>
      </c>
      <c r="X58" s="18" t="str">
        <f t="shared" si="5"/>
        <v>Mencapai kompetensi dengan baik dalam hal</v>
      </c>
      <c r="Y58" s="23">
        <v>76</v>
      </c>
      <c r="Z58" s="18" t="str">
        <f t="shared" si="6"/>
        <v>Mencapai kompetensi dengan baik dalam hal</v>
      </c>
      <c r="AA58" s="23">
        <v>80</v>
      </c>
      <c r="AB58" s="18" t="str">
        <f t="shared" si="17"/>
        <v>Mencapai kompetensi dengan baik dalam hal</v>
      </c>
      <c r="AC58" s="23">
        <v>83</v>
      </c>
      <c r="AD58" s="18" t="str">
        <f t="shared" si="7"/>
        <v>Mencapai kompetensi dengan baik dalam hal</v>
      </c>
      <c r="AE58" s="23">
        <v>80</v>
      </c>
      <c r="AF58" s="18" t="str">
        <f t="shared" si="8"/>
        <v>Mencapai kompetensi dengan baik dalam hal</v>
      </c>
      <c r="AG58" s="23">
        <v>78</v>
      </c>
      <c r="AH58" s="18" t="str">
        <f t="shared" si="9"/>
        <v>Mencapai kompetensi dengan baik dalam hal</v>
      </c>
      <c r="AI58" s="23">
        <v>85</v>
      </c>
      <c r="AJ58" s="18" t="str">
        <f t="shared" si="10"/>
        <v>Mencapai kompetensi dengan baik dalam hal</v>
      </c>
      <c r="AK58" s="23">
        <v>82</v>
      </c>
      <c r="AL58" s="18" t="str">
        <f t="shared" si="11"/>
        <v>Mencapai kompetensi dengan baik dalam hal</v>
      </c>
      <c r="AM58" s="23">
        <v>85</v>
      </c>
      <c r="AN58" s="18" t="str">
        <f t="shared" si="12"/>
        <v>Mencapai kompetensi dengan baik dalam hal</v>
      </c>
      <c r="AO58" s="62">
        <f t="shared" si="18"/>
        <v>82.5</v>
      </c>
      <c r="AP58" s="23">
        <v>83</v>
      </c>
      <c r="AQ58" s="18" t="str">
        <f t="shared" si="13"/>
        <v>Mencapai kompetensi dengan baik dalam hal</v>
      </c>
      <c r="AR58" s="23">
        <v>78</v>
      </c>
      <c r="AS58" s="18" t="str">
        <f t="shared" si="14"/>
        <v>Mencapai kompetensi dengan baik dalam hal</v>
      </c>
      <c r="AT58" s="113">
        <v>2</v>
      </c>
      <c r="AU58" s="113" t="s">
        <v>81</v>
      </c>
      <c r="AV58" s="113" t="s">
        <v>81</v>
      </c>
      <c r="AW58" s="23">
        <v>1</v>
      </c>
      <c r="AX58" s="23" t="s">
        <v>82</v>
      </c>
      <c r="AY58" s="18" t="s">
        <v>83</v>
      </c>
      <c r="AZ58" s="23" t="s">
        <v>84</v>
      </c>
      <c r="BA58" s="18" t="str">
        <f t="shared" si="20"/>
        <v>Baik</v>
      </c>
      <c r="BB58" s="23">
        <v>2</v>
      </c>
      <c r="BC58" s="18" t="s">
        <v>236</v>
      </c>
      <c r="BD58" s="18" t="s">
        <v>83</v>
      </c>
      <c r="BE58" s="23" t="s">
        <v>104</v>
      </c>
      <c r="BF58" s="18" t="str">
        <f t="shared" si="19"/>
        <v>Cukup</v>
      </c>
      <c r="BG58" s="23"/>
      <c r="BH58" s="23"/>
      <c r="BI58" s="23"/>
      <c r="BJ58" s="23"/>
      <c r="BK58" s="18"/>
    </row>
    <row r="59" spans="1:63" ht="38.25" customHeight="1" x14ac:dyDescent="0.25">
      <c r="A59" s="23">
        <v>58</v>
      </c>
      <c r="B59" s="23">
        <v>2526035</v>
      </c>
      <c r="C59" s="23" t="s">
        <v>1499</v>
      </c>
      <c r="D59" s="135" t="s">
        <v>1500</v>
      </c>
      <c r="E59" s="23" t="s">
        <v>1456</v>
      </c>
      <c r="F59" s="135" t="s">
        <v>1381</v>
      </c>
      <c r="G59" s="137" t="s">
        <v>1457</v>
      </c>
      <c r="H59" s="24" t="s">
        <v>1458</v>
      </c>
      <c r="I59" s="60" t="s">
        <v>76</v>
      </c>
      <c r="J59" s="61" t="s">
        <v>77</v>
      </c>
      <c r="K59" s="61" t="s">
        <v>78</v>
      </c>
      <c r="L59" s="61" t="s">
        <v>79</v>
      </c>
      <c r="M59" s="23">
        <v>79</v>
      </c>
      <c r="N59" s="18" t="str">
        <f t="shared" si="0"/>
        <v>Mencapai kompetensi dengan baik dalam hal</v>
      </c>
      <c r="O59" s="23">
        <v>77</v>
      </c>
      <c r="P59" s="18" t="str">
        <f t="shared" si="1"/>
        <v>Mencapai kompetensi dengan baik dalam hal</v>
      </c>
      <c r="Q59" s="23">
        <v>81</v>
      </c>
      <c r="R59" s="18" t="str">
        <f t="shared" si="2"/>
        <v>Mencapai kompetensi dengan baik dalam hal</v>
      </c>
      <c r="S59" s="23">
        <v>85</v>
      </c>
      <c r="T59" s="18" t="str">
        <f t="shared" si="3"/>
        <v>Mencapai kompetensi dengan baik dalam hal</v>
      </c>
      <c r="U59" s="23">
        <v>84</v>
      </c>
      <c r="V59" s="18" t="str">
        <f t="shared" si="4"/>
        <v>Mencapai kompetensi dengan baik dalam hal</v>
      </c>
      <c r="W59" s="23">
        <v>79</v>
      </c>
      <c r="X59" s="18" t="str">
        <f t="shared" si="5"/>
        <v>Mencapai kompetensi dengan baik dalam hal</v>
      </c>
      <c r="Y59" s="23">
        <v>75</v>
      </c>
      <c r="Z59" s="18" t="str">
        <f t="shared" si="6"/>
        <v>Mencapai kompetensi dengan baik dalam hal</v>
      </c>
      <c r="AA59" s="23">
        <v>79</v>
      </c>
      <c r="AB59" s="18" t="str">
        <f t="shared" si="17"/>
        <v>Mencapai kompetensi dengan baik dalam hal</v>
      </c>
      <c r="AC59" s="23">
        <v>83</v>
      </c>
      <c r="AD59" s="18" t="str">
        <f t="shared" si="7"/>
        <v>Mencapai kompetensi dengan baik dalam hal</v>
      </c>
      <c r="AE59" s="23">
        <v>80</v>
      </c>
      <c r="AF59" s="18" t="str">
        <f t="shared" si="8"/>
        <v>Mencapai kompetensi dengan baik dalam hal</v>
      </c>
      <c r="AG59" s="23">
        <v>78</v>
      </c>
      <c r="AH59" s="18" t="str">
        <f t="shared" si="9"/>
        <v>Mencapai kompetensi dengan baik dalam hal</v>
      </c>
      <c r="AI59" s="23">
        <v>83</v>
      </c>
      <c r="AJ59" s="18" t="str">
        <f t="shared" si="10"/>
        <v>Mencapai kompetensi dengan baik dalam hal</v>
      </c>
      <c r="AK59" s="23">
        <v>82</v>
      </c>
      <c r="AL59" s="18" t="str">
        <f t="shared" si="11"/>
        <v>Mencapai kompetensi dengan baik dalam hal</v>
      </c>
      <c r="AM59" s="23">
        <v>82</v>
      </c>
      <c r="AN59" s="18" t="str">
        <f t="shared" si="12"/>
        <v>Mencapai kompetensi dengan baik dalam hal</v>
      </c>
      <c r="AO59" s="62">
        <f t="shared" si="18"/>
        <v>81.25</v>
      </c>
      <c r="AP59" s="23">
        <v>83</v>
      </c>
      <c r="AQ59" s="18" t="str">
        <f t="shared" si="13"/>
        <v>Mencapai kompetensi dengan baik dalam hal</v>
      </c>
      <c r="AR59" s="23">
        <v>79</v>
      </c>
      <c r="AS59" s="18" t="str">
        <f t="shared" si="14"/>
        <v>Mencapai kompetensi dengan baik dalam hal</v>
      </c>
      <c r="AT59" s="113" t="s">
        <v>81</v>
      </c>
      <c r="AU59" s="113" t="s">
        <v>81</v>
      </c>
      <c r="AV59" s="113" t="s">
        <v>81</v>
      </c>
      <c r="AW59" s="23">
        <v>1</v>
      </c>
      <c r="AX59" s="23" t="s">
        <v>82</v>
      </c>
      <c r="AY59" s="18" t="s">
        <v>83</v>
      </c>
      <c r="AZ59" s="23" t="s">
        <v>84</v>
      </c>
      <c r="BA59" s="18" t="str">
        <f t="shared" si="20"/>
        <v>Baik</v>
      </c>
      <c r="BB59" s="23">
        <v>2</v>
      </c>
      <c r="BC59" s="18" t="s">
        <v>99</v>
      </c>
      <c r="BD59" s="18" t="s">
        <v>83</v>
      </c>
      <c r="BE59" s="23" t="s">
        <v>84</v>
      </c>
      <c r="BF59" s="18" t="str">
        <f t="shared" si="19"/>
        <v>Baik</v>
      </c>
      <c r="BG59" s="23"/>
      <c r="BH59" s="23"/>
      <c r="BI59" s="23"/>
      <c r="BJ59" s="23"/>
      <c r="BK59" s="18"/>
    </row>
    <row r="60" spans="1:63" ht="38.25" customHeight="1" x14ac:dyDescent="0.25">
      <c r="A60" s="23">
        <v>59</v>
      </c>
      <c r="B60" s="23">
        <v>2526036</v>
      </c>
      <c r="C60" s="23" t="s">
        <v>1501</v>
      </c>
      <c r="D60" s="135" t="s">
        <v>1502</v>
      </c>
      <c r="E60" s="23" t="s">
        <v>1456</v>
      </c>
      <c r="F60" s="135" t="s">
        <v>1381</v>
      </c>
      <c r="G60" s="137" t="s">
        <v>1457</v>
      </c>
      <c r="H60" s="24" t="s">
        <v>1458</v>
      </c>
      <c r="I60" s="60" t="s">
        <v>76</v>
      </c>
      <c r="J60" s="61" t="s">
        <v>77</v>
      </c>
      <c r="K60" s="61" t="s">
        <v>78</v>
      </c>
      <c r="L60" s="61" t="s">
        <v>79</v>
      </c>
      <c r="M60" s="23">
        <v>80</v>
      </c>
      <c r="N60" s="18" t="str">
        <f t="shared" si="0"/>
        <v>Mencapai kompetensi dengan baik dalam hal</v>
      </c>
      <c r="O60" s="23">
        <v>70</v>
      </c>
      <c r="P60" s="18" t="str">
        <f t="shared" si="1"/>
        <v>Perlu peningkatan dalam hal</v>
      </c>
      <c r="Q60" s="23">
        <v>75</v>
      </c>
      <c r="R60" s="18" t="str">
        <f t="shared" si="2"/>
        <v>Mencapai kompetensi dengan baik dalam hal</v>
      </c>
      <c r="S60" s="23">
        <v>80</v>
      </c>
      <c r="T60" s="18" t="str">
        <f t="shared" si="3"/>
        <v>Mencapai kompetensi dengan baik dalam hal</v>
      </c>
      <c r="U60" s="23">
        <v>75</v>
      </c>
      <c r="V60" s="18" t="str">
        <f t="shared" si="4"/>
        <v>Mencapai kompetensi dengan baik dalam hal</v>
      </c>
      <c r="W60" s="23">
        <v>70</v>
      </c>
      <c r="X60" s="18" t="str">
        <f t="shared" si="5"/>
        <v>Perlu peningkatan dalam hal</v>
      </c>
      <c r="Y60" s="23">
        <v>74</v>
      </c>
      <c r="Z60" s="18" t="str">
        <f t="shared" si="6"/>
        <v>Perlu peningkatan dalam hal</v>
      </c>
      <c r="AA60" s="23">
        <v>74</v>
      </c>
      <c r="AB60" s="18" t="str">
        <f t="shared" si="17"/>
        <v>Perlu peningkatan dalam hal</v>
      </c>
      <c r="AC60" s="23">
        <v>81</v>
      </c>
      <c r="AD60" s="18" t="str">
        <f t="shared" si="7"/>
        <v>Mencapai kompetensi dengan baik dalam hal</v>
      </c>
      <c r="AE60" s="23">
        <v>77</v>
      </c>
      <c r="AF60" s="18" t="str">
        <f t="shared" si="8"/>
        <v>Mencapai kompetensi dengan baik dalam hal</v>
      </c>
      <c r="AG60" s="23">
        <v>78</v>
      </c>
      <c r="AH60" s="18" t="str">
        <f t="shared" si="9"/>
        <v>Mencapai kompetensi dengan baik dalam hal</v>
      </c>
      <c r="AI60" s="23">
        <v>76</v>
      </c>
      <c r="AJ60" s="18" t="str">
        <f t="shared" si="10"/>
        <v>Perlu peningkatan dalam hal</v>
      </c>
      <c r="AK60" s="23">
        <v>76</v>
      </c>
      <c r="AL60" s="18" t="str">
        <f t="shared" si="11"/>
        <v>Perlu peningkatan dalam hal</v>
      </c>
      <c r="AM60" s="23">
        <v>74</v>
      </c>
      <c r="AN60" s="18" t="str">
        <f t="shared" si="12"/>
        <v>Perlu peningkatan dalam hal</v>
      </c>
      <c r="AO60" s="62">
        <f t="shared" si="18"/>
        <v>76</v>
      </c>
      <c r="AP60" s="23">
        <v>81</v>
      </c>
      <c r="AQ60" s="18" t="str">
        <f t="shared" si="13"/>
        <v>Mencapai kompetensi dengan baik dalam hal</v>
      </c>
      <c r="AR60" s="23">
        <v>70</v>
      </c>
      <c r="AS60" s="18" t="str">
        <f t="shared" si="14"/>
        <v>Perlu peningkatan dalam hal</v>
      </c>
      <c r="AT60" s="113">
        <v>13</v>
      </c>
      <c r="AU60" s="113" t="s">
        <v>81</v>
      </c>
      <c r="AV60" s="113">
        <v>1</v>
      </c>
      <c r="AW60" s="23">
        <v>1</v>
      </c>
      <c r="AX60" s="23" t="s">
        <v>82</v>
      </c>
      <c r="AY60" s="18" t="s">
        <v>83</v>
      </c>
      <c r="AZ60" s="23" t="s">
        <v>110</v>
      </c>
      <c r="BA60" s="18" t="str">
        <f t="shared" si="20"/>
        <v>Kurang</v>
      </c>
      <c r="BB60" s="23">
        <v>2</v>
      </c>
      <c r="BC60" s="18" t="s">
        <v>116</v>
      </c>
      <c r="BD60" s="18" t="s">
        <v>83</v>
      </c>
      <c r="BE60" s="23" t="s">
        <v>110</v>
      </c>
      <c r="BF60" s="18" t="str">
        <f t="shared" si="19"/>
        <v>Kurang</v>
      </c>
      <c r="BG60" s="23"/>
      <c r="BH60" s="23"/>
      <c r="BI60" s="23"/>
      <c r="BJ60" s="23"/>
      <c r="BK60" s="18"/>
    </row>
    <row r="61" spans="1:63" ht="38.25" customHeight="1" x14ac:dyDescent="0.25">
      <c r="A61" s="23">
        <v>60</v>
      </c>
      <c r="B61" s="23">
        <v>2526037</v>
      </c>
      <c r="C61" s="23" t="s">
        <v>1503</v>
      </c>
      <c r="D61" s="135" t="s">
        <v>1504</v>
      </c>
      <c r="E61" s="23" t="s">
        <v>1456</v>
      </c>
      <c r="F61" s="135" t="s">
        <v>1381</v>
      </c>
      <c r="G61" s="137" t="s">
        <v>1457</v>
      </c>
      <c r="H61" s="24" t="s">
        <v>1458</v>
      </c>
      <c r="I61" s="60" t="s">
        <v>76</v>
      </c>
      <c r="J61" s="61" t="s">
        <v>77</v>
      </c>
      <c r="K61" s="61" t="s">
        <v>78</v>
      </c>
      <c r="L61" s="61" t="s">
        <v>79</v>
      </c>
      <c r="M61" s="23">
        <v>83</v>
      </c>
      <c r="N61" s="18" t="str">
        <f t="shared" si="0"/>
        <v>Mencapai kompetensi dengan baik dalam hal</v>
      </c>
      <c r="O61" s="23">
        <v>77</v>
      </c>
      <c r="P61" s="18" t="str">
        <f t="shared" si="1"/>
        <v>Mencapai kompetensi dengan baik dalam hal</v>
      </c>
      <c r="Q61" s="23">
        <v>80</v>
      </c>
      <c r="R61" s="18" t="str">
        <f t="shared" si="2"/>
        <v>Mencapai kompetensi dengan baik dalam hal</v>
      </c>
      <c r="S61" s="23">
        <v>83</v>
      </c>
      <c r="T61" s="18" t="str">
        <f t="shared" si="3"/>
        <v>Mencapai kompetensi dengan baik dalam hal</v>
      </c>
      <c r="U61" s="23">
        <v>86</v>
      </c>
      <c r="V61" s="18" t="str">
        <f t="shared" si="4"/>
        <v>Mencapai kompetensi dengan baik dalam hal</v>
      </c>
      <c r="W61" s="23">
        <v>80</v>
      </c>
      <c r="X61" s="18" t="str">
        <f t="shared" si="5"/>
        <v>Mencapai kompetensi dengan baik dalam hal</v>
      </c>
      <c r="Y61" s="23">
        <v>80</v>
      </c>
      <c r="Z61" s="18" t="str">
        <f t="shared" si="6"/>
        <v>Mencapai kompetensi dengan baik dalam hal</v>
      </c>
      <c r="AA61" s="23">
        <v>81</v>
      </c>
      <c r="AB61" s="18" t="str">
        <f t="shared" si="17"/>
        <v>Mencapai kompetensi dengan baik dalam hal</v>
      </c>
      <c r="AC61" s="23">
        <v>86</v>
      </c>
      <c r="AD61" s="18" t="str">
        <f t="shared" si="7"/>
        <v>Mencapai kompetensi dengan baik dalam hal</v>
      </c>
      <c r="AE61" s="23">
        <v>80</v>
      </c>
      <c r="AF61" s="18" t="str">
        <f t="shared" si="8"/>
        <v>Mencapai kompetensi dengan baik dalam hal</v>
      </c>
      <c r="AG61" s="23">
        <v>84</v>
      </c>
      <c r="AH61" s="18" t="str">
        <f t="shared" si="9"/>
        <v>Mencapai kompetensi dengan baik dalam hal</v>
      </c>
      <c r="AI61" s="23">
        <v>83</v>
      </c>
      <c r="AJ61" s="18" t="str">
        <f t="shared" si="10"/>
        <v>Mencapai kompetensi dengan baik dalam hal</v>
      </c>
      <c r="AK61" s="23">
        <v>85</v>
      </c>
      <c r="AL61" s="18" t="str">
        <f t="shared" si="11"/>
        <v>Mencapai kompetensi dengan baik dalam hal</v>
      </c>
      <c r="AM61" s="23">
        <v>85</v>
      </c>
      <c r="AN61" s="18" t="str">
        <f t="shared" si="12"/>
        <v>Mencapai kompetensi dengan baik dalam hal</v>
      </c>
      <c r="AO61" s="62">
        <f t="shared" si="18"/>
        <v>84.25</v>
      </c>
      <c r="AP61" s="23">
        <v>86</v>
      </c>
      <c r="AQ61" s="18" t="str">
        <f t="shared" si="13"/>
        <v>Mencapai kompetensi dengan baik dalam hal</v>
      </c>
      <c r="AR61" s="23">
        <v>76</v>
      </c>
      <c r="AS61" s="18" t="str">
        <f t="shared" si="14"/>
        <v>Mencapai kompetensi dengan baik dalam hal</v>
      </c>
      <c r="AT61" s="113">
        <v>3</v>
      </c>
      <c r="AU61" s="113" t="s">
        <v>81</v>
      </c>
      <c r="AV61" s="113" t="s">
        <v>81</v>
      </c>
      <c r="AW61" s="23">
        <v>1</v>
      </c>
      <c r="AX61" s="23" t="s">
        <v>82</v>
      </c>
      <c r="AY61" s="18" t="s">
        <v>83</v>
      </c>
      <c r="AZ61" s="23" t="s">
        <v>84</v>
      </c>
      <c r="BA61" s="18" t="str">
        <f t="shared" si="20"/>
        <v>Baik</v>
      </c>
      <c r="BB61" s="23">
        <v>2</v>
      </c>
      <c r="BC61" s="18" t="s">
        <v>116</v>
      </c>
      <c r="BD61" s="18" t="s">
        <v>83</v>
      </c>
      <c r="BE61" s="23" t="s">
        <v>86</v>
      </c>
      <c r="BF61" s="18" t="str">
        <f t="shared" si="19"/>
        <v>Sangat baik</v>
      </c>
      <c r="BG61" s="23"/>
      <c r="BH61" s="23"/>
      <c r="BI61" s="23"/>
      <c r="BJ61" s="23"/>
      <c r="BK61" s="18"/>
    </row>
    <row r="62" spans="1:63" ht="38.25" customHeight="1" x14ac:dyDescent="0.25">
      <c r="A62" s="23">
        <v>61</v>
      </c>
      <c r="B62" s="23">
        <v>2526038</v>
      </c>
      <c r="C62" s="23" t="s">
        <v>1505</v>
      </c>
      <c r="D62" s="135" t="s">
        <v>1506</v>
      </c>
      <c r="E62" s="23" t="s">
        <v>1456</v>
      </c>
      <c r="F62" s="135" t="s">
        <v>1381</v>
      </c>
      <c r="G62" s="137" t="s">
        <v>1457</v>
      </c>
      <c r="H62" s="24" t="s">
        <v>1458</v>
      </c>
      <c r="I62" s="60" t="s">
        <v>76</v>
      </c>
      <c r="J62" s="61" t="s">
        <v>77</v>
      </c>
      <c r="K62" s="61" t="s">
        <v>78</v>
      </c>
      <c r="L62" s="61" t="s">
        <v>79</v>
      </c>
      <c r="M62" s="23">
        <v>83</v>
      </c>
      <c r="N62" s="18" t="str">
        <f t="shared" si="0"/>
        <v>Mencapai kompetensi dengan baik dalam hal</v>
      </c>
      <c r="O62" s="23">
        <v>83</v>
      </c>
      <c r="P62" s="18" t="str">
        <f t="shared" si="1"/>
        <v>Mencapai kompetensi dengan baik dalam hal</v>
      </c>
      <c r="Q62" s="23">
        <v>80</v>
      </c>
      <c r="R62" s="18" t="str">
        <f t="shared" si="2"/>
        <v>Mencapai kompetensi dengan baik dalam hal</v>
      </c>
      <c r="S62" s="23">
        <v>82</v>
      </c>
      <c r="T62" s="18" t="str">
        <f t="shared" si="3"/>
        <v>Mencapai kompetensi dengan baik dalam hal</v>
      </c>
      <c r="U62" s="23">
        <v>86</v>
      </c>
      <c r="V62" s="18" t="str">
        <f t="shared" si="4"/>
        <v>Mencapai kompetensi dengan baik dalam hal</v>
      </c>
      <c r="W62" s="23">
        <v>80</v>
      </c>
      <c r="X62" s="18" t="str">
        <f t="shared" si="5"/>
        <v>Mencapai kompetensi dengan baik dalam hal</v>
      </c>
      <c r="Y62" s="23">
        <v>80</v>
      </c>
      <c r="Z62" s="18" t="str">
        <f t="shared" si="6"/>
        <v>Mencapai kompetensi dengan baik dalam hal</v>
      </c>
      <c r="AA62" s="23">
        <v>81</v>
      </c>
      <c r="AB62" s="18" t="str">
        <f t="shared" si="17"/>
        <v>Mencapai kompetensi dengan baik dalam hal</v>
      </c>
      <c r="AC62" s="23">
        <v>85</v>
      </c>
      <c r="AD62" s="18" t="str">
        <f t="shared" si="7"/>
        <v>Mencapai kompetensi dengan baik dalam hal</v>
      </c>
      <c r="AE62" s="23">
        <v>81</v>
      </c>
      <c r="AF62" s="18" t="str">
        <f t="shared" si="8"/>
        <v>Mencapai kompetensi dengan baik dalam hal</v>
      </c>
      <c r="AG62" s="23">
        <v>80</v>
      </c>
      <c r="AH62" s="18" t="str">
        <f t="shared" si="9"/>
        <v>Mencapai kompetensi dengan baik dalam hal</v>
      </c>
      <c r="AI62" s="23">
        <v>82</v>
      </c>
      <c r="AJ62" s="18" t="str">
        <f t="shared" si="10"/>
        <v>Mencapai kompetensi dengan baik dalam hal</v>
      </c>
      <c r="AK62" s="23">
        <v>84</v>
      </c>
      <c r="AL62" s="18" t="str">
        <f t="shared" si="11"/>
        <v>Mencapai kompetensi dengan baik dalam hal</v>
      </c>
      <c r="AM62" s="23">
        <v>86</v>
      </c>
      <c r="AN62" s="18" t="str">
        <f t="shared" si="12"/>
        <v>Mencapai kompetensi dengan baik dalam hal</v>
      </c>
      <c r="AO62" s="62">
        <f t="shared" si="18"/>
        <v>83</v>
      </c>
      <c r="AP62" s="23">
        <v>85</v>
      </c>
      <c r="AQ62" s="18" t="str">
        <f t="shared" si="13"/>
        <v>Mencapai kompetensi dengan baik dalam hal</v>
      </c>
      <c r="AR62" s="23">
        <v>80</v>
      </c>
      <c r="AS62" s="18" t="str">
        <f t="shared" si="14"/>
        <v>Mencapai kompetensi dengan baik dalam hal</v>
      </c>
      <c r="AT62" s="113">
        <v>2</v>
      </c>
      <c r="AU62" s="113" t="s">
        <v>81</v>
      </c>
      <c r="AV62" s="113" t="s">
        <v>81</v>
      </c>
      <c r="AW62" s="23">
        <v>1</v>
      </c>
      <c r="AX62" s="23" t="s">
        <v>82</v>
      </c>
      <c r="AY62" s="18" t="s">
        <v>83</v>
      </c>
      <c r="AZ62" s="23" t="s">
        <v>84</v>
      </c>
      <c r="BA62" s="18" t="str">
        <f t="shared" si="20"/>
        <v>Baik</v>
      </c>
      <c r="BB62" s="23">
        <v>2</v>
      </c>
      <c r="BC62" s="18" t="s">
        <v>212</v>
      </c>
      <c r="BD62" s="18" t="s">
        <v>83</v>
      </c>
      <c r="BE62" s="23" t="s">
        <v>86</v>
      </c>
      <c r="BF62" s="18" t="str">
        <f t="shared" si="19"/>
        <v>Sangat baik</v>
      </c>
      <c r="BG62" s="23"/>
      <c r="BH62" s="23"/>
      <c r="BI62" s="23"/>
      <c r="BJ62" s="23"/>
      <c r="BK62" s="18"/>
    </row>
    <row r="63" spans="1:63" ht="38.25" customHeight="1" x14ac:dyDescent="0.25">
      <c r="A63" s="23">
        <v>62</v>
      </c>
      <c r="B63" s="23">
        <v>2526039</v>
      </c>
      <c r="C63" s="23" t="s">
        <v>1507</v>
      </c>
      <c r="D63" s="135" t="s">
        <v>1508</v>
      </c>
      <c r="E63" s="23" t="s">
        <v>1456</v>
      </c>
      <c r="F63" s="135" t="s">
        <v>1381</v>
      </c>
      <c r="G63" s="137" t="s">
        <v>1457</v>
      </c>
      <c r="H63" s="24" t="s">
        <v>1458</v>
      </c>
      <c r="I63" s="60" t="s">
        <v>76</v>
      </c>
      <c r="J63" s="61" t="s">
        <v>77</v>
      </c>
      <c r="K63" s="61" t="s">
        <v>78</v>
      </c>
      <c r="L63" s="61" t="s">
        <v>79</v>
      </c>
      <c r="M63" s="23">
        <v>84</v>
      </c>
      <c r="N63" s="18" t="str">
        <f t="shared" si="0"/>
        <v>Mencapai kompetensi dengan baik dalam hal</v>
      </c>
      <c r="O63" s="23">
        <v>82</v>
      </c>
      <c r="P63" s="18" t="str">
        <f t="shared" si="1"/>
        <v>Mencapai kompetensi dengan baik dalam hal</v>
      </c>
      <c r="Q63" s="23">
        <v>83</v>
      </c>
      <c r="R63" s="18" t="str">
        <f t="shared" si="2"/>
        <v>Mencapai kompetensi dengan baik dalam hal</v>
      </c>
      <c r="S63" s="23">
        <v>82</v>
      </c>
      <c r="T63" s="18" t="str">
        <f t="shared" si="3"/>
        <v>Mencapai kompetensi dengan baik dalam hal</v>
      </c>
      <c r="U63" s="23">
        <v>86</v>
      </c>
      <c r="V63" s="18" t="str">
        <f t="shared" si="4"/>
        <v>Mencapai kompetensi dengan baik dalam hal</v>
      </c>
      <c r="W63" s="23">
        <v>83</v>
      </c>
      <c r="X63" s="18" t="str">
        <f t="shared" si="5"/>
        <v>Mencapai kompetensi dengan baik dalam hal</v>
      </c>
      <c r="Y63" s="23">
        <v>80</v>
      </c>
      <c r="Z63" s="18" t="str">
        <f t="shared" si="6"/>
        <v>Mencapai kompetensi dengan baik dalam hal</v>
      </c>
      <c r="AA63" s="23">
        <v>81</v>
      </c>
      <c r="AB63" s="18" t="str">
        <f t="shared" si="17"/>
        <v>Mencapai kompetensi dengan baik dalam hal</v>
      </c>
      <c r="AC63" s="23">
        <v>84</v>
      </c>
      <c r="AD63" s="18" t="str">
        <f t="shared" si="7"/>
        <v>Mencapai kompetensi dengan baik dalam hal</v>
      </c>
      <c r="AE63" s="23">
        <v>81</v>
      </c>
      <c r="AF63" s="18" t="str">
        <f t="shared" si="8"/>
        <v>Mencapai kompetensi dengan baik dalam hal</v>
      </c>
      <c r="AG63" s="23">
        <v>85</v>
      </c>
      <c r="AH63" s="18" t="str">
        <f t="shared" si="9"/>
        <v>Mencapai kompetensi dengan baik dalam hal</v>
      </c>
      <c r="AI63" s="23">
        <v>86</v>
      </c>
      <c r="AJ63" s="18" t="str">
        <f t="shared" si="10"/>
        <v>Mencapai kompetensi dengan baik dalam hal</v>
      </c>
      <c r="AK63" s="23">
        <v>86</v>
      </c>
      <c r="AL63" s="18" t="str">
        <f t="shared" si="11"/>
        <v>Mencapai kompetensi dengan baik dalam hal</v>
      </c>
      <c r="AM63" s="23">
        <v>86</v>
      </c>
      <c r="AN63" s="18" t="str">
        <f t="shared" si="12"/>
        <v>Mencapai kompetensi dengan baik dalam hal</v>
      </c>
      <c r="AO63" s="62">
        <f t="shared" si="18"/>
        <v>85.75</v>
      </c>
      <c r="AP63" s="23">
        <v>84</v>
      </c>
      <c r="AQ63" s="18" t="str">
        <f t="shared" si="13"/>
        <v>Mencapai kompetensi dengan baik dalam hal</v>
      </c>
      <c r="AR63" s="23">
        <v>80</v>
      </c>
      <c r="AS63" s="18" t="str">
        <f t="shared" si="14"/>
        <v>Mencapai kompetensi dengan baik dalam hal</v>
      </c>
      <c r="AT63" s="113" t="s">
        <v>81</v>
      </c>
      <c r="AU63" s="113" t="s">
        <v>81</v>
      </c>
      <c r="AV63" s="113" t="s">
        <v>81</v>
      </c>
      <c r="AW63" s="23">
        <v>1</v>
      </c>
      <c r="AX63" s="23" t="s">
        <v>82</v>
      </c>
      <c r="AY63" s="18" t="s">
        <v>83</v>
      </c>
      <c r="AZ63" s="23" t="s">
        <v>86</v>
      </c>
      <c r="BA63" s="18" t="str">
        <f t="shared" si="20"/>
        <v>Sangat baik</v>
      </c>
      <c r="BB63" s="23">
        <v>2</v>
      </c>
      <c r="BC63" s="18" t="s">
        <v>85</v>
      </c>
      <c r="BD63" s="18" t="s">
        <v>83</v>
      </c>
      <c r="BE63" s="23" t="s">
        <v>86</v>
      </c>
      <c r="BF63" s="18" t="str">
        <f t="shared" si="19"/>
        <v>Sangat baik</v>
      </c>
      <c r="BG63" s="23">
        <v>3</v>
      </c>
      <c r="BH63" s="23" t="s">
        <v>87</v>
      </c>
      <c r="BI63" s="23" t="s">
        <v>83</v>
      </c>
      <c r="BJ63" s="23" t="s">
        <v>84</v>
      </c>
      <c r="BK63" s="18" t="str">
        <f>VLOOKUP(BJ63,grades4,2,TRUE)</f>
        <v>Baik</v>
      </c>
    </row>
    <row r="64" spans="1:63" ht="38.25" customHeight="1" x14ac:dyDescent="0.25">
      <c r="A64" s="23">
        <v>63</v>
      </c>
      <c r="B64" s="23">
        <v>2526040</v>
      </c>
      <c r="C64" s="23" t="s">
        <v>1509</v>
      </c>
      <c r="D64" s="135" t="s">
        <v>1510</v>
      </c>
      <c r="E64" s="23" t="s">
        <v>1456</v>
      </c>
      <c r="F64" s="135" t="s">
        <v>1381</v>
      </c>
      <c r="G64" s="137" t="s">
        <v>1457</v>
      </c>
      <c r="H64" s="24" t="s">
        <v>1458</v>
      </c>
      <c r="I64" s="60" t="s">
        <v>76</v>
      </c>
      <c r="J64" s="61" t="s">
        <v>77</v>
      </c>
      <c r="K64" s="61" t="s">
        <v>78</v>
      </c>
      <c r="L64" s="61" t="s">
        <v>79</v>
      </c>
      <c r="M64" s="23">
        <v>84</v>
      </c>
      <c r="N64" s="18" t="str">
        <f t="shared" si="0"/>
        <v>Mencapai kompetensi dengan baik dalam hal</v>
      </c>
      <c r="O64" s="23">
        <v>82</v>
      </c>
      <c r="P64" s="18" t="str">
        <f t="shared" si="1"/>
        <v>Mencapai kompetensi dengan baik dalam hal</v>
      </c>
      <c r="Q64" s="23">
        <v>83</v>
      </c>
      <c r="R64" s="18" t="str">
        <f t="shared" si="2"/>
        <v>Mencapai kompetensi dengan baik dalam hal</v>
      </c>
      <c r="S64" s="23">
        <v>85</v>
      </c>
      <c r="T64" s="18" t="str">
        <f t="shared" si="3"/>
        <v>Mencapai kompetensi dengan baik dalam hal</v>
      </c>
      <c r="U64" s="23">
        <v>86</v>
      </c>
      <c r="V64" s="18" t="str">
        <f t="shared" si="4"/>
        <v>Mencapai kompetensi dengan baik dalam hal</v>
      </c>
      <c r="W64" s="23">
        <v>82</v>
      </c>
      <c r="X64" s="18" t="str">
        <f t="shared" si="5"/>
        <v>Mencapai kompetensi dengan baik dalam hal</v>
      </c>
      <c r="Y64" s="23">
        <v>81</v>
      </c>
      <c r="Z64" s="18" t="str">
        <f t="shared" si="6"/>
        <v>Mencapai kompetensi dengan baik dalam hal</v>
      </c>
      <c r="AA64" s="23">
        <v>82</v>
      </c>
      <c r="AB64" s="18" t="str">
        <f t="shared" si="17"/>
        <v>Mencapai kompetensi dengan baik dalam hal</v>
      </c>
      <c r="AC64" s="23">
        <v>85</v>
      </c>
      <c r="AD64" s="18" t="str">
        <f t="shared" si="7"/>
        <v>Mencapai kompetensi dengan baik dalam hal</v>
      </c>
      <c r="AE64" s="23">
        <v>87</v>
      </c>
      <c r="AF64" s="18" t="str">
        <f t="shared" si="8"/>
        <v>Mencapai kompetensi dengan baik dalam hal</v>
      </c>
      <c r="AG64" s="23">
        <v>85</v>
      </c>
      <c r="AH64" s="18" t="str">
        <f t="shared" si="9"/>
        <v>Mencapai kompetensi dengan baik dalam hal</v>
      </c>
      <c r="AI64" s="23">
        <v>85</v>
      </c>
      <c r="AJ64" s="18" t="str">
        <f t="shared" si="10"/>
        <v>Mencapai kompetensi dengan baik dalam hal</v>
      </c>
      <c r="AK64" s="23">
        <v>86</v>
      </c>
      <c r="AL64" s="18" t="str">
        <f t="shared" si="11"/>
        <v>Mencapai kompetensi dengan baik dalam hal</v>
      </c>
      <c r="AM64" s="23">
        <v>84</v>
      </c>
      <c r="AN64" s="18" t="str">
        <f t="shared" si="12"/>
        <v>Mencapai kompetensi dengan baik dalam hal</v>
      </c>
      <c r="AO64" s="62">
        <f t="shared" si="18"/>
        <v>85</v>
      </c>
      <c r="AP64" s="23">
        <v>85</v>
      </c>
      <c r="AQ64" s="18" t="str">
        <f t="shared" si="13"/>
        <v>Mencapai kompetensi dengan baik dalam hal</v>
      </c>
      <c r="AR64" s="23">
        <v>80</v>
      </c>
      <c r="AS64" s="18" t="str">
        <f t="shared" si="14"/>
        <v>Mencapai kompetensi dengan baik dalam hal</v>
      </c>
      <c r="AT64" s="113">
        <v>3</v>
      </c>
      <c r="AU64" s="113" t="s">
        <v>81</v>
      </c>
      <c r="AV64" s="113" t="s">
        <v>81</v>
      </c>
      <c r="AW64" s="23">
        <v>1</v>
      </c>
      <c r="AX64" s="23" t="s">
        <v>82</v>
      </c>
      <c r="AY64" s="18" t="s">
        <v>83</v>
      </c>
      <c r="AZ64" s="23" t="s">
        <v>86</v>
      </c>
      <c r="BA64" s="18" t="str">
        <f t="shared" si="20"/>
        <v>Sangat baik</v>
      </c>
      <c r="BB64" s="23">
        <v>2</v>
      </c>
      <c r="BC64" s="18" t="s">
        <v>429</v>
      </c>
      <c r="BD64" s="18" t="s">
        <v>83</v>
      </c>
      <c r="BE64" s="23" t="s">
        <v>86</v>
      </c>
      <c r="BF64" s="18" t="str">
        <f t="shared" si="19"/>
        <v>Sangat baik</v>
      </c>
      <c r="BG64" s="23"/>
      <c r="BH64" s="23"/>
      <c r="BI64" s="23"/>
      <c r="BJ64" s="23"/>
      <c r="BK64" s="18"/>
    </row>
    <row r="65" spans="1:63" ht="38.25" customHeight="1" x14ac:dyDescent="0.25">
      <c r="A65" s="23">
        <v>64</v>
      </c>
      <c r="B65" s="23">
        <v>2526041</v>
      </c>
      <c r="C65" s="23" t="s">
        <v>1511</v>
      </c>
      <c r="D65" s="135" t="s">
        <v>1512</v>
      </c>
      <c r="E65" s="23" t="s">
        <v>1456</v>
      </c>
      <c r="F65" s="135" t="s">
        <v>1381</v>
      </c>
      <c r="G65" s="137" t="s">
        <v>1457</v>
      </c>
      <c r="H65" s="24" t="s">
        <v>1458</v>
      </c>
      <c r="I65" s="60" t="s">
        <v>76</v>
      </c>
      <c r="J65" s="61" t="s">
        <v>77</v>
      </c>
      <c r="K65" s="61" t="s">
        <v>78</v>
      </c>
      <c r="L65" s="61" t="s">
        <v>79</v>
      </c>
      <c r="M65" s="23">
        <v>77</v>
      </c>
      <c r="N65" s="18" t="str">
        <f t="shared" si="0"/>
        <v>Mencapai kompetensi dengan baik dalam hal</v>
      </c>
      <c r="O65" s="23">
        <v>76</v>
      </c>
      <c r="P65" s="18" t="str">
        <f t="shared" si="1"/>
        <v>Mencapai kompetensi dengan baik dalam hal</v>
      </c>
      <c r="Q65" s="23">
        <v>80</v>
      </c>
      <c r="R65" s="18" t="str">
        <f t="shared" si="2"/>
        <v>Mencapai kompetensi dengan baik dalam hal</v>
      </c>
      <c r="S65" s="23">
        <v>80</v>
      </c>
      <c r="T65" s="18" t="str">
        <f t="shared" si="3"/>
        <v>Mencapai kompetensi dengan baik dalam hal</v>
      </c>
      <c r="U65" s="23">
        <v>72</v>
      </c>
      <c r="V65" s="18" t="str">
        <f t="shared" si="4"/>
        <v>Perlu peningkatan dalam hal</v>
      </c>
      <c r="W65" s="23">
        <v>77</v>
      </c>
      <c r="X65" s="18" t="str">
        <f t="shared" si="5"/>
        <v>Mencapai kompetensi dengan baik dalam hal</v>
      </c>
      <c r="Y65" s="23">
        <v>75</v>
      </c>
      <c r="Z65" s="18" t="str">
        <f t="shared" si="6"/>
        <v>Mencapai kompetensi dengan baik dalam hal</v>
      </c>
      <c r="AA65" s="23">
        <v>75</v>
      </c>
      <c r="AB65" s="18" t="str">
        <f t="shared" si="17"/>
        <v>Mencapai kompetensi dengan baik dalam hal</v>
      </c>
      <c r="AC65" s="23">
        <v>81</v>
      </c>
      <c r="AD65" s="18" t="str">
        <f t="shared" si="7"/>
        <v>Mencapai kompetensi dengan baik dalam hal</v>
      </c>
      <c r="AE65" s="23">
        <v>78</v>
      </c>
      <c r="AF65" s="18" t="str">
        <f t="shared" si="8"/>
        <v>Mencapai kompetensi dengan baik dalam hal</v>
      </c>
      <c r="AG65" s="23">
        <v>78</v>
      </c>
      <c r="AH65" s="18" t="str">
        <f t="shared" si="9"/>
        <v>Mencapai kompetensi dengan baik dalam hal</v>
      </c>
      <c r="AI65" s="23">
        <v>70</v>
      </c>
      <c r="AJ65" s="18" t="str">
        <f t="shared" si="10"/>
        <v>Perlu peningkatan dalam hal</v>
      </c>
      <c r="AK65" s="23">
        <v>78</v>
      </c>
      <c r="AL65" s="18" t="str">
        <f t="shared" si="11"/>
        <v>Mencapai kompetensi dengan baik dalam hal</v>
      </c>
      <c r="AM65" s="23">
        <v>75</v>
      </c>
      <c r="AN65" s="18" t="str">
        <f t="shared" si="12"/>
        <v>Perlu peningkatan dalam hal</v>
      </c>
      <c r="AO65" s="62">
        <f t="shared" si="18"/>
        <v>75.25</v>
      </c>
      <c r="AP65" s="23">
        <v>81</v>
      </c>
      <c r="AQ65" s="18" t="str">
        <f t="shared" si="13"/>
        <v>Mencapai kompetensi dengan baik dalam hal</v>
      </c>
      <c r="AR65" s="23">
        <v>78</v>
      </c>
      <c r="AS65" s="18" t="str">
        <f t="shared" si="14"/>
        <v>Mencapai kompetensi dengan baik dalam hal</v>
      </c>
      <c r="AT65" s="113">
        <v>2</v>
      </c>
      <c r="AU65" s="113" t="s">
        <v>81</v>
      </c>
      <c r="AV65" s="113">
        <v>1</v>
      </c>
      <c r="AW65" s="23">
        <v>1</v>
      </c>
      <c r="AX65" s="23" t="s">
        <v>82</v>
      </c>
      <c r="AY65" s="18" t="s">
        <v>83</v>
      </c>
      <c r="AZ65" s="23" t="s">
        <v>104</v>
      </c>
      <c r="BA65" s="18" t="str">
        <f t="shared" si="20"/>
        <v>Cukup</v>
      </c>
      <c r="BB65" s="23">
        <v>2</v>
      </c>
      <c r="BC65" s="18" t="s">
        <v>212</v>
      </c>
      <c r="BD65" s="18" t="s">
        <v>83</v>
      </c>
      <c r="BE65" s="23" t="s">
        <v>104</v>
      </c>
      <c r="BF65" s="18" t="str">
        <f t="shared" si="19"/>
        <v>Cukup</v>
      </c>
      <c r="BG65" s="23"/>
      <c r="BH65" s="23"/>
      <c r="BI65" s="23"/>
      <c r="BJ65" s="23"/>
      <c r="BK65" s="18"/>
    </row>
    <row r="66" spans="1:63" ht="38.25" customHeight="1" x14ac:dyDescent="0.25">
      <c r="A66" s="23">
        <v>65</v>
      </c>
      <c r="B66" s="23">
        <v>2526042</v>
      </c>
      <c r="C66" s="23" t="s">
        <v>1513</v>
      </c>
      <c r="D66" s="135" t="s">
        <v>1514</v>
      </c>
      <c r="E66" s="23" t="s">
        <v>1456</v>
      </c>
      <c r="F66" s="135" t="s">
        <v>1381</v>
      </c>
      <c r="G66" s="137" t="s">
        <v>1457</v>
      </c>
      <c r="H66" s="24" t="s">
        <v>1458</v>
      </c>
      <c r="I66" s="60" t="s">
        <v>76</v>
      </c>
      <c r="J66" s="61" t="s">
        <v>77</v>
      </c>
      <c r="K66" s="61" t="s">
        <v>78</v>
      </c>
      <c r="L66" s="61" t="s">
        <v>79</v>
      </c>
      <c r="M66" s="23">
        <v>84</v>
      </c>
      <c r="N66" s="18" t="str">
        <f t="shared" si="0"/>
        <v>Mencapai kompetensi dengan baik dalam hal</v>
      </c>
      <c r="O66" s="23">
        <v>80</v>
      </c>
      <c r="P66" s="18" t="str">
        <f t="shared" si="1"/>
        <v>Mencapai kompetensi dengan baik dalam hal</v>
      </c>
      <c r="Q66" s="23">
        <v>81</v>
      </c>
      <c r="R66" s="18" t="str">
        <f t="shared" si="2"/>
        <v>Mencapai kompetensi dengan baik dalam hal</v>
      </c>
      <c r="S66" s="23">
        <v>80</v>
      </c>
      <c r="T66" s="18" t="str">
        <f t="shared" si="3"/>
        <v>Mencapai kompetensi dengan baik dalam hal</v>
      </c>
      <c r="U66" s="23">
        <v>86</v>
      </c>
      <c r="V66" s="18" t="str">
        <f t="shared" si="4"/>
        <v>Mencapai kompetensi dengan baik dalam hal</v>
      </c>
      <c r="W66" s="23">
        <v>82</v>
      </c>
      <c r="X66" s="18" t="str">
        <f t="shared" si="5"/>
        <v>Mencapai kompetensi dengan baik dalam hal</v>
      </c>
      <c r="Y66" s="23">
        <v>77</v>
      </c>
      <c r="Z66" s="18" t="str">
        <f t="shared" si="6"/>
        <v>Mencapai kompetensi dengan baik dalam hal</v>
      </c>
      <c r="AA66" s="23">
        <v>79</v>
      </c>
      <c r="AB66" s="18" t="str">
        <f t="shared" si="17"/>
        <v>Mencapai kompetensi dengan baik dalam hal</v>
      </c>
      <c r="AC66" s="23">
        <v>82</v>
      </c>
      <c r="AD66" s="18" t="str">
        <f t="shared" si="7"/>
        <v>Mencapai kompetensi dengan baik dalam hal</v>
      </c>
      <c r="AE66" s="23">
        <v>85</v>
      </c>
      <c r="AF66" s="18" t="str">
        <f t="shared" si="8"/>
        <v>Mencapai kompetensi dengan baik dalam hal</v>
      </c>
      <c r="AG66" s="23">
        <v>78</v>
      </c>
      <c r="AH66" s="18" t="str">
        <f t="shared" ref="AH66:AH73" si="21">VLOOKUP(AG66,grades2,2,TRUE)</f>
        <v>Mencapai kompetensi dengan baik dalam hal</v>
      </c>
      <c r="AI66" s="23">
        <v>83</v>
      </c>
      <c r="AJ66" s="18" t="str">
        <f t="shared" ref="AJ66:AJ73" si="22">VLOOKUP(AI66,grades2,2,TRUE)</f>
        <v>Mencapai kompetensi dengan baik dalam hal</v>
      </c>
      <c r="AK66" s="23">
        <v>81</v>
      </c>
      <c r="AL66" s="18" t="str">
        <f t="shared" ref="AL66:AL73" si="23">VLOOKUP(AK66,grades2,2,TRUE)</f>
        <v>Mencapai kompetensi dengan baik dalam hal</v>
      </c>
      <c r="AM66" s="23">
        <v>81</v>
      </c>
      <c r="AN66" s="18" t="str">
        <f t="shared" ref="AN66:AN73" si="24">VLOOKUP(AM66,grades2,2,TRUE)</f>
        <v>Mencapai kompetensi dengan baik dalam hal</v>
      </c>
      <c r="AO66" s="62">
        <f t="shared" si="18"/>
        <v>80.75</v>
      </c>
      <c r="AP66" s="23">
        <v>82</v>
      </c>
      <c r="AQ66" s="18" t="str">
        <f t="shared" ref="AQ66:AQ73" si="25">VLOOKUP(AP66,grades2,2,TRUE)</f>
        <v>Mencapai kompetensi dengan baik dalam hal</v>
      </c>
      <c r="AR66" s="23">
        <v>79</v>
      </c>
      <c r="AS66" s="18" t="str">
        <f t="shared" si="14"/>
        <v>Mencapai kompetensi dengan baik dalam hal</v>
      </c>
      <c r="AT66" s="113" t="s">
        <v>81</v>
      </c>
      <c r="AU66" s="113" t="s">
        <v>81</v>
      </c>
      <c r="AV66" s="113" t="s">
        <v>81</v>
      </c>
      <c r="AW66" s="23">
        <v>1</v>
      </c>
      <c r="AX66" s="23" t="s">
        <v>82</v>
      </c>
      <c r="AY66" s="18" t="s">
        <v>83</v>
      </c>
      <c r="AZ66" s="23" t="s">
        <v>84</v>
      </c>
      <c r="BA66" s="18" t="str">
        <f t="shared" ref="BA66:BA73" si="26">VLOOKUP(AZ66,grades4,2,TRUE)</f>
        <v>Baik</v>
      </c>
      <c r="BB66" s="23">
        <v>2</v>
      </c>
      <c r="BC66" s="18" t="s">
        <v>116</v>
      </c>
      <c r="BD66" s="18" t="s">
        <v>83</v>
      </c>
      <c r="BE66" s="23" t="s">
        <v>86</v>
      </c>
      <c r="BF66" s="18" t="str">
        <f t="shared" si="19"/>
        <v>Sangat baik</v>
      </c>
      <c r="BG66" s="23"/>
      <c r="BH66" s="23"/>
      <c r="BI66" s="23"/>
      <c r="BJ66" s="23"/>
      <c r="BK66" s="18"/>
    </row>
    <row r="67" spans="1:63" ht="38.25" customHeight="1" x14ac:dyDescent="0.25">
      <c r="A67" s="23">
        <v>66</v>
      </c>
      <c r="B67" s="23">
        <v>2526043</v>
      </c>
      <c r="C67" s="23" t="s">
        <v>1515</v>
      </c>
      <c r="D67" s="135" t="s">
        <v>1516</v>
      </c>
      <c r="E67" s="23" t="s">
        <v>1456</v>
      </c>
      <c r="F67" s="135" t="s">
        <v>1381</v>
      </c>
      <c r="G67" s="137" t="s">
        <v>1457</v>
      </c>
      <c r="H67" s="24" t="s">
        <v>1458</v>
      </c>
      <c r="I67" s="60" t="s">
        <v>76</v>
      </c>
      <c r="J67" s="61" t="s">
        <v>77</v>
      </c>
      <c r="K67" s="61" t="s">
        <v>78</v>
      </c>
      <c r="L67" s="61" t="s">
        <v>79</v>
      </c>
      <c r="M67" s="23">
        <v>80</v>
      </c>
      <c r="N67" s="18" t="str">
        <f t="shared" si="0"/>
        <v>Mencapai kompetensi dengan baik dalam hal</v>
      </c>
      <c r="O67" s="23">
        <v>77</v>
      </c>
      <c r="P67" s="18" t="str">
        <f t="shared" si="1"/>
        <v>Mencapai kompetensi dengan baik dalam hal</v>
      </c>
      <c r="Q67" s="23">
        <v>81</v>
      </c>
      <c r="R67" s="18" t="str">
        <f t="shared" si="2"/>
        <v>Mencapai kompetensi dengan baik dalam hal</v>
      </c>
      <c r="S67" s="23">
        <v>85</v>
      </c>
      <c r="T67" s="18" t="str">
        <f t="shared" si="3"/>
        <v>Mencapai kompetensi dengan baik dalam hal</v>
      </c>
      <c r="U67" s="23">
        <v>86</v>
      </c>
      <c r="V67" s="18" t="str">
        <f t="shared" si="4"/>
        <v>Mencapai kompetensi dengan baik dalam hal</v>
      </c>
      <c r="W67" s="23">
        <v>80</v>
      </c>
      <c r="X67" s="18" t="str">
        <f t="shared" si="5"/>
        <v>Mencapai kompetensi dengan baik dalam hal</v>
      </c>
      <c r="Y67" s="23">
        <v>78</v>
      </c>
      <c r="Z67" s="18" t="str">
        <f t="shared" si="6"/>
        <v>Mencapai kompetensi dengan baik dalam hal</v>
      </c>
      <c r="AA67" s="23">
        <v>78</v>
      </c>
      <c r="AB67" s="18" t="str">
        <f t="shared" si="17"/>
        <v>Mencapai kompetensi dengan baik dalam hal</v>
      </c>
      <c r="AC67" s="23">
        <v>83</v>
      </c>
      <c r="AD67" s="18" t="str">
        <f t="shared" si="7"/>
        <v>Mencapai kompetensi dengan baik dalam hal</v>
      </c>
      <c r="AE67" s="23">
        <v>83</v>
      </c>
      <c r="AF67" s="18" t="str">
        <f t="shared" si="8"/>
        <v>Mencapai kompetensi dengan baik dalam hal</v>
      </c>
      <c r="AG67" s="23">
        <v>85</v>
      </c>
      <c r="AH67" s="18" t="str">
        <f t="shared" si="21"/>
        <v>Mencapai kompetensi dengan baik dalam hal</v>
      </c>
      <c r="AI67" s="23">
        <v>78</v>
      </c>
      <c r="AJ67" s="18" t="str">
        <f t="shared" si="22"/>
        <v>Mencapai kompetensi dengan baik dalam hal</v>
      </c>
      <c r="AK67" s="23">
        <v>79</v>
      </c>
      <c r="AL67" s="18" t="str">
        <f t="shared" si="23"/>
        <v>Mencapai kompetensi dengan baik dalam hal</v>
      </c>
      <c r="AM67" s="23">
        <v>79</v>
      </c>
      <c r="AN67" s="18" t="str">
        <f t="shared" si="24"/>
        <v>Mencapai kompetensi dengan baik dalam hal</v>
      </c>
      <c r="AO67" s="62">
        <f t="shared" ref="AO67:AO73" si="27">AVERAGE(AM67,AK67,AI67,AG67)</f>
        <v>80.25</v>
      </c>
      <c r="AP67" s="23">
        <v>83</v>
      </c>
      <c r="AQ67" s="18" t="str">
        <f t="shared" si="25"/>
        <v>Mencapai kompetensi dengan baik dalam hal</v>
      </c>
      <c r="AR67" s="23">
        <v>79</v>
      </c>
      <c r="AS67" s="18" t="str">
        <f t="shared" si="14"/>
        <v>Mencapai kompetensi dengan baik dalam hal</v>
      </c>
      <c r="AT67" s="113" t="s">
        <v>81</v>
      </c>
      <c r="AU67" s="113" t="s">
        <v>81</v>
      </c>
      <c r="AV67" s="113" t="s">
        <v>81</v>
      </c>
      <c r="AW67" s="23">
        <v>1</v>
      </c>
      <c r="AX67" s="23" t="s">
        <v>82</v>
      </c>
      <c r="AY67" s="18" t="s">
        <v>83</v>
      </c>
      <c r="AZ67" s="23" t="s">
        <v>86</v>
      </c>
      <c r="BA67" s="18" t="str">
        <f t="shared" si="26"/>
        <v>Sangat baik</v>
      </c>
      <c r="BB67" s="23">
        <v>2</v>
      </c>
      <c r="BC67" s="18" t="s">
        <v>99</v>
      </c>
      <c r="BD67" s="18" t="s">
        <v>83</v>
      </c>
      <c r="BE67" s="23" t="s">
        <v>84</v>
      </c>
      <c r="BF67" s="18" t="str">
        <f t="shared" si="19"/>
        <v>Baik</v>
      </c>
      <c r="BG67" s="23"/>
      <c r="BH67" s="23"/>
      <c r="BI67" s="23"/>
      <c r="BJ67" s="23"/>
      <c r="BK67" s="18"/>
    </row>
    <row r="68" spans="1:63" ht="38.25" customHeight="1" x14ac:dyDescent="0.25">
      <c r="A68" s="23">
        <v>67</v>
      </c>
      <c r="B68" s="23">
        <v>2526044</v>
      </c>
      <c r="C68" s="23" t="s">
        <v>1517</v>
      </c>
      <c r="D68" s="135" t="s">
        <v>1518</v>
      </c>
      <c r="E68" s="23" t="s">
        <v>1456</v>
      </c>
      <c r="F68" s="135" t="s">
        <v>1381</v>
      </c>
      <c r="G68" s="137" t="s">
        <v>1457</v>
      </c>
      <c r="H68" s="24" t="s">
        <v>1458</v>
      </c>
      <c r="I68" s="60" t="s">
        <v>76</v>
      </c>
      <c r="J68" s="61" t="s">
        <v>77</v>
      </c>
      <c r="K68" s="61" t="s">
        <v>78</v>
      </c>
      <c r="L68" s="61" t="s">
        <v>79</v>
      </c>
      <c r="M68" s="23">
        <v>81</v>
      </c>
      <c r="N68" s="18" t="str">
        <f t="shared" si="0"/>
        <v>Mencapai kompetensi dengan baik dalam hal</v>
      </c>
      <c r="O68" s="23">
        <v>78</v>
      </c>
      <c r="P68" s="18" t="str">
        <f t="shared" si="1"/>
        <v>Mencapai kompetensi dengan baik dalam hal</v>
      </c>
      <c r="Q68" s="23">
        <v>83</v>
      </c>
      <c r="R68" s="18" t="str">
        <f t="shared" si="2"/>
        <v>Mencapai kompetensi dengan baik dalam hal</v>
      </c>
      <c r="S68" s="23">
        <v>85</v>
      </c>
      <c r="T68" s="18" t="str">
        <f t="shared" si="3"/>
        <v>Mencapai kompetensi dengan baik dalam hal</v>
      </c>
      <c r="U68" s="23">
        <v>87</v>
      </c>
      <c r="V68" s="18" t="str">
        <f t="shared" si="4"/>
        <v>Mencapai kompetensi dengan baik dalam hal</v>
      </c>
      <c r="W68" s="23">
        <v>81</v>
      </c>
      <c r="X68" s="18" t="str">
        <f t="shared" si="5"/>
        <v>Mencapai kompetensi dengan baik dalam hal</v>
      </c>
      <c r="Y68" s="23">
        <v>81</v>
      </c>
      <c r="Z68" s="18" t="str">
        <f t="shared" si="6"/>
        <v>Mencapai kompetensi dengan baik dalam hal</v>
      </c>
      <c r="AA68" s="23">
        <v>80</v>
      </c>
      <c r="AB68" s="18" t="str">
        <f t="shared" si="17"/>
        <v>Mencapai kompetensi dengan baik dalam hal</v>
      </c>
      <c r="AC68" s="23">
        <v>82</v>
      </c>
      <c r="AD68" s="18" t="str">
        <f t="shared" si="7"/>
        <v>Mencapai kompetensi dengan baik dalam hal</v>
      </c>
      <c r="AE68" s="23">
        <v>84</v>
      </c>
      <c r="AF68" s="18" t="str">
        <f t="shared" si="8"/>
        <v>Mencapai kompetensi dengan baik dalam hal</v>
      </c>
      <c r="AG68" s="23">
        <v>85</v>
      </c>
      <c r="AH68" s="18" t="str">
        <f t="shared" si="21"/>
        <v>Mencapai kompetensi dengan baik dalam hal</v>
      </c>
      <c r="AI68" s="23">
        <v>85</v>
      </c>
      <c r="AJ68" s="18" t="str">
        <f t="shared" si="22"/>
        <v>Mencapai kompetensi dengan baik dalam hal</v>
      </c>
      <c r="AK68" s="23">
        <v>83</v>
      </c>
      <c r="AL68" s="18" t="str">
        <f t="shared" si="23"/>
        <v>Mencapai kompetensi dengan baik dalam hal</v>
      </c>
      <c r="AM68" s="23">
        <v>83</v>
      </c>
      <c r="AN68" s="18" t="str">
        <f t="shared" si="24"/>
        <v>Mencapai kompetensi dengan baik dalam hal</v>
      </c>
      <c r="AO68" s="62">
        <f t="shared" si="27"/>
        <v>84</v>
      </c>
      <c r="AP68" s="23">
        <v>82</v>
      </c>
      <c r="AQ68" s="18" t="str">
        <f t="shared" si="25"/>
        <v>Mencapai kompetensi dengan baik dalam hal</v>
      </c>
      <c r="AR68" s="23">
        <v>80</v>
      </c>
      <c r="AS68" s="18" t="str">
        <f t="shared" si="14"/>
        <v>Mencapai kompetensi dengan baik dalam hal</v>
      </c>
      <c r="AT68" s="113" t="s">
        <v>81</v>
      </c>
      <c r="AU68" s="113" t="s">
        <v>81</v>
      </c>
      <c r="AV68" s="113" t="s">
        <v>81</v>
      </c>
      <c r="AW68" s="23">
        <v>1</v>
      </c>
      <c r="AX68" s="23" t="s">
        <v>82</v>
      </c>
      <c r="AY68" s="18" t="s">
        <v>83</v>
      </c>
      <c r="AZ68" s="23" t="s">
        <v>86</v>
      </c>
      <c r="BA68" s="18" t="str">
        <f t="shared" si="26"/>
        <v>Sangat baik</v>
      </c>
      <c r="BB68" s="23">
        <v>2</v>
      </c>
      <c r="BC68" s="18" t="s">
        <v>429</v>
      </c>
      <c r="BD68" s="18" t="s">
        <v>83</v>
      </c>
      <c r="BE68" s="23" t="s">
        <v>86</v>
      </c>
      <c r="BF68" s="18" t="str">
        <f t="shared" si="19"/>
        <v>Sangat baik</v>
      </c>
      <c r="BG68" s="23"/>
      <c r="BH68" s="23"/>
      <c r="BI68" s="23"/>
      <c r="BJ68" s="23"/>
      <c r="BK68" s="18"/>
    </row>
    <row r="69" spans="1:63" ht="38.25" customHeight="1" x14ac:dyDescent="0.25">
      <c r="A69" s="23">
        <v>68</v>
      </c>
      <c r="B69" s="23">
        <v>2526045</v>
      </c>
      <c r="C69" s="23" t="s">
        <v>1519</v>
      </c>
      <c r="D69" s="135" t="s">
        <v>1520</v>
      </c>
      <c r="E69" s="23" t="s">
        <v>1456</v>
      </c>
      <c r="F69" s="135" t="s">
        <v>1381</v>
      </c>
      <c r="G69" s="137" t="s">
        <v>1457</v>
      </c>
      <c r="H69" s="24" t="s">
        <v>1458</v>
      </c>
      <c r="I69" s="60" t="s">
        <v>76</v>
      </c>
      <c r="J69" s="61" t="s">
        <v>77</v>
      </c>
      <c r="K69" s="61" t="s">
        <v>78</v>
      </c>
      <c r="L69" s="61" t="s">
        <v>79</v>
      </c>
      <c r="M69" s="23">
        <v>80</v>
      </c>
      <c r="N69" s="18" t="str">
        <f t="shared" si="0"/>
        <v>Mencapai kompetensi dengan baik dalam hal</v>
      </c>
      <c r="O69" s="23">
        <v>77</v>
      </c>
      <c r="P69" s="18" t="str">
        <f t="shared" si="1"/>
        <v>Mencapai kompetensi dengan baik dalam hal</v>
      </c>
      <c r="Q69" s="23">
        <v>82</v>
      </c>
      <c r="R69" s="18" t="str">
        <f t="shared" si="2"/>
        <v>Mencapai kompetensi dengan baik dalam hal</v>
      </c>
      <c r="S69" s="23">
        <v>82</v>
      </c>
      <c r="T69" s="18" t="str">
        <f t="shared" si="3"/>
        <v>Mencapai kompetensi dengan baik dalam hal</v>
      </c>
      <c r="U69" s="23">
        <v>85</v>
      </c>
      <c r="V69" s="18" t="str">
        <f t="shared" si="4"/>
        <v>Mencapai kompetensi dengan baik dalam hal</v>
      </c>
      <c r="W69" s="23">
        <v>80</v>
      </c>
      <c r="X69" s="18" t="str">
        <f t="shared" si="5"/>
        <v>Mencapai kompetensi dengan baik dalam hal</v>
      </c>
      <c r="Y69" s="23">
        <v>79</v>
      </c>
      <c r="Z69" s="18" t="str">
        <f t="shared" si="6"/>
        <v>Mencapai kompetensi dengan baik dalam hal</v>
      </c>
      <c r="AA69" s="23">
        <v>80</v>
      </c>
      <c r="AB69" s="18" t="str">
        <f t="shared" si="17"/>
        <v>Mencapai kompetensi dengan baik dalam hal</v>
      </c>
      <c r="AC69" s="23">
        <v>83</v>
      </c>
      <c r="AD69" s="18" t="str">
        <f t="shared" si="7"/>
        <v>Mencapai kompetensi dengan baik dalam hal</v>
      </c>
      <c r="AE69" s="23">
        <v>81</v>
      </c>
      <c r="AF69" s="18" t="str">
        <f t="shared" si="8"/>
        <v>Mencapai kompetensi dengan baik dalam hal</v>
      </c>
      <c r="AG69" s="23">
        <v>85</v>
      </c>
      <c r="AH69" s="18" t="str">
        <f t="shared" si="21"/>
        <v>Mencapai kompetensi dengan baik dalam hal</v>
      </c>
      <c r="AI69" s="23">
        <v>83</v>
      </c>
      <c r="AJ69" s="18" t="str">
        <f t="shared" si="22"/>
        <v>Mencapai kompetensi dengan baik dalam hal</v>
      </c>
      <c r="AK69" s="23">
        <v>85</v>
      </c>
      <c r="AL69" s="18" t="str">
        <f t="shared" si="23"/>
        <v>Mencapai kompetensi dengan baik dalam hal</v>
      </c>
      <c r="AM69" s="23">
        <v>81</v>
      </c>
      <c r="AN69" s="18" t="str">
        <f t="shared" si="24"/>
        <v>Mencapai kompetensi dengan baik dalam hal</v>
      </c>
      <c r="AO69" s="62">
        <f t="shared" si="27"/>
        <v>83.5</v>
      </c>
      <c r="AP69" s="23">
        <v>83</v>
      </c>
      <c r="AQ69" s="18" t="str">
        <f t="shared" si="25"/>
        <v>Mencapai kompetensi dengan baik dalam hal</v>
      </c>
      <c r="AR69" s="23">
        <v>79</v>
      </c>
      <c r="AS69" s="18" t="str">
        <f t="shared" si="14"/>
        <v>Mencapai kompetensi dengan baik dalam hal</v>
      </c>
      <c r="AT69" s="113" t="s">
        <v>81</v>
      </c>
      <c r="AU69" s="113" t="s">
        <v>81</v>
      </c>
      <c r="AV69" s="113" t="s">
        <v>81</v>
      </c>
      <c r="AW69" s="23">
        <v>1</v>
      </c>
      <c r="AX69" s="23" t="s">
        <v>82</v>
      </c>
      <c r="AY69" s="18" t="s">
        <v>83</v>
      </c>
      <c r="AZ69" s="23" t="s">
        <v>86</v>
      </c>
      <c r="BA69" s="18" t="str">
        <f t="shared" si="26"/>
        <v>Sangat baik</v>
      </c>
      <c r="BB69" s="23">
        <v>2</v>
      </c>
      <c r="BC69" s="18" t="s">
        <v>170</v>
      </c>
      <c r="BD69" s="18" t="s">
        <v>83</v>
      </c>
      <c r="BE69" s="23" t="s">
        <v>84</v>
      </c>
      <c r="BF69" s="18" t="str">
        <f t="shared" si="19"/>
        <v>Baik</v>
      </c>
      <c r="BG69" s="23"/>
      <c r="BH69" s="23"/>
      <c r="BI69" s="23"/>
      <c r="BJ69" s="23"/>
      <c r="BK69" s="18"/>
    </row>
    <row r="70" spans="1:63" ht="38.25" customHeight="1" x14ac:dyDescent="0.25">
      <c r="A70" s="23">
        <v>69</v>
      </c>
      <c r="B70" s="23">
        <v>2526046</v>
      </c>
      <c r="C70" s="23" t="s">
        <v>1521</v>
      </c>
      <c r="D70" s="135" t="s">
        <v>1522</v>
      </c>
      <c r="E70" s="23" t="s">
        <v>1456</v>
      </c>
      <c r="F70" s="135" t="s">
        <v>1381</v>
      </c>
      <c r="G70" s="137" t="s">
        <v>1457</v>
      </c>
      <c r="H70" s="24" t="s">
        <v>1458</v>
      </c>
      <c r="I70" s="60" t="s">
        <v>76</v>
      </c>
      <c r="J70" s="61" t="s">
        <v>77</v>
      </c>
      <c r="K70" s="61" t="s">
        <v>78</v>
      </c>
      <c r="L70" s="61" t="s">
        <v>79</v>
      </c>
      <c r="M70" s="23">
        <v>81</v>
      </c>
      <c r="N70" s="18" t="str">
        <f t="shared" si="0"/>
        <v>Mencapai kompetensi dengan baik dalam hal</v>
      </c>
      <c r="O70" s="23">
        <v>76</v>
      </c>
      <c r="P70" s="18" t="str">
        <f t="shared" si="1"/>
        <v>Mencapai kompetensi dengan baik dalam hal</v>
      </c>
      <c r="Q70" s="23">
        <v>82</v>
      </c>
      <c r="R70" s="18" t="str">
        <f t="shared" si="2"/>
        <v>Mencapai kompetensi dengan baik dalam hal</v>
      </c>
      <c r="S70" s="23">
        <v>81</v>
      </c>
      <c r="T70" s="18" t="str">
        <f t="shared" si="3"/>
        <v>Mencapai kompetensi dengan baik dalam hal</v>
      </c>
      <c r="U70" s="23">
        <v>76</v>
      </c>
      <c r="V70" s="18" t="str">
        <f t="shared" si="4"/>
        <v>Mencapai kompetensi dengan baik dalam hal</v>
      </c>
      <c r="W70" s="23">
        <v>80</v>
      </c>
      <c r="X70" s="18" t="str">
        <f t="shared" si="5"/>
        <v>Mencapai kompetensi dengan baik dalam hal</v>
      </c>
      <c r="Y70" s="23">
        <v>78</v>
      </c>
      <c r="Z70" s="18" t="str">
        <f t="shared" si="6"/>
        <v>Mencapai kompetensi dengan baik dalam hal</v>
      </c>
      <c r="AA70" s="23">
        <v>79</v>
      </c>
      <c r="AB70" s="18" t="str">
        <f t="shared" si="17"/>
        <v>Mencapai kompetensi dengan baik dalam hal</v>
      </c>
      <c r="AC70" s="23">
        <v>82</v>
      </c>
      <c r="AD70" s="18" t="str">
        <f t="shared" si="7"/>
        <v>Mencapai kompetensi dengan baik dalam hal</v>
      </c>
      <c r="AE70" s="23">
        <v>83</v>
      </c>
      <c r="AF70" s="18" t="str">
        <f t="shared" si="8"/>
        <v>Mencapai kompetensi dengan baik dalam hal</v>
      </c>
      <c r="AG70" s="23">
        <v>78</v>
      </c>
      <c r="AH70" s="18" t="str">
        <f t="shared" si="21"/>
        <v>Mencapai kompetensi dengan baik dalam hal</v>
      </c>
      <c r="AI70" s="23">
        <v>86</v>
      </c>
      <c r="AJ70" s="18" t="str">
        <f t="shared" si="22"/>
        <v>Mencapai kompetensi dengan baik dalam hal</v>
      </c>
      <c r="AK70" s="23">
        <v>81</v>
      </c>
      <c r="AL70" s="18" t="str">
        <f t="shared" si="23"/>
        <v>Mencapai kompetensi dengan baik dalam hal</v>
      </c>
      <c r="AM70" s="23">
        <v>81</v>
      </c>
      <c r="AN70" s="18" t="str">
        <f t="shared" si="24"/>
        <v>Mencapai kompetensi dengan baik dalam hal</v>
      </c>
      <c r="AO70" s="62">
        <f t="shared" si="27"/>
        <v>81.5</v>
      </c>
      <c r="AP70" s="23">
        <v>82</v>
      </c>
      <c r="AQ70" s="18" t="str">
        <f t="shared" si="25"/>
        <v>Mencapai kompetensi dengan baik dalam hal</v>
      </c>
      <c r="AR70" s="23">
        <v>79</v>
      </c>
      <c r="AS70" s="18" t="str">
        <f t="shared" si="14"/>
        <v>Mencapai kompetensi dengan baik dalam hal</v>
      </c>
      <c r="AT70" s="113">
        <v>1</v>
      </c>
      <c r="AU70" s="113" t="s">
        <v>81</v>
      </c>
      <c r="AV70" s="113" t="s">
        <v>81</v>
      </c>
      <c r="AW70" s="23">
        <v>1</v>
      </c>
      <c r="AX70" s="23" t="s">
        <v>82</v>
      </c>
      <c r="AY70" s="18" t="s">
        <v>83</v>
      </c>
      <c r="AZ70" s="23" t="s">
        <v>86</v>
      </c>
      <c r="BA70" s="18" t="str">
        <f t="shared" si="26"/>
        <v>Sangat baik</v>
      </c>
      <c r="BB70" s="23">
        <v>2</v>
      </c>
      <c r="BC70" s="18" t="s">
        <v>170</v>
      </c>
      <c r="BD70" s="18" t="s">
        <v>83</v>
      </c>
      <c r="BE70" s="23" t="s">
        <v>84</v>
      </c>
      <c r="BF70" s="18" t="str">
        <f t="shared" si="19"/>
        <v>Baik</v>
      </c>
      <c r="BG70" s="23"/>
      <c r="BH70" s="23"/>
      <c r="BI70" s="23"/>
      <c r="BJ70" s="23"/>
      <c r="BK70" s="18"/>
    </row>
    <row r="71" spans="1:63" ht="38.25" customHeight="1" x14ac:dyDescent="0.25">
      <c r="A71" s="23">
        <v>70</v>
      </c>
      <c r="B71" s="23">
        <v>2526047</v>
      </c>
      <c r="C71" s="23" t="s">
        <v>1523</v>
      </c>
      <c r="D71" s="135" t="s">
        <v>1524</v>
      </c>
      <c r="E71" s="23" t="s">
        <v>1456</v>
      </c>
      <c r="F71" s="135" t="s">
        <v>1381</v>
      </c>
      <c r="G71" s="137" t="s">
        <v>1457</v>
      </c>
      <c r="H71" s="24" t="s">
        <v>1458</v>
      </c>
      <c r="I71" s="60" t="s">
        <v>76</v>
      </c>
      <c r="J71" s="61" t="s">
        <v>77</v>
      </c>
      <c r="K71" s="61" t="s">
        <v>78</v>
      </c>
      <c r="L71" s="61" t="s">
        <v>79</v>
      </c>
      <c r="M71" s="23">
        <v>79</v>
      </c>
      <c r="N71" s="18" t="str">
        <f t="shared" si="0"/>
        <v>Mencapai kompetensi dengan baik dalam hal</v>
      </c>
      <c r="O71" s="23">
        <v>76</v>
      </c>
      <c r="P71" s="18" t="str">
        <f t="shared" si="1"/>
        <v>Mencapai kompetensi dengan baik dalam hal</v>
      </c>
      <c r="Q71" s="23">
        <v>80</v>
      </c>
      <c r="R71" s="18" t="str">
        <f t="shared" si="2"/>
        <v>Mencapai kompetensi dengan baik dalam hal</v>
      </c>
      <c r="S71" s="23">
        <v>81</v>
      </c>
      <c r="T71" s="18" t="str">
        <f t="shared" si="3"/>
        <v>Mencapai kompetensi dengan baik dalam hal</v>
      </c>
      <c r="U71" s="23">
        <v>84</v>
      </c>
      <c r="V71" s="18" t="str">
        <f t="shared" si="4"/>
        <v>Mencapai kompetensi dengan baik dalam hal</v>
      </c>
      <c r="W71" s="23">
        <v>81</v>
      </c>
      <c r="X71" s="18" t="str">
        <f t="shared" si="5"/>
        <v>Mencapai kompetensi dengan baik dalam hal</v>
      </c>
      <c r="Y71" s="23">
        <v>78</v>
      </c>
      <c r="Z71" s="18" t="str">
        <f t="shared" si="6"/>
        <v>Mencapai kompetensi dengan baik dalam hal</v>
      </c>
      <c r="AA71" s="23">
        <v>78</v>
      </c>
      <c r="AB71" s="18" t="str">
        <f t="shared" si="17"/>
        <v>Mencapai kompetensi dengan baik dalam hal</v>
      </c>
      <c r="AC71" s="23">
        <v>81</v>
      </c>
      <c r="AD71" s="18" t="str">
        <f t="shared" si="7"/>
        <v>Mencapai kompetensi dengan baik dalam hal</v>
      </c>
      <c r="AE71" s="23">
        <v>82</v>
      </c>
      <c r="AF71" s="18" t="str">
        <f t="shared" si="8"/>
        <v>Mencapai kompetensi dengan baik dalam hal</v>
      </c>
      <c r="AG71" s="23">
        <v>78</v>
      </c>
      <c r="AH71" s="18" t="str">
        <f t="shared" si="21"/>
        <v>Mencapai kompetensi dengan baik dalam hal</v>
      </c>
      <c r="AI71" s="23">
        <v>78</v>
      </c>
      <c r="AJ71" s="18" t="str">
        <f t="shared" si="22"/>
        <v>Mencapai kompetensi dengan baik dalam hal</v>
      </c>
      <c r="AK71" s="23">
        <v>82</v>
      </c>
      <c r="AL71" s="18" t="str">
        <f t="shared" si="23"/>
        <v>Mencapai kompetensi dengan baik dalam hal</v>
      </c>
      <c r="AM71" s="23">
        <v>82</v>
      </c>
      <c r="AN71" s="18" t="str">
        <f t="shared" si="24"/>
        <v>Mencapai kompetensi dengan baik dalam hal</v>
      </c>
      <c r="AO71" s="62">
        <f t="shared" si="27"/>
        <v>80</v>
      </c>
      <c r="AP71" s="23">
        <v>81</v>
      </c>
      <c r="AQ71" s="18" t="str">
        <f t="shared" si="25"/>
        <v>Mencapai kompetensi dengan baik dalam hal</v>
      </c>
      <c r="AR71" s="23">
        <v>79</v>
      </c>
      <c r="AS71" s="18" t="str">
        <f t="shared" si="14"/>
        <v>Mencapai kompetensi dengan baik dalam hal</v>
      </c>
      <c r="AT71" s="113" t="s">
        <v>81</v>
      </c>
      <c r="AU71" s="113" t="s">
        <v>81</v>
      </c>
      <c r="AV71" s="113" t="s">
        <v>81</v>
      </c>
      <c r="AW71" s="23">
        <v>1</v>
      </c>
      <c r="AX71" s="23" t="s">
        <v>82</v>
      </c>
      <c r="AY71" s="18" t="s">
        <v>83</v>
      </c>
      <c r="AZ71" s="23" t="s">
        <v>86</v>
      </c>
      <c r="BA71" s="18" t="str">
        <f t="shared" si="26"/>
        <v>Sangat baik</v>
      </c>
      <c r="BB71" s="23">
        <v>2</v>
      </c>
      <c r="BC71" s="18" t="s">
        <v>170</v>
      </c>
      <c r="BD71" s="18" t="s">
        <v>83</v>
      </c>
      <c r="BE71" s="23" t="s">
        <v>84</v>
      </c>
      <c r="BF71" s="18" t="str">
        <f t="shared" si="19"/>
        <v>Baik</v>
      </c>
      <c r="BG71" s="23"/>
      <c r="BH71" s="23"/>
      <c r="BI71" s="23"/>
      <c r="BJ71" s="23"/>
      <c r="BK71" s="18"/>
    </row>
    <row r="72" spans="1:63" ht="38.25" customHeight="1" x14ac:dyDescent="0.25">
      <c r="A72" s="23">
        <v>71</v>
      </c>
      <c r="B72" s="23">
        <v>2526048</v>
      </c>
      <c r="C72" s="23" t="s">
        <v>1525</v>
      </c>
      <c r="D72" s="135" t="s">
        <v>1526</v>
      </c>
      <c r="E72" s="23" t="s">
        <v>1456</v>
      </c>
      <c r="F72" s="135" t="s">
        <v>1381</v>
      </c>
      <c r="G72" s="137" t="s">
        <v>1457</v>
      </c>
      <c r="H72" s="24" t="s">
        <v>1458</v>
      </c>
      <c r="I72" s="60" t="s">
        <v>76</v>
      </c>
      <c r="J72" s="61" t="s">
        <v>77</v>
      </c>
      <c r="K72" s="61" t="s">
        <v>78</v>
      </c>
      <c r="L72" s="61" t="s">
        <v>79</v>
      </c>
      <c r="M72" s="23">
        <v>79</v>
      </c>
      <c r="N72" s="18" t="str">
        <f t="shared" si="0"/>
        <v>Mencapai kompetensi dengan baik dalam hal</v>
      </c>
      <c r="O72" s="23">
        <v>76</v>
      </c>
      <c r="P72" s="18" t="str">
        <f t="shared" si="1"/>
        <v>Mencapai kompetensi dengan baik dalam hal</v>
      </c>
      <c r="Q72" s="23">
        <v>80</v>
      </c>
      <c r="R72" s="18" t="str">
        <f t="shared" si="2"/>
        <v>Mencapai kompetensi dengan baik dalam hal</v>
      </c>
      <c r="S72" s="23">
        <v>82</v>
      </c>
      <c r="T72" s="18" t="str">
        <f t="shared" si="3"/>
        <v>Mencapai kompetensi dengan baik dalam hal</v>
      </c>
      <c r="U72" s="23">
        <v>78</v>
      </c>
      <c r="V72" s="18" t="str">
        <f t="shared" si="4"/>
        <v>Mencapai kompetensi dengan baik dalam hal</v>
      </c>
      <c r="W72" s="23">
        <v>79</v>
      </c>
      <c r="X72" s="18" t="str">
        <f t="shared" si="5"/>
        <v>Mencapai kompetensi dengan baik dalam hal</v>
      </c>
      <c r="Y72" s="23">
        <v>75</v>
      </c>
      <c r="Z72" s="18" t="str">
        <f t="shared" si="6"/>
        <v>Mencapai kompetensi dengan baik dalam hal</v>
      </c>
      <c r="AA72" s="23">
        <v>77</v>
      </c>
      <c r="AB72" s="18" t="str">
        <f t="shared" si="17"/>
        <v>Mencapai kompetensi dengan baik dalam hal</v>
      </c>
      <c r="AC72" s="23">
        <v>82</v>
      </c>
      <c r="AD72" s="18" t="str">
        <f t="shared" si="7"/>
        <v>Mencapai kompetensi dengan baik dalam hal</v>
      </c>
      <c r="AE72" s="23">
        <v>78</v>
      </c>
      <c r="AF72" s="18" t="str">
        <f t="shared" si="8"/>
        <v>Mencapai kompetensi dengan baik dalam hal</v>
      </c>
      <c r="AG72" s="23">
        <v>78</v>
      </c>
      <c r="AH72" s="18" t="str">
        <f t="shared" si="21"/>
        <v>Mencapai kompetensi dengan baik dalam hal</v>
      </c>
      <c r="AI72" s="23">
        <v>78</v>
      </c>
      <c r="AJ72" s="18" t="str">
        <f t="shared" si="22"/>
        <v>Mencapai kompetensi dengan baik dalam hal</v>
      </c>
      <c r="AK72" s="23">
        <v>79</v>
      </c>
      <c r="AL72" s="18" t="str">
        <f t="shared" si="23"/>
        <v>Mencapai kompetensi dengan baik dalam hal</v>
      </c>
      <c r="AM72" s="23">
        <v>79</v>
      </c>
      <c r="AN72" s="18" t="str">
        <f t="shared" si="24"/>
        <v>Mencapai kompetensi dengan baik dalam hal</v>
      </c>
      <c r="AO72" s="62">
        <f t="shared" si="27"/>
        <v>78.5</v>
      </c>
      <c r="AP72" s="23">
        <v>82</v>
      </c>
      <c r="AQ72" s="18" t="str">
        <f t="shared" si="25"/>
        <v>Mencapai kompetensi dengan baik dalam hal</v>
      </c>
      <c r="AR72" s="23">
        <v>78</v>
      </c>
      <c r="AS72" s="18" t="str">
        <f t="shared" si="14"/>
        <v>Mencapai kompetensi dengan baik dalam hal</v>
      </c>
      <c r="AT72" s="113" t="s">
        <v>81</v>
      </c>
      <c r="AU72" s="113" t="s">
        <v>81</v>
      </c>
      <c r="AV72" s="113" t="s">
        <v>81</v>
      </c>
      <c r="AW72" s="23">
        <v>1</v>
      </c>
      <c r="AX72" s="23" t="s">
        <v>82</v>
      </c>
      <c r="AY72" s="18" t="s">
        <v>83</v>
      </c>
      <c r="AZ72" s="23" t="s">
        <v>84</v>
      </c>
      <c r="BA72" s="18" t="str">
        <f t="shared" si="26"/>
        <v>Baik</v>
      </c>
      <c r="BB72" s="23">
        <v>2</v>
      </c>
      <c r="BC72" s="18" t="s">
        <v>116</v>
      </c>
      <c r="BD72" s="18" t="s">
        <v>83</v>
      </c>
      <c r="BE72" s="23" t="s">
        <v>84</v>
      </c>
      <c r="BF72" s="18" t="str">
        <f t="shared" si="19"/>
        <v>Baik</v>
      </c>
      <c r="BG72" s="23"/>
      <c r="BH72" s="23"/>
      <c r="BI72" s="23"/>
      <c r="BJ72" s="23"/>
      <c r="BK72" s="18"/>
    </row>
    <row r="73" spans="1:63" ht="38.25" customHeight="1" thickBot="1" x14ac:dyDescent="0.3">
      <c r="A73" s="38">
        <v>72</v>
      </c>
      <c r="B73" s="38">
        <v>2526049</v>
      </c>
      <c r="C73" s="38" t="s">
        <v>1527</v>
      </c>
      <c r="D73" s="138" t="s">
        <v>1528</v>
      </c>
      <c r="E73" s="38" t="s">
        <v>1456</v>
      </c>
      <c r="F73" s="138" t="s">
        <v>1381</v>
      </c>
      <c r="G73" s="139" t="s">
        <v>1457</v>
      </c>
      <c r="H73" s="40" t="s">
        <v>1458</v>
      </c>
      <c r="I73" s="63" t="s">
        <v>76</v>
      </c>
      <c r="J73" s="44" t="s">
        <v>77</v>
      </c>
      <c r="K73" s="44" t="s">
        <v>78</v>
      </c>
      <c r="L73" s="44" t="s">
        <v>79</v>
      </c>
      <c r="M73" s="38">
        <v>82</v>
      </c>
      <c r="N73" s="46" t="str">
        <f t="shared" si="0"/>
        <v>Mencapai kompetensi dengan baik dalam hal</v>
      </c>
      <c r="O73" s="38">
        <v>76</v>
      </c>
      <c r="P73" s="46" t="str">
        <f t="shared" si="1"/>
        <v>Mencapai kompetensi dengan baik dalam hal</v>
      </c>
      <c r="Q73" s="38">
        <v>81</v>
      </c>
      <c r="R73" s="46" t="str">
        <f t="shared" si="2"/>
        <v>Mencapai kompetensi dengan baik dalam hal</v>
      </c>
      <c r="S73" s="38">
        <v>86</v>
      </c>
      <c r="T73" s="46" t="str">
        <f t="shared" si="3"/>
        <v>Mencapai kompetensi dengan baik dalam hal</v>
      </c>
      <c r="U73" s="38">
        <v>84</v>
      </c>
      <c r="V73" s="46" t="str">
        <f t="shared" si="4"/>
        <v>Mencapai kompetensi dengan baik dalam hal</v>
      </c>
      <c r="W73" s="38">
        <v>79</v>
      </c>
      <c r="X73" s="46" t="str">
        <f t="shared" si="5"/>
        <v>Mencapai kompetensi dengan baik dalam hal</v>
      </c>
      <c r="Y73" s="38">
        <v>76</v>
      </c>
      <c r="Z73" s="46" t="str">
        <f t="shared" si="6"/>
        <v>Mencapai kompetensi dengan baik dalam hal</v>
      </c>
      <c r="AA73" s="38">
        <v>80</v>
      </c>
      <c r="AB73" s="46" t="str">
        <f t="shared" si="17"/>
        <v>Mencapai kompetensi dengan baik dalam hal</v>
      </c>
      <c r="AC73" s="38">
        <v>83</v>
      </c>
      <c r="AD73" s="46" t="str">
        <f t="shared" si="7"/>
        <v>Mencapai kompetensi dengan baik dalam hal</v>
      </c>
      <c r="AE73" s="38">
        <v>80</v>
      </c>
      <c r="AF73" s="46" t="str">
        <f t="shared" si="8"/>
        <v>Mencapai kompetensi dengan baik dalam hal</v>
      </c>
      <c r="AG73" s="38">
        <v>80</v>
      </c>
      <c r="AH73" s="46" t="str">
        <f t="shared" si="21"/>
        <v>Mencapai kompetensi dengan baik dalam hal</v>
      </c>
      <c r="AI73" s="38">
        <v>80</v>
      </c>
      <c r="AJ73" s="46" t="str">
        <f t="shared" si="22"/>
        <v>Mencapai kompetensi dengan baik dalam hal</v>
      </c>
      <c r="AK73" s="38">
        <v>82</v>
      </c>
      <c r="AL73" s="46" t="str">
        <f t="shared" si="23"/>
        <v>Mencapai kompetensi dengan baik dalam hal</v>
      </c>
      <c r="AM73" s="38">
        <v>83</v>
      </c>
      <c r="AN73" s="46" t="str">
        <f t="shared" si="24"/>
        <v>Mencapai kompetensi dengan baik dalam hal</v>
      </c>
      <c r="AO73" s="140">
        <f t="shared" si="27"/>
        <v>81.25</v>
      </c>
      <c r="AP73" s="38">
        <v>83</v>
      </c>
      <c r="AQ73" s="46" t="str">
        <f t="shared" si="25"/>
        <v>Mencapai kompetensi dengan baik dalam hal</v>
      </c>
      <c r="AR73" s="38">
        <v>78</v>
      </c>
      <c r="AS73" s="46" t="str">
        <f t="shared" si="14"/>
        <v>Mencapai kompetensi dengan baik dalam hal</v>
      </c>
      <c r="AT73" s="47">
        <v>7</v>
      </c>
      <c r="AU73" s="47">
        <v>1</v>
      </c>
      <c r="AV73" s="47" t="s">
        <v>81</v>
      </c>
      <c r="AW73" s="38">
        <v>1</v>
      </c>
      <c r="AX73" s="38" t="s">
        <v>82</v>
      </c>
      <c r="AY73" s="46" t="s">
        <v>83</v>
      </c>
      <c r="AZ73" s="38" t="s">
        <v>84</v>
      </c>
      <c r="BA73" s="46" t="str">
        <f t="shared" si="26"/>
        <v>Baik</v>
      </c>
      <c r="BB73" s="38">
        <v>2</v>
      </c>
      <c r="BC73" s="46" t="s">
        <v>298</v>
      </c>
      <c r="BD73" s="46" t="s">
        <v>83</v>
      </c>
      <c r="BE73" s="38" t="s">
        <v>104</v>
      </c>
      <c r="BF73" s="46" t="str">
        <f t="shared" si="19"/>
        <v>Cukup</v>
      </c>
      <c r="BG73" s="38"/>
      <c r="BH73" s="38"/>
      <c r="BI73" s="38"/>
      <c r="BJ73" s="38"/>
      <c r="BK73" s="46"/>
    </row>
    <row r="74" spans="1:63" ht="15.75" thickTop="1" x14ac:dyDescent="0.25"/>
  </sheetData>
  <conditionalFormatting sqref="N2:N73 P2:P73 R2:R73 T2:T73 V2:V73 X2:X73 Z2:Z73 AB2:AB73 AD2:AD73 AF2:AF73">
    <cfRule type="cellIs" dxfId="28" priority="14" operator="lessThan">
      <formula>70</formula>
    </cfRule>
  </conditionalFormatting>
  <conditionalFormatting sqref="AL2:AL73 AJ2:AJ73 AH2:AH73 AN2:AO73">
    <cfRule type="cellIs" dxfId="27" priority="13" operator="lessThan">
      <formula>70</formula>
    </cfRule>
  </conditionalFormatting>
  <conditionalFormatting sqref="AS2:AS73">
    <cfRule type="cellIs" dxfId="26" priority="12" operator="lessThan">
      <formula>70</formula>
    </cfRule>
  </conditionalFormatting>
  <conditionalFormatting sqref="BA3:BA73">
    <cfRule type="cellIs" dxfId="25" priority="11" operator="lessThan">
      <formula>70</formula>
    </cfRule>
  </conditionalFormatting>
  <conditionalFormatting sqref="N2:N73 P2:P73 R2:R73 T2:T73 V2:V73 X2:X73 Z2:Z73 AB2:AB73 AD2:AD73">
    <cfRule type="cellIs" dxfId="24" priority="10" operator="lessThan">
      <formula>75</formula>
    </cfRule>
  </conditionalFormatting>
  <conditionalFormatting sqref="AH2:AH73 AJ2:AJ73 AL2:AL73">
    <cfRule type="cellIs" dxfId="23" priority="9" operator="lessThan">
      <formula>78</formula>
    </cfRule>
  </conditionalFormatting>
  <conditionalFormatting sqref="BF3:BI73">
    <cfRule type="cellIs" dxfId="22" priority="8" operator="lessThan">
      <formula>70</formula>
    </cfRule>
  </conditionalFormatting>
  <conditionalFormatting sqref="AQ2:AQ73">
    <cfRule type="cellIs" dxfId="21" priority="7" operator="lessThan">
      <formula>70</formula>
    </cfRule>
  </conditionalFormatting>
  <conditionalFormatting sqref="BK2:BK73">
    <cfRule type="cellIs" dxfId="20" priority="1" operator="lessThan">
      <formula>70</formula>
    </cfRule>
  </conditionalFormatting>
  <conditionalFormatting sqref="BA2:BA73 BF2:BF73">
    <cfRule type="cellIs" dxfId="19" priority="6" operator="lessThan">
      <formula>70</formula>
    </cfRule>
  </conditionalFormatting>
  <conditionalFormatting sqref="AZ2:AZ73">
    <cfRule type="cellIs" dxfId="18" priority="3" operator="lessThan">
      <formula>70</formula>
    </cfRule>
  </conditionalFormatting>
  <conditionalFormatting sqref="AZ2:AZ73">
    <cfRule type="cellIs" dxfId="17" priority="2" operator="lessThan">
      <formula>75</formula>
    </cfRule>
  </conditionalFormatting>
  <conditionalFormatting sqref="AX2:AX73">
    <cfRule type="cellIs" dxfId="16" priority="5" operator="lessThan">
      <formula>70</formula>
    </cfRule>
  </conditionalFormatting>
  <conditionalFormatting sqref="AX2:AX73">
    <cfRule type="cellIs" dxfId="15" priority="4" operator="lessThan">
      <formula>75</formula>
    </cfRule>
  </conditionalFormatting>
  <printOptions horizontalCentered="1"/>
  <pageMargins left="0.19685039370078741" right="0.19685039370078741" top="0.39370078740157483" bottom="0.39370078740157483" header="0.31496062992125984" footer="0.31496062992125984"/>
  <pageSetup paperSize="8"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75"/>
  <sheetViews>
    <sheetView tabSelected="1" zoomScale="85" zoomScaleNormal="85" workbookViewId="0">
      <pane xSplit="10" ySplit="1" topLeftCell="AW14" activePane="bottomRight" state="frozen"/>
      <selection pane="topRight" activeCell="K1" sqref="K1"/>
      <selection pane="bottomLeft" activeCell="A2" sqref="A2"/>
      <selection pane="bottomRight" activeCell="J7" sqref="J7"/>
    </sheetView>
  </sheetViews>
  <sheetFormatPr defaultColWidth="9.140625" defaultRowHeight="15" x14ac:dyDescent="0.25"/>
  <cols>
    <col min="1" max="1" width="4.85546875" style="22" bestFit="1" customWidth="1"/>
    <col min="2" max="2" width="12" style="22" customWidth="1"/>
    <col min="3" max="3" width="13.5703125" style="22" bestFit="1" customWidth="1"/>
    <col min="4" max="4" width="42.85546875" style="65" bestFit="1" customWidth="1"/>
    <col min="5" max="5" width="9.28515625" style="22" bestFit="1" customWidth="1"/>
    <col min="6" max="6" width="26" style="22" bestFit="1" customWidth="1"/>
    <col min="7" max="7" width="21.28515625" style="19" customWidth="1"/>
    <col min="8" max="8" width="19.5703125" style="19" customWidth="1"/>
    <col min="9" max="9" width="7" style="22" bestFit="1" customWidth="1"/>
    <col min="10" max="10" width="10" style="19" bestFit="1" customWidth="1"/>
    <col min="11" max="11" width="7.5703125" style="19" bestFit="1" customWidth="1"/>
    <col min="12" max="12" width="11.7109375" style="19" hidden="1" customWidth="1"/>
    <col min="13" max="13" width="7" style="22" customWidth="1"/>
    <col min="14" max="14" width="36.85546875" style="22" hidden="1" customWidth="1"/>
    <col min="15" max="15" width="6.42578125" style="22" customWidth="1"/>
    <col min="16" max="16" width="28" style="22" hidden="1" customWidth="1"/>
    <col min="17" max="17" width="8.5703125" style="22" customWidth="1"/>
    <col min="18" max="18" width="28" style="22" hidden="1" customWidth="1"/>
    <col min="19" max="19" width="9.140625" style="22"/>
    <col min="20" max="20" width="28" style="22" hidden="1" customWidth="1"/>
    <col min="21" max="21" width="9.140625" style="22"/>
    <col min="22" max="22" width="28" style="22" hidden="1" customWidth="1"/>
    <col min="23" max="23" width="5.5703125" style="22" customWidth="1"/>
    <col min="24" max="24" width="28" style="22" hidden="1" customWidth="1"/>
    <col min="25" max="25" width="5.85546875" style="22" customWidth="1"/>
    <col min="26" max="26" width="28" style="22" hidden="1" customWidth="1"/>
    <col min="27" max="27" width="10.28515625" style="22" customWidth="1"/>
    <col min="28" max="28" width="28" style="22" hidden="1" customWidth="1"/>
    <col min="29" max="29" width="4.7109375" style="22" customWidth="1"/>
    <col min="30" max="30" width="28" style="22" hidden="1" customWidth="1"/>
    <col min="31" max="31" width="6" style="22" customWidth="1"/>
    <col min="32" max="32" width="28" style="22" hidden="1" customWidth="1"/>
    <col min="33" max="33" width="0" style="22" hidden="1" customWidth="1"/>
    <col min="34" max="34" width="36.85546875" style="22" hidden="1" customWidth="1"/>
    <col min="35" max="35" width="0" style="22" hidden="1" customWidth="1"/>
    <col min="36" max="36" width="28" style="22" hidden="1" customWidth="1"/>
    <col min="37" max="37" width="0" style="22" hidden="1" customWidth="1"/>
    <col min="38" max="39" width="28" style="22" hidden="1" customWidth="1"/>
    <col min="40" max="40" width="9.28515625" style="22" customWidth="1"/>
    <col min="41" max="41" width="8.140625" style="22" bestFit="1" customWidth="1"/>
    <col min="42" max="42" width="26.7109375" style="22" hidden="1" customWidth="1"/>
    <col min="43" max="43" width="8" style="22" customWidth="1"/>
    <col min="44" max="44" width="28" style="22" hidden="1" customWidth="1"/>
    <col min="45" max="47" width="6.28515625" style="19" customWidth="1"/>
    <col min="48" max="48" width="3.140625" style="19" bestFit="1" customWidth="1"/>
    <col min="49" max="49" width="9" style="19" customWidth="1"/>
    <col min="50" max="50" width="19.28515625" style="19" hidden="1" customWidth="1"/>
    <col min="51" max="51" width="4.28515625" style="22" bestFit="1" customWidth="1"/>
    <col min="52" max="52" width="11.85546875" style="19" bestFit="1" customWidth="1"/>
    <col min="53" max="53" width="3.140625" style="19" bestFit="1" customWidth="1"/>
    <col min="54" max="54" width="22.42578125" style="19" bestFit="1" customWidth="1"/>
    <col min="55" max="55" width="0" style="19" hidden="1" customWidth="1"/>
    <col min="56" max="56" width="4.28515625" style="19" bestFit="1" customWidth="1"/>
    <col min="57" max="57" width="18.28515625" style="19" bestFit="1" customWidth="1"/>
    <col min="58" max="58" width="3.140625" style="19" bestFit="1" customWidth="1"/>
    <col min="59" max="59" width="13.7109375" style="22" bestFit="1" customWidth="1"/>
    <col min="60" max="60" width="18.5703125" style="19" hidden="1" customWidth="1"/>
    <col min="61" max="61" width="9.140625" style="19"/>
    <col min="62" max="62" width="11.85546875" style="19" bestFit="1" customWidth="1"/>
    <col min="63" max="64" width="9.140625" style="19"/>
    <col min="65" max="65" width="36.5703125" style="19" bestFit="1" customWidth="1"/>
    <col min="66" max="67" width="7" style="19" customWidth="1"/>
    <col min="68" max="68" width="28.5703125" style="19" bestFit="1" customWidth="1"/>
    <col min="69" max="69" width="7" style="19" customWidth="1"/>
    <col min="70" max="71" width="9.140625" style="19"/>
    <col min="72" max="72" width="15.140625" style="19" bestFit="1" customWidth="1"/>
    <col min="73" max="16384" width="9.140625" style="19"/>
  </cols>
  <sheetData>
    <row r="1" spans="1:72" s="6" customFormat="1" ht="31.5" customHeight="1" thickTop="1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182</v>
      </c>
      <c r="AH1" s="2" t="s">
        <v>183</v>
      </c>
      <c r="AI1" s="2" t="s">
        <v>184</v>
      </c>
      <c r="AJ1" s="2" t="s">
        <v>185</v>
      </c>
      <c r="AK1" s="2" t="s">
        <v>1529</v>
      </c>
      <c r="AL1" s="2" t="s">
        <v>1530</v>
      </c>
      <c r="AM1" s="2" t="s">
        <v>1531</v>
      </c>
      <c r="AN1" s="2" t="s">
        <v>287</v>
      </c>
      <c r="AO1" s="2" t="s">
        <v>1532</v>
      </c>
      <c r="AP1" s="2" t="s">
        <v>192</v>
      </c>
      <c r="AQ1" s="2" t="s">
        <v>45</v>
      </c>
      <c r="AR1" s="2" t="s">
        <v>46</v>
      </c>
      <c r="AS1" s="2" t="s">
        <v>50</v>
      </c>
      <c r="AT1" s="2" t="s">
        <v>51</v>
      </c>
      <c r="AU1" s="2" t="s">
        <v>52</v>
      </c>
      <c r="AV1" s="2" t="s">
        <v>53</v>
      </c>
      <c r="AW1" s="2" t="s">
        <v>54</v>
      </c>
      <c r="AX1" s="2" t="s">
        <v>55</v>
      </c>
      <c r="AY1" s="2" t="s">
        <v>56</v>
      </c>
      <c r="AZ1" s="2" t="s">
        <v>57</v>
      </c>
      <c r="BA1" s="2" t="s">
        <v>58</v>
      </c>
      <c r="BB1" s="2" t="s">
        <v>59</v>
      </c>
      <c r="BC1" s="2" t="s">
        <v>60</v>
      </c>
      <c r="BD1" s="2" t="s">
        <v>61</v>
      </c>
      <c r="BE1" s="2" t="s">
        <v>62</v>
      </c>
      <c r="BF1" s="2" t="s">
        <v>63</v>
      </c>
      <c r="BG1" s="2" t="s">
        <v>64</v>
      </c>
      <c r="BH1" s="2" t="s">
        <v>65</v>
      </c>
      <c r="BI1" s="2" t="s">
        <v>66</v>
      </c>
      <c r="BJ1" s="2" t="s">
        <v>67</v>
      </c>
      <c r="BL1" s="6" t="s">
        <v>68</v>
      </c>
      <c r="BO1" s="6" t="s">
        <v>1533</v>
      </c>
      <c r="BS1" s="6" t="s">
        <v>68</v>
      </c>
    </row>
    <row r="2" spans="1:72" ht="24.95" customHeight="1" thickTop="1" thickBot="1" x14ac:dyDescent="0.3">
      <c r="A2" s="7">
        <v>1</v>
      </c>
      <c r="B2" s="7">
        <v>2526050</v>
      </c>
      <c r="C2" s="7" t="s">
        <v>1534</v>
      </c>
      <c r="D2" s="17" t="s">
        <v>1535</v>
      </c>
      <c r="E2" s="7" t="s">
        <v>1536</v>
      </c>
      <c r="F2" s="7" t="s">
        <v>1537</v>
      </c>
      <c r="G2" s="7" t="s">
        <v>1538</v>
      </c>
      <c r="H2" s="7" t="s">
        <v>1539</v>
      </c>
      <c r="I2" s="10" t="s">
        <v>76</v>
      </c>
      <c r="J2" s="11" t="s">
        <v>77</v>
      </c>
      <c r="K2" s="11" t="s">
        <v>78</v>
      </c>
      <c r="L2" s="11" t="s">
        <v>79</v>
      </c>
      <c r="M2" s="7">
        <v>79</v>
      </c>
      <c r="N2" s="17" t="str">
        <f t="shared" ref="N2:N68" si="0">VLOOKUP(M2,grades1,2,TRUE)</f>
        <v>Mencapai kompetensi dengan baik dalam hal</v>
      </c>
      <c r="O2" s="7">
        <v>77</v>
      </c>
      <c r="P2" s="17" t="str">
        <f t="shared" ref="P2:P68" si="1">VLOOKUP(O2,grades1,2,TRUE)</f>
        <v>Mencapai kompetensi dengan baik dalam hal</v>
      </c>
      <c r="Q2" s="7">
        <v>81</v>
      </c>
      <c r="R2" s="17" t="str">
        <f t="shared" ref="R2:R68" si="2">VLOOKUP(Q2,grades1,2,TRUE)</f>
        <v>Mencapai kompetensi dengan baik dalam hal</v>
      </c>
      <c r="S2" s="7">
        <v>79</v>
      </c>
      <c r="T2" s="17" t="str">
        <f t="shared" ref="T2:T68" si="3">VLOOKUP(S2,grades1,2,TRUE)</f>
        <v>Mencapai kompetensi dengan baik dalam hal</v>
      </c>
      <c r="U2" s="7">
        <v>84</v>
      </c>
      <c r="V2" s="17" t="str">
        <f t="shared" ref="V2:V68" si="4">VLOOKUP(U2,grades1,2,TRUE)</f>
        <v>Mencapai kompetensi dengan baik dalam hal</v>
      </c>
      <c r="W2" s="7">
        <v>86</v>
      </c>
      <c r="X2" s="17" t="str">
        <f t="shared" ref="X2:X68" si="5">VLOOKUP(W2,grades1,2,TRUE)</f>
        <v>Mencapai kompetensi dengan baik dalam hal</v>
      </c>
      <c r="Y2" s="7">
        <v>81</v>
      </c>
      <c r="Z2" s="17" t="str">
        <f t="shared" ref="Z2:Z68" si="6">VLOOKUP(Y2,grades1,2,TRUE)</f>
        <v>Mencapai kompetensi dengan baik dalam hal</v>
      </c>
      <c r="AA2" s="7">
        <v>80</v>
      </c>
      <c r="AB2" s="17" t="str">
        <f t="shared" ref="AB2:AB68" si="7">VLOOKUP(AA2,grades1,2,TRUE)</f>
        <v>Mencapai kompetensi dengan baik dalam hal</v>
      </c>
      <c r="AC2" s="7">
        <v>85</v>
      </c>
      <c r="AD2" s="17" t="str">
        <f t="shared" ref="AD2:AD68" si="8">VLOOKUP(AC2,grades1,2,TRUE)</f>
        <v>Mencapai kompetensi dengan baik dalam hal</v>
      </c>
      <c r="AE2" s="7">
        <v>89</v>
      </c>
      <c r="AF2" s="17" t="str">
        <f t="shared" ref="AF2:AF68" si="9">VLOOKUP(AE2,grades1,2,TRUE)</f>
        <v>Mencapai kompetensi dengan baik dalam hal</v>
      </c>
      <c r="AG2" s="7">
        <v>87</v>
      </c>
      <c r="AH2" s="17" t="str">
        <f t="shared" ref="AH2:AH63" si="10">VLOOKUP(AG2,grades2,2,TRUE)</f>
        <v>Mencapai kompetensi dengan baik dalam hal</v>
      </c>
      <c r="AI2" s="7">
        <v>85</v>
      </c>
      <c r="AJ2" s="17" t="str">
        <f t="shared" ref="AJ2:AJ63" si="11">VLOOKUP(AI2,grades2,2,TRUE)</f>
        <v>Mencapai kompetensi dengan baik dalam hal</v>
      </c>
      <c r="AK2" s="7">
        <v>87</v>
      </c>
      <c r="AL2" s="17" t="str">
        <f t="shared" ref="AL2:AL63" si="12">VLOOKUP(AK2,grades2,2,TRUE)</f>
        <v>Mencapai kompetensi dengan baik dalam hal</v>
      </c>
      <c r="AM2" s="17" t="e">
        <f>VLOOKUP(#REF!,grades2,2,TRUE)</f>
        <v>#REF!</v>
      </c>
      <c r="AN2" s="59">
        <f>AVERAGE(AK2,AI2,AG2)</f>
        <v>86.333333333333329</v>
      </c>
      <c r="AO2" s="7">
        <v>85</v>
      </c>
      <c r="AP2" s="17" t="str">
        <f t="shared" ref="AP2:AP65" si="13">VLOOKUP(AO2,grades2,2,TRUE)</f>
        <v>Mencapai kompetensi dengan baik dalam hal</v>
      </c>
      <c r="AQ2" s="7">
        <v>81</v>
      </c>
      <c r="AR2" s="17" t="str">
        <f t="shared" ref="AR2:AR68" si="14">VLOOKUP(AQ2,grades1,2,TRUE)</f>
        <v>Mencapai kompetensi dengan baik dalam hal</v>
      </c>
      <c r="AS2" s="16" t="s">
        <v>81</v>
      </c>
      <c r="AT2" s="16" t="s">
        <v>81</v>
      </c>
      <c r="AU2" s="16" t="s">
        <v>81</v>
      </c>
      <c r="AV2" s="7">
        <v>1</v>
      </c>
      <c r="AW2" s="7" t="s">
        <v>82</v>
      </c>
      <c r="AX2" s="17" t="s">
        <v>83</v>
      </c>
      <c r="AY2" s="7" t="s">
        <v>86</v>
      </c>
      <c r="AZ2" s="17" t="str">
        <f t="shared" ref="AZ2:AZ33" si="15">VLOOKUP(AY2,grades4,2,TRUE)</f>
        <v>Sangat baik</v>
      </c>
      <c r="BA2" s="7">
        <v>2</v>
      </c>
      <c r="BB2" s="17" t="s">
        <v>227</v>
      </c>
      <c r="BC2" s="17" t="s">
        <v>83</v>
      </c>
      <c r="BD2" s="7" t="s">
        <v>84</v>
      </c>
      <c r="BE2" s="17" t="str">
        <f t="shared" ref="BE2:BE33" si="16">VLOOKUP(BD2,grades4,2,TRUE)</f>
        <v>Baik</v>
      </c>
      <c r="BF2" s="7">
        <v>3</v>
      </c>
      <c r="BG2" s="7" t="s">
        <v>87</v>
      </c>
      <c r="BH2" s="7" t="s">
        <v>83</v>
      </c>
      <c r="BI2" s="7" t="s">
        <v>84</v>
      </c>
      <c r="BJ2" s="17" t="str">
        <f>VLOOKUP(BI2,grades4,2,TRUE)</f>
        <v>Baik</v>
      </c>
      <c r="BL2" s="20" t="s">
        <v>88</v>
      </c>
      <c r="BM2" s="20" t="s">
        <v>89</v>
      </c>
      <c r="BN2" s="134"/>
      <c r="BO2" s="20" t="s">
        <v>88</v>
      </c>
      <c r="BP2" s="20" t="s">
        <v>89</v>
      </c>
      <c r="BQ2" s="134"/>
      <c r="BS2" s="20" t="s">
        <v>88</v>
      </c>
      <c r="BT2" s="20" t="s">
        <v>89</v>
      </c>
    </row>
    <row r="3" spans="1:72" ht="24.95" customHeight="1" thickTop="1" thickBot="1" x14ac:dyDescent="0.3">
      <c r="A3" s="23">
        <v>2</v>
      </c>
      <c r="B3" s="23">
        <v>2526051</v>
      </c>
      <c r="C3" s="23" t="s">
        <v>1540</v>
      </c>
      <c r="D3" s="18" t="s">
        <v>1541</v>
      </c>
      <c r="E3" s="23" t="s">
        <v>1536</v>
      </c>
      <c r="F3" s="23" t="s">
        <v>1537</v>
      </c>
      <c r="G3" s="23" t="s">
        <v>1538</v>
      </c>
      <c r="H3" s="23" t="s">
        <v>1539</v>
      </c>
      <c r="I3" s="60" t="s">
        <v>76</v>
      </c>
      <c r="J3" s="61" t="s">
        <v>77</v>
      </c>
      <c r="K3" s="61" t="s">
        <v>78</v>
      </c>
      <c r="L3" s="61" t="s">
        <v>79</v>
      </c>
      <c r="M3" s="23">
        <v>78</v>
      </c>
      <c r="N3" s="18" t="str">
        <f t="shared" si="0"/>
        <v>Mencapai kompetensi dengan baik dalam hal</v>
      </c>
      <c r="O3" s="23">
        <v>77</v>
      </c>
      <c r="P3" s="18" t="str">
        <f t="shared" si="1"/>
        <v>Mencapai kompetensi dengan baik dalam hal</v>
      </c>
      <c r="Q3" s="23">
        <v>80</v>
      </c>
      <c r="R3" s="18" t="str">
        <f t="shared" si="2"/>
        <v>Mencapai kompetensi dengan baik dalam hal</v>
      </c>
      <c r="S3" s="23">
        <v>79</v>
      </c>
      <c r="T3" s="18" t="str">
        <f t="shared" si="3"/>
        <v>Mencapai kompetensi dengan baik dalam hal</v>
      </c>
      <c r="U3" s="23">
        <v>85</v>
      </c>
      <c r="V3" s="18" t="str">
        <f t="shared" si="4"/>
        <v>Mencapai kompetensi dengan baik dalam hal</v>
      </c>
      <c r="W3" s="23">
        <v>84</v>
      </c>
      <c r="X3" s="18" t="str">
        <f t="shared" si="5"/>
        <v>Mencapai kompetensi dengan baik dalam hal</v>
      </c>
      <c r="Y3" s="23">
        <v>83</v>
      </c>
      <c r="Z3" s="18" t="str">
        <f t="shared" si="6"/>
        <v>Mencapai kompetensi dengan baik dalam hal</v>
      </c>
      <c r="AA3" s="23">
        <v>81</v>
      </c>
      <c r="AB3" s="18" t="str">
        <f t="shared" si="7"/>
        <v>Mencapai kompetensi dengan baik dalam hal</v>
      </c>
      <c r="AC3" s="23">
        <v>88</v>
      </c>
      <c r="AD3" s="18" t="str">
        <f t="shared" si="8"/>
        <v>Mencapai kompetensi dengan baik dalam hal</v>
      </c>
      <c r="AE3" s="23">
        <v>87</v>
      </c>
      <c r="AF3" s="18" t="str">
        <f t="shared" si="9"/>
        <v>Mencapai kompetensi dengan baik dalam hal</v>
      </c>
      <c r="AG3" s="23">
        <v>87</v>
      </c>
      <c r="AH3" s="18" t="str">
        <f t="shared" si="10"/>
        <v>Mencapai kompetensi dengan baik dalam hal</v>
      </c>
      <c r="AI3" s="23">
        <v>85</v>
      </c>
      <c r="AJ3" s="18" t="str">
        <f t="shared" si="11"/>
        <v>Mencapai kompetensi dengan baik dalam hal</v>
      </c>
      <c r="AK3" s="23">
        <v>87</v>
      </c>
      <c r="AL3" s="18" t="str">
        <f t="shared" si="12"/>
        <v>Mencapai kompetensi dengan baik dalam hal</v>
      </c>
      <c r="AM3" s="18" t="e">
        <f>VLOOKUP(#REF!,grades2,2,TRUE)</f>
        <v>#REF!</v>
      </c>
      <c r="AN3" s="62">
        <f t="shared" ref="AN3:AN66" si="17">AVERAGE(AK3,AI3,AG3)</f>
        <v>86.333333333333329</v>
      </c>
      <c r="AO3" s="23">
        <v>88</v>
      </c>
      <c r="AP3" s="18" t="str">
        <f t="shared" si="13"/>
        <v>Mencapai kompetensi dengan baik dalam hal</v>
      </c>
      <c r="AQ3" s="23">
        <v>81</v>
      </c>
      <c r="AR3" s="18" t="str">
        <f t="shared" si="14"/>
        <v>Mencapai kompetensi dengan baik dalam hal</v>
      </c>
      <c r="AS3" s="113">
        <v>2</v>
      </c>
      <c r="AT3" s="113">
        <v>1</v>
      </c>
      <c r="AU3" s="113" t="s">
        <v>81</v>
      </c>
      <c r="AV3" s="23">
        <v>1</v>
      </c>
      <c r="AW3" s="23" t="s">
        <v>82</v>
      </c>
      <c r="AX3" s="18" t="s">
        <v>83</v>
      </c>
      <c r="AY3" s="23" t="s">
        <v>84</v>
      </c>
      <c r="AZ3" s="18" t="str">
        <f t="shared" si="15"/>
        <v>Baik</v>
      </c>
      <c r="BA3" s="23">
        <v>2</v>
      </c>
      <c r="BB3" s="18" t="s">
        <v>227</v>
      </c>
      <c r="BC3" s="18" t="s">
        <v>83</v>
      </c>
      <c r="BD3" s="23" t="s">
        <v>84</v>
      </c>
      <c r="BE3" s="18" t="str">
        <f t="shared" si="16"/>
        <v>Baik</v>
      </c>
      <c r="BF3" s="23">
        <v>3</v>
      </c>
      <c r="BG3" s="23" t="s">
        <v>87</v>
      </c>
      <c r="BH3" s="23" t="s">
        <v>83</v>
      </c>
      <c r="BI3" s="23" t="s">
        <v>86</v>
      </c>
      <c r="BJ3" s="18" t="str">
        <f>VLOOKUP(BI3,grades4,2,TRUE)</f>
        <v>Sangat baik</v>
      </c>
      <c r="BL3" s="20">
        <v>0</v>
      </c>
      <c r="BM3" s="25" t="s">
        <v>95</v>
      </c>
      <c r="BN3" s="136"/>
      <c r="BO3" s="20">
        <v>0</v>
      </c>
      <c r="BP3" s="25" t="s">
        <v>95</v>
      </c>
      <c r="BQ3" s="136"/>
      <c r="BS3" s="20" t="s">
        <v>86</v>
      </c>
      <c r="BT3" s="25" t="s">
        <v>96</v>
      </c>
    </row>
    <row r="4" spans="1:72" ht="24.95" customHeight="1" thickTop="1" thickBot="1" x14ac:dyDescent="0.3">
      <c r="A4" s="23">
        <v>3</v>
      </c>
      <c r="B4" s="23">
        <v>2526052</v>
      </c>
      <c r="C4" s="23" t="s">
        <v>1542</v>
      </c>
      <c r="D4" s="18" t="s">
        <v>1543</v>
      </c>
      <c r="E4" s="23" t="s">
        <v>1536</v>
      </c>
      <c r="F4" s="23" t="s">
        <v>1537</v>
      </c>
      <c r="G4" s="23" t="s">
        <v>1538</v>
      </c>
      <c r="H4" s="23" t="s">
        <v>1539</v>
      </c>
      <c r="I4" s="60" t="s">
        <v>76</v>
      </c>
      <c r="J4" s="61" t="s">
        <v>77</v>
      </c>
      <c r="K4" s="61" t="s">
        <v>78</v>
      </c>
      <c r="L4" s="61" t="s">
        <v>79</v>
      </c>
      <c r="M4" s="23">
        <v>77</v>
      </c>
      <c r="N4" s="18" t="str">
        <f t="shared" si="0"/>
        <v>Mencapai kompetensi dengan baik dalam hal</v>
      </c>
      <c r="O4" s="23">
        <v>75</v>
      </c>
      <c r="P4" s="18" t="str">
        <f t="shared" si="1"/>
        <v>Mencapai kompetensi dengan baik dalam hal</v>
      </c>
      <c r="Q4" s="23">
        <v>80</v>
      </c>
      <c r="R4" s="18" t="str">
        <f t="shared" si="2"/>
        <v>Mencapai kompetensi dengan baik dalam hal</v>
      </c>
      <c r="S4" s="23">
        <v>79</v>
      </c>
      <c r="T4" s="18" t="str">
        <f t="shared" si="3"/>
        <v>Mencapai kompetensi dengan baik dalam hal</v>
      </c>
      <c r="U4" s="23">
        <v>85</v>
      </c>
      <c r="V4" s="18" t="str">
        <f t="shared" si="4"/>
        <v>Mencapai kompetensi dengan baik dalam hal</v>
      </c>
      <c r="W4" s="23">
        <v>83</v>
      </c>
      <c r="X4" s="18" t="str">
        <f t="shared" si="5"/>
        <v>Mencapai kompetensi dengan baik dalam hal</v>
      </c>
      <c r="Y4" s="23">
        <v>78</v>
      </c>
      <c r="Z4" s="18" t="str">
        <f t="shared" si="6"/>
        <v>Mencapai kompetensi dengan baik dalam hal</v>
      </c>
      <c r="AA4" s="23">
        <v>76</v>
      </c>
      <c r="AB4" s="18" t="str">
        <f t="shared" si="7"/>
        <v>Mencapai kompetensi dengan baik dalam hal</v>
      </c>
      <c r="AC4" s="23">
        <v>83</v>
      </c>
      <c r="AD4" s="18" t="str">
        <f t="shared" si="8"/>
        <v>Mencapai kompetensi dengan baik dalam hal</v>
      </c>
      <c r="AE4" s="23">
        <v>84</v>
      </c>
      <c r="AF4" s="18" t="str">
        <f t="shared" si="9"/>
        <v>Mencapai kompetensi dengan baik dalam hal</v>
      </c>
      <c r="AG4" s="23">
        <v>83</v>
      </c>
      <c r="AH4" s="18" t="str">
        <f t="shared" si="10"/>
        <v>Mencapai kompetensi dengan baik dalam hal</v>
      </c>
      <c r="AI4" s="23">
        <v>80</v>
      </c>
      <c r="AJ4" s="18" t="str">
        <f t="shared" si="11"/>
        <v>Mencapai kompetensi dengan baik dalam hal</v>
      </c>
      <c r="AK4" s="23">
        <v>83</v>
      </c>
      <c r="AL4" s="18" t="str">
        <f t="shared" si="12"/>
        <v>Mencapai kompetensi dengan baik dalam hal</v>
      </c>
      <c r="AM4" s="18" t="e">
        <f>VLOOKUP(#REF!,grades2,2,TRUE)</f>
        <v>#REF!</v>
      </c>
      <c r="AN4" s="62">
        <f t="shared" si="17"/>
        <v>82</v>
      </c>
      <c r="AO4" s="23">
        <v>83</v>
      </c>
      <c r="AP4" s="18" t="str">
        <f t="shared" si="13"/>
        <v>Mencapai kompetensi dengan baik dalam hal</v>
      </c>
      <c r="AQ4" s="23">
        <v>77</v>
      </c>
      <c r="AR4" s="18" t="str">
        <f t="shared" si="14"/>
        <v>Mencapai kompetensi dengan baik dalam hal</v>
      </c>
      <c r="AS4" s="113" t="s">
        <v>81</v>
      </c>
      <c r="AT4" s="113" t="s">
        <v>81</v>
      </c>
      <c r="AU4" s="113" t="s">
        <v>81</v>
      </c>
      <c r="AV4" s="23">
        <v>1</v>
      </c>
      <c r="AW4" s="23" t="s">
        <v>82</v>
      </c>
      <c r="AX4" s="18" t="s">
        <v>83</v>
      </c>
      <c r="AY4" s="23" t="s">
        <v>86</v>
      </c>
      <c r="AZ4" s="18" t="str">
        <f t="shared" si="15"/>
        <v>Sangat baik</v>
      </c>
      <c r="BA4" s="23">
        <v>2</v>
      </c>
      <c r="BB4" s="18" t="s">
        <v>162</v>
      </c>
      <c r="BC4" s="18" t="s">
        <v>83</v>
      </c>
      <c r="BD4" s="23" t="s">
        <v>84</v>
      </c>
      <c r="BE4" s="18" t="str">
        <f t="shared" si="16"/>
        <v>Baik</v>
      </c>
      <c r="BF4" s="23"/>
      <c r="BG4" s="23"/>
      <c r="BH4" s="23"/>
      <c r="BI4" s="23"/>
      <c r="BJ4" s="18"/>
      <c r="BL4" s="20">
        <v>60</v>
      </c>
      <c r="BM4" s="25" t="s">
        <v>95</v>
      </c>
      <c r="BN4" s="136"/>
      <c r="BO4" s="20">
        <v>60</v>
      </c>
      <c r="BP4" s="25" t="s">
        <v>95</v>
      </c>
      <c r="BQ4" s="136"/>
      <c r="BS4" s="20" t="s">
        <v>84</v>
      </c>
      <c r="BT4" s="25" t="s">
        <v>100</v>
      </c>
    </row>
    <row r="5" spans="1:72" ht="24.95" customHeight="1" thickTop="1" thickBot="1" x14ac:dyDescent="0.3">
      <c r="A5" s="23">
        <v>4</v>
      </c>
      <c r="B5" s="23">
        <v>2526053</v>
      </c>
      <c r="C5" s="23" t="s">
        <v>1544</v>
      </c>
      <c r="D5" s="18" t="s">
        <v>1545</v>
      </c>
      <c r="E5" s="23" t="s">
        <v>1536</v>
      </c>
      <c r="F5" s="23" t="s">
        <v>1537</v>
      </c>
      <c r="G5" s="23" t="s">
        <v>1538</v>
      </c>
      <c r="H5" s="23" t="s">
        <v>1539</v>
      </c>
      <c r="I5" s="60" t="s">
        <v>76</v>
      </c>
      <c r="J5" s="61" t="s">
        <v>77</v>
      </c>
      <c r="K5" s="61" t="s">
        <v>78</v>
      </c>
      <c r="L5" s="61" t="s">
        <v>79</v>
      </c>
      <c r="M5" s="23">
        <v>76</v>
      </c>
      <c r="N5" s="18" t="str">
        <f t="shared" si="0"/>
        <v>Mencapai kompetensi dengan baik dalam hal</v>
      </c>
      <c r="O5" s="23">
        <v>76</v>
      </c>
      <c r="P5" s="18" t="str">
        <f t="shared" si="1"/>
        <v>Mencapai kompetensi dengan baik dalam hal</v>
      </c>
      <c r="Q5" s="23">
        <v>82</v>
      </c>
      <c r="R5" s="18" t="str">
        <f t="shared" si="2"/>
        <v>Mencapai kompetensi dengan baik dalam hal</v>
      </c>
      <c r="S5" s="23">
        <v>80</v>
      </c>
      <c r="T5" s="18" t="str">
        <f t="shared" si="3"/>
        <v>Mencapai kompetensi dengan baik dalam hal</v>
      </c>
      <c r="U5" s="23">
        <v>81</v>
      </c>
      <c r="V5" s="18" t="str">
        <f t="shared" si="4"/>
        <v>Mencapai kompetensi dengan baik dalam hal</v>
      </c>
      <c r="W5" s="23">
        <v>80</v>
      </c>
      <c r="X5" s="18" t="str">
        <f t="shared" si="5"/>
        <v>Mencapai kompetensi dengan baik dalam hal</v>
      </c>
      <c r="Y5" s="23">
        <v>82</v>
      </c>
      <c r="Z5" s="18" t="str">
        <f t="shared" si="6"/>
        <v>Mencapai kompetensi dengan baik dalam hal</v>
      </c>
      <c r="AA5" s="23">
        <v>80</v>
      </c>
      <c r="AB5" s="18" t="str">
        <f t="shared" si="7"/>
        <v>Mencapai kompetensi dengan baik dalam hal</v>
      </c>
      <c r="AC5" s="23">
        <v>86</v>
      </c>
      <c r="AD5" s="18" t="str">
        <f t="shared" si="8"/>
        <v>Mencapai kompetensi dengan baik dalam hal</v>
      </c>
      <c r="AE5" s="23">
        <v>86</v>
      </c>
      <c r="AF5" s="18" t="str">
        <f t="shared" si="9"/>
        <v>Mencapai kompetensi dengan baik dalam hal</v>
      </c>
      <c r="AG5" s="23">
        <v>86</v>
      </c>
      <c r="AH5" s="18" t="str">
        <f t="shared" si="10"/>
        <v>Mencapai kompetensi dengan baik dalam hal</v>
      </c>
      <c r="AI5" s="23">
        <v>89</v>
      </c>
      <c r="AJ5" s="18" t="str">
        <f t="shared" si="11"/>
        <v>Mencapai kompetensi dengan baik dalam hal</v>
      </c>
      <c r="AK5" s="23">
        <v>85</v>
      </c>
      <c r="AL5" s="18" t="str">
        <f t="shared" si="12"/>
        <v>Mencapai kompetensi dengan baik dalam hal</v>
      </c>
      <c r="AM5" s="18" t="e">
        <f>VLOOKUP(#REF!,grades2,2,TRUE)</f>
        <v>#REF!</v>
      </c>
      <c r="AN5" s="62">
        <f t="shared" si="17"/>
        <v>86.666666666666671</v>
      </c>
      <c r="AO5" s="23">
        <v>86</v>
      </c>
      <c r="AP5" s="18" t="str">
        <f t="shared" si="13"/>
        <v>Mencapai kompetensi dengan baik dalam hal</v>
      </c>
      <c r="AQ5" s="23">
        <v>76</v>
      </c>
      <c r="AR5" s="18" t="str">
        <f t="shared" si="14"/>
        <v>Mencapai kompetensi dengan baik dalam hal</v>
      </c>
      <c r="AS5" s="113">
        <v>3</v>
      </c>
      <c r="AT5" s="113" t="s">
        <v>81</v>
      </c>
      <c r="AU5" s="113" t="s">
        <v>81</v>
      </c>
      <c r="AV5" s="23">
        <v>1</v>
      </c>
      <c r="AW5" s="23" t="s">
        <v>82</v>
      </c>
      <c r="AX5" s="18" t="s">
        <v>83</v>
      </c>
      <c r="AY5" s="23" t="s">
        <v>84</v>
      </c>
      <c r="AZ5" s="18" t="str">
        <f t="shared" si="15"/>
        <v>Baik</v>
      </c>
      <c r="BA5" s="23">
        <v>2</v>
      </c>
      <c r="BB5" s="18" t="s">
        <v>134</v>
      </c>
      <c r="BC5" s="18" t="s">
        <v>83</v>
      </c>
      <c r="BD5" s="23" t="s">
        <v>84</v>
      </c>
      <c r="BE5" s="18" t="str">
        <f t="shared" si="16"/>
        <v>Baik</v>
      </c>
      <c r="BF5" s="23"/>
      <c r="BG5" s="23"/>
      <c r="BH5" s="23"/>
      <c r="BI5" s="23"/>
      <c r="BJ5" s="18"/>
      <c r="BL5" s="20">
        <v>70</v>
      </c>
      <c r="BM5" s="25" t="s">
        <v>95</v>
      </c>
      <c r="BN5" s="136"/>
      <c r="BO5" s="20">
        <v>70</v>
      </c>
      <c r="BP5" s="25" t="s">
        <v>95</v>
      </c>
      <c r="BQ5" s="136"/>
      <c r="BS5" s="20" t="s">
        <v>104</v>
      </c>
      <c r="BT5" s="25" t="s">
        <v>105</v>
      </c>
    </row>
    <row r="6" spans="1:72" ht="24.95" customHeight="1" thickTop="1" thickBot="1" x14ac:dyDescent="0.3">
      <c r="A6" s="23">
        <v>5</v>
      </c>
      <c r="B6" s="23">
        <v>2526054</v>
      </c>
      <c r="C6" s="23" t="s">
        <v>1546</v>
      </c>
      <c r="D6" s="18" t="s">
        <v>1547</v>
      </c>
      <c r="E6" s="23" t="s">
        <v>1536</v>
      </c>
      <c r="F6" s="23" t="s">
        <v>1537</v>
      </c>
      <c r="G6" s="23" t="s">
        <v>1538</v>
      </c>
      <c r="H6" s="23" t="s">
        <v>1539</v>
      </c>
      <c r="I6" s="60" t="s">
        <v>76</v>
      </c>
      <c r="J6" s="61" t="s">
        <v>77</v>
      </c>
      <c r="K6" s="61" t="s">
        <v>78</v>
      </c>
      <c r="L6" s="61" t="s">
        <v>79</v>
      </c>
      <c r="M6" s="23">
        <v>79</v>
      </c>
      <c r="N6" s="18" t="str">
        <f t="shared" si="0"/>
        <v>Mencapai kompetensi dengan baik dalam hal</v>
      </c>
      <c r="O6" s="23">
        <v>77</v>
      </c>
      <c r="P6" s="18" t="str">
        <f t="shared" si="1"/>
        <v>Mencapai kompetensi dengan baik dalam hal</v>
      </c>
      <c r="Q6" s="23">
        <v>80</v>
      </c>
      <c r="R6" s="18" t="str">
        <f t="shared" si="2"/>
        <v>Mencapai kompetensi dengan baik dalam hal</v>
      </c>
      <c r="S6" s="23">
        <v>79</v>
      </c>
      <c r="T6" s="18" t="str">
        <f t="shared" si="3"/>
        <v>Mencapai kompetensi dengan baik dalam hal</v>
      </c>
      <c r="U6" s="23">
        <v>83</v>
      </c>
      <c r="V6" s="18" t="str">
        <f t="shared" si="4"/>
        <v>Mencapai kompetensi dengan baik dalam hal</v>
      </c>
      <c r="W6" s="23">
        <v>80</v>
      </c>
      <c r="X6" s="18" t="str">
        <f t="shared" si="5"/>
        <v>Mencapai kompetensi dengan baik dalam hal</v>
      </c>
      <c r="Y6" s="23">
        <v>80</v>
      </c>
      <c r="Z6" s="18" t="str">
        <f t="shared" si="6"/>
        <v>Mencapai kompetensi dengan baik dalam hal</v>
      </c>
      <c r="AA6" s="23">
        <v>78</v>
      </c>
      <c r="AB6" s="18" t="str">
        <f t="shared" si="7"/>
        <v>Mencapai kompetensi dengan baik dalam hal</v>
      </c>
      <c r="AC6" s="23">
        <v>80</v>
      </c>
      <c r="AD6" s="18" t="str">
        <f t="shared" si="8"/>
        <v>Mencapai kompetensi dengan baik dalam hal</v>
      </c>
      <c r="AE6" s="23">
        <v>87</v>
      </c>
      <c r="AF6" s="18" t="str">
        <f t="shared" si="9"/>
        <v>Mencapai kompetensi dengan baik dalam hal</v>
      </c>
      <c r="AG6" s="23">
        <v>83</v>
      </c>
      <c r="AH6" s="18" t="str">
        <f t="shared" si="10"/>
        <v>Mencapai kompetensi dengan baik dalam hal</v>
      </c>
      <c r="AI6" s="23">
        <v>87</v>
      </c>
      <c r="AJ6" s="18" t="str">
        <f t="shared" si="11"/>
        <v>Mencapai kompetensi dengan baik dalam hal</v>
      </c>
      <c r="AK6" s="23">
        <v>85</v>
      </c>
      <c r="AL6" s="18" t="str">
        <f t="shared" si="12"/>
        <v>Mencapai kompetensi dengan baik dalam hal</v>
      </c>
      <c r="AM6" s="18" t="e">
        <f>VLOOKUP(#REF!,grades2,2,TRUE)</f>
        <v>#REF!</v>
      </c>
      <c r="AN6" s="62">
        <f t="shared" si="17"/>
        <v>85</v>
      </c>
      <c r="AO6" s="23">
        <v>80</v>
      </c>
      <c r="AP6" s="18" t="str">
        <f t="shared" si="13"/>
        <v>Mencapai kompetensi dengan baik dalam hal</v>
      </c>
      <c r="AQ6" s="23">
        <v>75</v>
      </c>
      <c r="AR6" s="18" t="str">
        <f t="shared" si="14"/>
        <v>Mencapai kompetensi dengan baik dalam hal</v>
      </c>
      <c r="AS6" s="113" t="s">
        <v>81</v>
      </c>
      <c r="AT6" s="113" t="s">
        <v>81</v>
      </c>
      <c r="AU6" s="113" t="s">
        <v>81</v>
      </c>
      <c r="AV6" s="23">
        <v>1</v>
      </c>
      <c r="AW6" s="23" t="s">
        <v>82</v>
      </c>
      <c r="AX6" s="18" t="s">
        <v>83</v>
      </c>
      <c r="AY6" s="23" t="s">
        <v>86</v>
      </c>
      <c r="AZ6" s="18" t="str">
        <f t="shared" si="15"/>
        <v>Sangat baik</v>
      </c>
      <c r="BA6" s="23">
        <v>2</v>
      </c>
      <c r="BB6" s="18" t="s">
        <v>579</v>
      </c>
      <c r="BC6" s="18" t="s">
        <v>83</v>
      </c>
      <c r="BD6" s="23" t="s">
        <v>86</v>
      </c>
      <c r="BE6" s="18" t="str">
        <f t="shared" si="16"/>
        <v>Sangat baik</v>
      </c>
      <c r="BF6" s="23"/>
      <c r="BG6" s="23"/>
      <c r="BH6" s="23"/>
      <c r="BI6" s="23"/>
      <c r="BJ6" s="18"/>
      <c r="BL6" s="20">
        <v>75</v>
      </c>
      <c r="BM6" s="25" t="s">
        <v>109</v>
      </c>
      <c r="BN6" s="136"/>
      <c r="BO6" s="20">
        <v>78</v>
      </c>
      <c r="BP6" s="25" t="s">
        <v>109</v>
      </c>
      <c r="BQ6" s="136"/>
      <c r="BS6" s="20" t="s">
        <v>110</v>
      </c>
      <c r="BT6" s="25" t="s">
        <v>111</v>
      </c>
    </row>
    <row r="7" spans="1:72" ht="24.95" customHeight="1" thickTop="1" thickBot="1" x14ac:dyDescent="0.3">
      <c r="A7" s="23">
        <v>6</v>
      </c>
      <c r="B7" s="23">
        <v>2526055</v>
      </c>
      <c r="C7" s="23" t="s">
        <v>1548</v>
      </c>
      <c r="D7" s="18" t="s">
        <v>1549</v>
      </c>
      <c r="E7" s="23" t="s">
        <v>1536</v>
      </c>
      <c r="F7" s="23" t="s">
        <v>1537</v>
      </c>
      <c r="G7" s="23" t="s">
        <v>1538</v>
      </c>
      <c r="H7" s="23" t="s">
        <v>1539</v>
      </c>
      <c r="I7" s="60" t="s">
        <v>76</v>
      </c>
      <c r="J7" s="61" t="s">
        <v>77</v>
      </c>
      <c r="K7" s="61" t="s">
        <v>78</v>
      </c>
      <c r="L7" s="61" t="s">
        <v>79</v>
      </c>
      <c r="M7" s="23">
        <v>77</v>
      </c>
      <c r="N7" s="18" t="str">
        <f t="shared" si="0"/>
        <v>Mencapai kompetensi dengan baik dalam hal</v>
      </c>
      <c r="O7" s="23">
        <v>76</v>
      </c>
      <c r="P7" s="18" t="str">
        <f t="shared" si="1"/>
        <v>Mencapai kompetensi dengan baik dalam hal</v>
      </c>
      <c r="Q7" s="23">
        <v>80</v>
      </c>
      <c r="R7" s="18" t="str">
        <f t="shared" si="2"/>
        <v>Mencapai kompetensi dengan baik dalam hal</v>
      </c>
      <c r="S7" s="23">
        <v>79</v>
      </c>
      <c r="T7" s="18" t="str">
        <f t="shared" si="3"/>
        <v>Mencapai kompetensi dengan baik dalam hal</v>
      </c>
      <c r="U7" s="23">
        <v>79</v>
      </c>
      <c r="V7" s="18" t="str">
        <f t="shared" si="4"/>
        <v>Mencapai kompetensi dengan baik dalam hal</v>
      </c>
      <c r="W7" s="23">
        <v>80</v>
      </c>
      <c r="X7" s="18" t="str">
        <f t="shared" si="5"/>
        <v>Mencapai kompetensi dengan baik dalam hal</v>
      </c>
      <c r="Y7" s="23">
        <v>79</v>
      </c>
      <c r="Z7" s="18" t="str">
        <f t="shared" si="6"/>
        <v>Mencapai kompetensi dengan baik dalam hal</v>
      </c>
      <c r="AA7" s="23">
        <v>76</v>
      </c>
      <c r="AB7" s="18" t="str">
        <f t="shared" si="7"/>
        <v>Mencapai kompetensi dengan baik dalam hal</v>
      </c>
      <c r="AC7" s="23">
        <v>83</v>
      </c>
      <c r="AD7" s="18" t="str">
        <f t="shared" si="8"/>
        <v>Mencapai kompetensi dengan baik dalam hal</v>
      </c>
      <c r="AE7" s="23">
        <v>85</v>
      </c>
      <c r="AF7" s="18" t="str">
        <f t="shared" si="9"/>
        <v>Mencapai kompetensi dengan baik dalam hal</v>
      </c>
      <c r="AG7" s="23">
        <v>80</v>
      </c>
      <c r="AH7" s="18" t="str">
        <f t="shared" si="10"/>
        <v>Mencapai kompetensi dengan baik dalam hal</v>
      </c>
      <c r="AI7" s="23">
        <v>87</v>
      </c>
      <c r="AJ7" s="18" t="str">
        <f t="shared" si="11"/>
        <v>Mencapai kompetensi dengan baik dalam hal</v>
      </c>
      <c r="AK7" s="23">
        <v>82</v>
      </c>
      <c r="AL7" s="18" t="str">
        <f t="shared" si="12"/>
        <v>Mencapai kompetensi dengan baik dalam hal</v>
      </c>
      <c r="AM7" s="18" t="e">
        <f>VLOOKUP(#REF!,grades2,2,TRUE)</f>
        <v>#REF!</v>
      </c>
      <c r="AN7" s="62">
        <f t="shared" si="17"/>
        <v>83</v>
      </c>
      <c r="AO7" s="23">
        <v>83</v>
      </c>
      <c r="AP7" s="18" t="str">
        <f t="shared" si="13"/>
        <v>Mencapai kompetensi dengan baik dalam hal</v>
      </c>
      <c r="AQ7" s="23">
        <v>75</v>
      </c>
      <c r="AR7" s="18" t="str">
        <f t="shared" si="14"/>
        <v>Mencapai kompetensi dengan baik dalam hal</v>
      </c>
      <c r="AS7" s="113" t="s">
        <v>81</v>
      </c>
      <c r="AT7" s="113" t="s">
        <v>81</v>
      </c>
      <c r="AU7" s="113" t="s">
        <v>81</v>
      </c>
      <c r="AV7" s="23">
        <v>1</v>
      </c>
      <c r="AW7" s="23" t="s">
        <v>82</v>
      </c>
      <c r="AX7" s="18" t="s">
        <v>83</v>
      </c>
      <c r="AY7" s="23" t="s">
        <v>84</v>
      </c>
      <c r="AZ7" s="18" t="str">
        <f t="shared" si="15"/>
        <v>Baik</v>
      </c>
      <c r="BA7" s="23">
        <v>2</v>
      </c>
      <c r="BB7" s="18" t="s">
        <v>579</v>
      </c>
      <c r="BC7" s="18" t="s">
        <v>83</v>
      </c>
      <c r="BD7" s="23" t="s">
        <v>84</v>
      </c>
      <c r="BE7" s="18" t="str">
        <f t="shared" si="16"/>
        <v>Baik</v>
      </c>
      <c r="BF7" s="23"/>
      <c r="BG7" s="23"/>
      <c r="BH7" s="23"/>
      <c r="BI7" s="23"/>
      <c r="BJ7" s="18"/>
      <c r="BL7" s="20">
        <v>80</v>
      </c>
      <c r="BM7" s="25" t="s">
        <v>109</v>
      </c>
      <c r="BN7" s="136"/>
      <c r="BO7" s="20">
        <v>80</v>
      </c>
      <c r="BP7" s="25" t="s">
        <v>109</v>
      </c>
      <c r="BQ7" s="136"/>
    </row>
    <row r="8" spans="1:72" ht="24.95" customHeight="1" thickTop="1" thickBot="1" x14ac:dyDescent="0.3">
      <c r="A8" s="23">
        <v>7</v>
      </c>
      <c r="B8" s="23">
        <v>2526056</v>
      </c>
      <c r="C8" s="23" t="s">
        <v>1550</v>
      </c>
      <c r="D8" s="18" t="s">
        <v>1551</v>
      </c>
      <c r="E8" s="23" t="s">
        <v>1536</v>
      </c>
      <c r="F8" s="23" t="s">
        <v>1537</v>
      </c>
      <c r="G8" s="23" t="s">
        <v>1538</v>
      </c>
      <c r="H8" s="23" t="s">
        <v>1539</v>
      </c>
      <c r="I8" s="60" t="s">
        <v>76</v>
      </c>
      <c r="J8" s="61" t="s">
        <v>77</v>
      </c>
      <c r="K8" s="61" t="s">
        <v>78</v>
      </c>
      <c r="L8" s="61" t="s">
        <v>79</v>
      </c>
      <c r="M8" s="23">
        <v>77</v>
      </c>
      <c r="N8" s="18" t="str">
        <f t="shared" si="0"/>
        <v>Mencapai kompetensi dengan baik dalam hal</v>
      </c>
      <c r="O8" s="23">
        <v>77</v>
      </c>
      <c r="P8" s="18" t="str">
        <f t="shared" si="1"/>
        <v>Mencapai kompetensi dengan baik dalam hal</v>
      </c>
      <c r="Q8" s="23">
        <v>80</v>
      </c>
      <c r="R8" s="18" t="str">
        <f t="shared" si="2"/>
        <v>Mencapai kompetensi dengan baik dalam hal</v>
      </c>
      <c r="S8" s="23">
        <v>79</v>
      </c>
      <c r="T8" s="18" t="str">
        <f t="shared" si="3"/>
        <v>Mencapai kompetensi dengan baik dalam hal</v>
      </c>
      <c r="U8" s="23">
        <v>84</v>
      </c>
      <c r="V8" s="18" t="str">
        <f t="shared" si="4"/>
        <v>Mencapai kompetensi dengan baik dalam hal</v>
      </c>
      <c r="W8" s="23">
        <v>88</v>
      </c>
      <c r="X8" s="18" t="str">
        <f t="shared" si="5"/>
        <v>Mencapai kompetensi dengan baik dalam hal</v>
      </c>
      <c r="Y8" s="23">
        <v>82</v>
      </c>
      <c r="Z8" s="18" t="str">
        <f t="shared" si="6"/>
        <v>Mencapai kompetensi dengan baik dalam hal</v>
      </c>
      <c r="AA8" s="23">
        <v>82</v>
      </c>
      <c r="AB8" s="18" t="str">
        <f t="shared" si="7"/>
        <v>Mencapai kompetensi dengan baik dalam hal</v>
      </c>
      <c r="AC8" s="23">
        <v>81</v>
      </c>
      <c r="AD8" s="18" t="str">
        <f t="shared" si="8"/>
        <v>Mencapai kompetensi dengan baik dalam hal</v>
      </c>
      <c r="AE8" s="23">
        <v>90</v>
      </c>
      <c r="AF8" s="18" t="str">
        <f t="shared" si="9"/>
        <v>Mencapai kompetensi dengan sangat baik dalam hal</v>
      </c>
      <c r="AG8" s="23">
        <v>88</v>
      </c>
      <c r="AH8" s="18" t="str">
        <f t="shared" si="10"/>
        <v>Mencapai kompetensi dengan baik dalam hal</v>
      </c>
      <c r="AI8" s="23">
        <v>87</v>
      </c>
      <c r="AJ8" s="18" t="str">
        <f t="shared" si="11"/>
        <v>Mencapai kompetensi dengan baik dalam hal</v>
      </c>
      <c r="AK8" s="23">
        <v>90</v>
      </c>
      <c r="AL8" s="18" t="str">
        <f t="shared" si="12"/>
        <v>Mencapai kompetensi dengan sangat baik dalam hal</v>
      </c>
      <c r="AM8" s="18" t="e">
        <f>VLOOKUP(#REF!,grades2,2,TRUE)</f>
        <v>#REF!</v>
      </c>
      <c r="AN8" s="62">
        <f t="shared" si="17"/>
        <v>88.333333333333329</v>
      </c>
      <c r="AO8" s="23">
        <v>81</v>
      </c>
      <c r="AP8" s="18" t="str">
        <f t="shared" si="13"/>
        <v>Mencapai kompetensi dengan baik dalam hal</v>
      </c>
      <c r="AQ8" s="23">
        <v>81</v>
      </c>
      <c r="AR8" s="18" t="str">
        <f t="shared" si="14"/>
        <v>Mencapai kompetensi dengan baik dalam hal</v>
      </c>
      <c r="AS8" s="113" t="s">
        <v>81</v>
      </c>
      <c r="AT8" s="113" t="s">
        <v>81</v>
      </c>
      <c r="AU8" s="113" t="s">
        <v>81</v>
      </c>
      <c r="AV8" s="23">
        <v>1</v>
      </c>
      <c r="AW8" s="23" t="s">
        <v>82</v>
      </c>
      <c r="AX8" s="18" t="s">
        <v>83</v>
      </c>
      <c r="AY8" s="23" t="s">
        <v>86</v>
      </c>
      <c r="AZ8" s="18" t="str">
        <f t="shared" si="15"/>
        <v>Sangat baik</v>
      </c>
      <c r="BA8" s="23">
        <v>2</v>
      </c>
      <c r="BB8" s="18" t="s">
        <v>85</v>
      </c>
      <c r="BC8" s="18" t="s">
        <v>83</v>
      </c>
      <c r="BD8" s="23" t="s">
        <v>86</v>
      </c>
      <c r="BE8" s="18" t="str">
        <f t="shared" si="16"/>
        <v>Sangat baik</v>
      </c>
      <c r="BF8" s="23">
        <v>3</v>
      </c>
      <c r="BG8" s="23" t="s">
        <v>87</v>
      </c>
      <c r="BH8" s="23" t="s">
        <v>83</v>
      </c>
      <c r="BI8" s="23" t="s">
        <v>86</v>
      </c>
      <c r="BJ8" s="18" t="str">
        <f>VLOOKUP(BI8,grades4,2,TRUE)</f>
        <v>Sangat baik</v>
      </c>
      <c r="BL8" s="20">
        <v>85</v>
      </c>
      <c r="BM8" s="25" t="s">
        <v>109</v>
      </c>
      <c r="BN8" s="136"/>
      <c r="BO8" s="20">
        <v>85</v>
      </c>
      <c r="BP8" s="25" t="s">
        <v>109</v>
      </c>
      <c r="BQ8" s="136"/>
    </row>
    <row r="9" spans="1:72" ht="24.95" customHeight="1" thickTop="1" thickBot="1" x14ac:dyDescent="0.3">
      <c r="A9" s="23">
        <v>8</v>
      </c>
      <c r="B9" s="23">
        <v>2526057</v>
      </c>
      <c r="C9" s="23" t="s">
        <v>1552</v>
      </c>
      <c r="D9" s="18" t="s">
        <v>1553</v>
      </c>
      <c r="E9" s="23" t="s">
        <v>1536</v>
      </c>
      <c r="F9" s="23" t="s">
        <v>1537</v>
      </c>
      <c r="G9" s="23" t="s">
        <v>1538</v>
      </c>
      <c r="H9" s="23" t="s">
        <v>1539</v>
      </c>
      <c r="I9" s="60" t="s">
        <v>76</v>
      </c>
      <c r="J9" s="61" t="s">
        <v>77</v>
      </c>
      <c r="K9" s="61" t="s">
        <v>78</v>
      </c>
      <c r="L9" s="61" t="s">
        <v>79</v>
      </c>
      <c r="M9" s="23">
        <v>79</v>
      </c>
      <c r="N9" s="18" t="str">
        <f t="shared" si="0"/>
        <v>Mencapai kompetensi dengan baik dalam hal</v>
      </c>
      <c r="O9" s="23">
        <v>76</v>
      </c>
      <c r="P9" s="18" t="str">
        <f t="shared" si="1"/>
        <v>Mencapai kompetensi dengan baik dalam hal</v>
      </c>
      <c r="Q9" s="23">
        <v>80</v>
      </c>
      <c r="R9" s="18" t="str">
        <f t="shared" si="2"/>
        <v>Mencapai kompetensi dengan baik dalam hal</v>
      </c>
      <c r="S9" s="23">
        <v>79</v>
      </c>
      <c r="T9" s="18" t="str">
        <f t="shared" si="3"/>
        <v>Mencapai kompetensi dengan baik dalam hal</v>
      </c>
      <c r="U9" s="23">
        <v>79</v>
      </c>
      <c r="V9" s="18" t="str">
        <f t="shared" si="4"/>
        <v>Mencapai kompetensi dengan baik dalam hal</v>
      </c>
      <c r="W9" s="23">
        <v>86</v>
      </c>
      <c r="X9" s="18" t="str">
        <f t="shared" si="5"/>
        <v>Mencapai kompetensi dengan baik dalam hal</v>
      </c>
      <c r="Y9" s="23">
        <v>81</v>
      </c>
      <c r="Z9" s="18" t="str">
        <f t="shared" si="6"/>
        <v>Mencapai kompetensi dengan baik dalam hal</v>
      </c>
      <c r="AA9" s="23">
        <v>79</v>
      </c>
      <c r="AB9" s="18" t="str">
        <f t="shared" si="7"/>
        <v>Mencapai kompetensi dengan baik dalam hal</v>
      </c>
      <c r="AC9" s="23">
        <v>78</v>
      </c>
      <c r="AD9" s="18" t="str">
        <f t="shared" si="8"/>
        <v>Mencapai kompetensi dengan baik dalam hal</v>
      </c>
      <c r="AE9" s="23">
        <v>85</v>
      </c>
      <c r="AF9" s="18" t="str">
        <f t="shared" si="9"/>
        <v>Mencapai kompetensi dengan baik dalam hal</v>
      </c>
      <c r="AG9" s="23">
        <v>85</v>
      </c>
      <c r="AH9" s="18" t="str">
        <f t="shared" si="10"/>
        <v>Mencapai kompetensi dengan baik dalam hal</v>
      </c>
      <c r="AI9" s="23">
        <v>84</v>
      </c>
      <c r="AJ9" s="18" t="str">
        <f t="shared" si="11"/>
        <v>Mencapai kompetensi dengan baik dalam hal</v>
      </c>
      <c r="AK9" s="23">
        <v>88</v>
      </c>
      <c r="AL9" s="18" t="str">
        <f t="shared" si="12"/>
        <v>Mencapai kompetensi dengan baik dalam hal</v>
      </c>
      <c r="AM9" s="18" t="e">
        <f>VLOOKUP(#REF!,grades2,2,TRUE)</f>
        <v>#REF!</v>
      </c>
      <c r="AN9" s="62">
        <f t="shared" si="17"/>
        <v>85.666666666666671</v>
      </c>
      <c r="AO9" s="23">
        <v>78</v>
      </c>
      <c r="AP9" s="18" t="str">
        <f t="shared" si="13"/>
        <v>Mencapai kompetensi dengan baik dalam hal</v>
      </c>
      <c r="AQ9" s="23">
        <v>80</v>
      </c>
      <c r="AR9" s="18" t="str">
        <f t="shared" si="14"/>
        <v>Mencapai kompetensi dengan baik dalam hal</v>
      </c>
      <c r="AS9" s="113" t="s">
        <v>81</v>
      </c>
      <c r="AT9" s="113" t="s">
        <v>81</v>
      </c>
      <c r="AU9" s="113" t="s">
        <v>81</v>
      </c>
      <c r="AV9" s="23">
        <v>1</v>
      </c>
      <c r="AW9" s="23" t="s">
        <v>82</v>
      </c>
      <c r="AX9" s="18" t="s">
        <v>83</v>
      </c>
      <c r="AY9" s="23" t="s">
        <v>84</v>
      </c>
      <c r="AZ9" s="18" t="str">
        <f t="shared" si="15"/>
        <v>Baik</v>
      </c>
      <c r="BA9" s="23">
        <v>2</v>
      </c>
      <c r="BB9" s="18" t="s">
        <v>162</v>
      </c>
      <c r="BC9" s="18" t="s">
        <v>83</v>
      </c>
      <c r="BD9" s="23" t="s">
        <v>86</v>
      </c>
      <c r="BE9" s="18" t="str">
        <f t="shared" si="16"/>
        <v>Sangat baik</v>
      </c>
      <c r="BF9" s="23">
        <v>3</v>
      </c>
      <c r="BG9" s="23" t="s">
        <v>87</v>
      </c>
      <c r="BH9" s="23" t="s">
        <v>83</v>
      </c>
      <c r="BI9" s="23" t="s">
        <v>84</v>
      </c>
      <c r="BJ9" s="18" t="str">
        <f>VLOOKUP(BI9,grades4,2,TRUE)</f>
        <v>Baik</v>
      </c>
      <c r="BL9" s="20">
        <v>90</v>
      </c>
      <c r="BM9" s="25" t="s">
        <v>120</v>
      </c>
      <c r="BN9" s="136"/>
      <c r="BO9" s="20">
        <v>90</v>
      </c>
      <c r="BP9" s="25" t="s">
        <v>120</v>
      </c>
      <c r="BQ9" s="136"/>
    </row>
    <row r="10" spans="1:72" ht="24.95" customHeight="1" thickTop="1" thickBot="1" x14ac:dyDescent="0.3">
      <c r="A10" s="23">
        <v>9</v>
      </c>
      <c r="B10" s="23">
        <v>2526058</v>
      </c>
      <c r="C10" s="23" t="s">
        <v>1554</v>
      </c>
      <c r="D10" s="18" t="s">
        <v>1555</v>
      </c>
      <c r="E10" s="23" t="s">
        <v>1536</v>
      </c>
      <c r="F10" s="23" t="s">
        <v>1537</v>
      </c>
      <c r="G10" s="23" t="s">
        <v>1538</v>
      </c>
      <c r="H10" s="23" t="s">
        <v>1539</v>
      </c>
      <c r="I10" s="60" t="s">
        <v>76</v>
      </c>
      <c r="J10" s="61" t="s">
        <v>77</v>
      </c>
      <c r="K10" s="61" t="s">
        <v>78</v>
      </c>
      <c r="L10" s="61" t="s">
        <v>79</v>
      </c>
      <c r="M10" s="23">
        <v>78</v>
      </c>
      <c r="N10" s="18" t="str">
        <f t="shared" si="0"/>
        <v>Mencapai kompetensi dengan baik dalam hal</v>
      </c>
      <c r="O10" s="23">
        <v>79</v>
      </c>
      <c r="P10" s="18" t="str">
        <f t="shared" si="1"/>
        <v>Mencapai kompetensi dengan baik dalam hal</v>
      </c>
      <c r="Q10" s="23">
        <v>80</v>
      </c>
      <c r="R10" s="18" t="str">
        <f t="shared" si="2"/>
        <v>Mencapai kompetensi dengan baik dalam hal</v>
      </c>
      <c r="S10" s="23">
        <v>79</v>
      </c>
      <c r="T10" s="18" t="str">
        <f t="shared" si="3"/>
        <v>Mencapai kompetensi dengan baik dalam hal</v>
      </c>
      <c r="U10" s="23">
        <v>83</v>
      </c>
      <c r="V10" s="18" t="str">
        <f t="shared" si="4"/>
        <v>Mencapai kompetensi dengan baik dalam hal</v>
      </c>
      <c r="W10" s="23">
        <v>83</v>
      </c>
      <c r="X10" s="18" t="str">
        <f t="shared" si="5"/>
        <v>Mencapai kompetensi dengan baik dalam hal</v>
      </c>
      <c r="Y10" s="23">
        <v>83</v>
      </c>
      <c r="Z10" s="18" t="str">
        <f t="shared" si="6"/>
        <v>Mencapai kompetensi dengan baik dalam hal</v>
      </c>
      <c r="AA10" s="23">
        <v>78</v>
      </c>
      <c r="AB10" s="18" t="str">
        <f t="shared" si="7"/>
        <v>Mencapai kompetensi dengan baik dalam hal</v>
      </c>
      <c r="AC10" s="23">
        <v>81</v>
      </c>
      <c r="AD10" s="18" t="str">
        <f t="shared" si="8"/>
        <v>Mencapai kompetensi dengan baik dalam hal</v>
      </c>
      <c r="AE10" s="23">
        <v>85</v>
      </c>
      <c r="AF10" s="18" t="str">
        <f t="shared" si="9"/>
        <v>Mencapai kompetensi dengan baik dalam hal</v>
      </c>
      <c r="AG10" s="23">
        <v>84</v>
      </c>
      <c r="AH10" s="18" t="str">
        <f t="shared" si="10"/>
        <v>Mencapai kompetensi dengan baik dalam hal</v>
      </c>
      <c r="AI10" s="23">
        <v>89</v>
      </c>
      <c r="AJ10" s="18" t="str">
        <f t="shared" si="11"/>
        <v>Mencapai kompetensi dengan baik dalam hal</v>
      </c>
      <c r="AK10" s="23">
        <v>89</v>
      </c>
      <c r="AL10" s="18" t="str">
        <f t="shared" si="12"/>
        <v>Mencapai kompetensi dengan baik dalam hal</v>
      </c>
      <c r="AM10" s="18" t="e">
        <f>VLOOKUP(#REF!,grades2,2,TRUE)</f>
        <v>#REF!</v>
      </c>
      <c r="AN10" s="62">
        <f t="shared" si="17"/>
        <v>87.333333333333329</v>
      </c>
      <c r="AO10" s="23">
        <v>81</v>
      </c>
      <c r="AP10" s="18" t="str">
        <f t="shared" si="13"/>
        <v>Mencapai kompetensi dengan baik dalam hal</v>
      </c>
      <c r="AQ10" s="23">
        <v>81</v>
      </c>
      <c r="AR10" s="18" t="str">
        <f t="shared" si="14"/>
        <v>Mencapai kompetensi dengan baik dalam hal</v>
      </c>
      <c r="AS10" s="113" t="s">
        <v>81</v>
      </c>
      <c r="AT10" s="113" t="s">
        <v>81</v>
      </c>
      <c r="AU10" s="113" t="s">
        <v>81</v>
      </c>
      <c r="AV10" s="23">
        <v>1</v>
      </c>
      <c r="AW10" s="23" t="s">
        <v>82</v>
      </c>
      <c r="AX10" s="18" t="s">
        <v>83</v>
      </c>
      <c r="AY10" s="23" t="s">
        <v>86</v>
      </c>
      <c r="AZ10" s="18" t="str">
        <f t="shared" si="15"/>
        <v>Sangat baik</v>
      </c>
      <c r="BA10" s="23">
        <v>2</v>
      </c>
      <c r="BB10" s="18" t="s">
        <v>108</v>
      </c>
      <c r="BC10" s="18" t="s">
        <v>83</v>
      </c>
      <c r="BD10" s="23" t="s">
        <v>86</v>
      </c>
      <c r="BE10" s="18" t="str">
        <f t="shared" si="16"/>
        <v>Sangat baik</v>
      </c>
      <c r="BF10" s="23"/>
      <c r="BG10" s="23"/>
      <c r="BH10" s="23"/>
      <c r="BI10" s="23"/>
      <c r="BJ10" s="18"/>
      <c r="BL10" s="20">
        <v>95</v>
      </c>
      <c r="BM10" s="25" t="s">
        <v>120</v>
      </c>
      <c r="BN10" s="136"/>
      <c r="BO10" s="20">
        <v>95</v>
      </c>
      <c r="BP10" s="25" t="s">
        <v>120</v>
      </c>
      <c r="BQ10" s="136"/>
    </row>
    <row r="11" spans="1:72" ht="24.95" customHeight="1" thickTop="1" thickBot="1" x14ac:dyDescent="0.3">
      <c r="A11" s="23">
        <v>10</v>
      </c>
      <c r="B11" s="23">
        <v>2526059</v>
      </c>
      <c r="C11" s="23" t="s">
        <v>1556</v>
      </c>
      <c r="D11" s="18" t="s">
        <v>1557</v>
      </c>
      <c r="E11" s="23" t="s">
        <v>1536</v>
      </c>
      <c r="F11" s="23" t="s">
        <v>1537</v>
      </c>
      <c r="G11" s="23" t="s">
        <v>1538</v>
      </c>
      <c r="H11" s="23" t="s">
        <v>1539</v>
      </c>
      <c r="I11" s="60" t="s">
        <v>76</v>
      </c>
      <c r="J11" s="61" t="s">
        <v>77</v>
      </c>
      <c r="K11" s="61" t="s">
        <v>78</v>
      </c>
      <c r="L11" s="61" t="s">
        <v>79</v>
      </c>
      <c r="M11" s="23">
        <v>79</v>
      </c>
      <c r="N11" s="18" t="str">
        <f t="shared" si="0"/>
        <v>Mencapai kompetensi dengan baik dalam hal</v>
      </c>
      <c r="O11" s="23">
        <v>76</v>
      </c>
      <c r="P11" s="18" t="str">
        <f t="shared" si="1"/>
        <v>Mencapai kompetensi dengan baik dalam hal</v>
      </c>
      <c r="Q11" s="23">
        <v>80</v>
      </c>
      <c r="R11" s="18" t="str">
        <f t="shared" si="2"/>
        <v>Mencapai kompetensi dengan baik dalam hal</v>
      </c>
      <c r="S11" s="23">
        <v>80</v>
      </c>
      <c r="T11" s="18" t="str">
        <f t="shared" si="3"/>
        <v>Mencapai kompetensi dengan baik dalam hal</v>
      </c>
      <c r="U11" s="23">
        <v>85</v>
      </c>
      <c r="V11" s="18" t="str">
        <f t="shared" si="4"/>
        <v>Mencapai kompetensi dengan baik dalam hal</v>
      </c>
      <c r="W11" s="23">
        <v>80</v>
      </c>
      <c r="X11" s="18" t="str">
        <f t="shared" si="5"/>
        <v>Mencapai kompetensi dengan baik dalam hal</v>
      </c>
      <c r="Y11" s="23">
        <v>80</v>
      </c>
      <c r="Z11" s="18" t="str">
        <f t="shared" si="6"/>
        <v>Mencapai kompetensi dengan baik dalam hal</v>
      </c>
      <c r="AA11" s="23">
        <v>76</v>
      </c>
      <c r="AB11" s="18" t="str">
        <f t="shared" si="7"/>
        <v>Mencapai kompetensi dengan baik dalam hal</v>
      </c>
      <c r="AC11" s="23">
        <v>81</v>
      </c>
      <c r="AD11" s="18" t="str">
        <f t="shared" si="8"/>
        <v>Mencapai kompetensi dengan baik dalam hal</v>
      </c>
      <c r="AE11" s="23">
        <v>86</v>
      </c>
      <c r="AF11" s="18" t="str">
        <f t="shared" si="9"/>
        <v>Mencapai kompetensi dengan baik dalam hal</v>
      </c>
      <c r="AG11" s="23">
        <v>82</v>
      </c>
      <c r="AH11" s="18" t="str">
        <f t="shared" si="10"/>
        <v>Mencapai kompetensi dengan baik dalam hal</v>
      </c>
      <c r="AI11" s="23">
        <v>85</v>
      </c>
      <c r="AJ11" s="18" t="str">
        <f t="shared" si="11"/>
        <v>Mencapai kompetensi dengan baik dalam hal</v>
      </c>
      <c r="AK11" s="23">
        <v>83</v>
      </c>
      <c r="AL11" s="18" t="str">
        <f t="shared" si="12"/>
        <v>Mencapai kompetensi dengan baik dalam hal</v>
      </c>
      <c r="AM11" s="18" t="e">
        <f>VLOOKUP(#REF!,grades2,2,TRUE)</f>
        <v>#REF!</v>
      </c>
      <c r="AN11" s="62">
        <f t="shared" si="17"/>
        <v>83.333333333333329</v>
      </c>
      <c r="AO11" s="23">
        <v>81</v>
      </c>
      <c r="AP11" s="18" t="str">
        <f t="shared" si="13"/>
        <v>Mencapai kompetensi dengan baik dalam hal</v>
      </c>
      <c r="AQ11" s="23">
        <v>75</v>
      </c>
      <c r="AR11" s="18" t="str">
        <f t="shared" si="14"/>
        <v>Mencapai kompetensi dengan baik dalam hal</v>
      </c>
      <c r="AS11" s="113">
        <v>1</v>
      </c>
      <c r="AT11" s="113" t="s">
        <v>81</v>
      </c>
      <c r="AU11" s="113" t="s">
        <v>81</v>
      </c>
      <c r="AV11" s="23">
        <v>1</v>
      </c>
      <c r="AW11" s="23" t="s">
        <v>82</v>
      </c>
      <c r="AX11" s="18" t="s">
        <v>83</v>
      </c>
      <c r="AY11" s="23" t="s">
        <v>84</v>
      </c>
      <c r="AZ11" s="18" t="str">
        <f t="shared" si="15"/>
        <v>Baik</v>
      </c>
      <c r="BA11" s="23">
        <v>2</v>
      </c>
      <c r="BB11" s="18" t="s">
        <v>99</v>
      </c>
      <c r="BC11" s="18" t="s">
        <v>83</v>
      </c>
      <c r="BD11" s="23" t="s">
        <v>84</v>
      </c>
      <c r="BE11" s="18" t="str">
        <f t="shared" si="16"/>
        <v>Baik</v>
      </c>
      <c r="BF11" s="23"/>
      <c r="BG11" s="23"/>
      <c r="BH11" s="23"/>
      <c r="BI11" s="23"/>
      <c r="BJ11" s="18"/>
      <c r="BL11" s="20">
        <v>100</v>
      </c>
      <c r="BM11" s="25" t="s">
        <v>120</v>
      </c>
      <c r="BN11" s="136"/>
      <c r="BO11" s="20">
        <v>100</v>
      </c>
      <c r="BP11" s="25" t="s">
        <v>120</v>
      </c>
      <c r="BQ11" s="136"/>
    </row>
    <row r="12" spans="1:72" ht="24.95" customHeight="1" thickTop="1" x14ac:dyDescent="0.25">
      <c r="A12" s="23">
        <v>11</v>
      </c>
      <c r="B12" s="23">
        <v>2526060</v>
      </c>
      <c r="C12" s="23" t="s">
        <v>1558</v>
      </c>
      <c r="D12" s="18" t="s">
        <v>1559</v>
      </c>
      <c r="E12" s="23" t="s">
        <v>1536</v>
      </c>
      <c r="F12" s="23" t="s">
        <v>1537</v>
      </c>
      <c r="G12" s="23" t="s">
        <v>1538</v>
      </c>
      <c r="H12" s="23" t="s">
        <v>1539</v>
      </c>
      <c r="I12" s="60" t="s">
        <v>76</v>
      </c>
      <c r="J12" s="61" t="s">
        <v>77</v>
      </c>
      <c r="K12" s="61" t="s">
        <v>78</v>
      </c>
      <c r="L12" s="61" t="s">
        <v>79</v>
      </c>
      <c r="M12" s="23">
        <v>79</v>
      </c>
      <c r="N12" s="18" t="str">
        <f t="shared" si="0"/>
        <v>Mencapai kompetensi dengan baik dalam hal</v>
      </c>
      <c r="O12" s="23">
        <v>76</v>
      </c>
      <c r="P12" s="18" t="str">
        <f t="shared" si="1"/>
        <v>Mencapai kompetensi dengan baik dalam hal</v>
      </c>
      <c r="Q12" s="23">
        <v>81</v>
      </c>
      <c r="R12" s="18" t="str">
        <f t="shared" si="2"/>
        <v>Mencapai kompetensi dengan baik dalam hal</v>
      </c>
      <c r="S12" s="23">
        <v>78</v>
      </c>
      <c r="T12" s="18" t="str">
        <f t="shared" si="3"/>
        <v>Mencapai kompetensi dengan baik dalam hal</v>
      </c>
      <c r="U12" s="23">
        <v>82</v>
      </c>
      <c r="V12" s="18" t="str">
        <f t="shared" si="4"/>
        <v>Mencapai kompetensi dengan baik dalam hal</v>
      </c>
      <c r="W12" s="23">
        <v>82</v>
      </c>
      <c r="X12" s="18" t="str">
        <f t="shared" si="5"/>
        <v>Mencapai kompetensi dengan baik dalam hal</v>
      </c>
      <c r="Y12" s="23">
        <v>81</v>
      </c>
      <c r="Z12" s="18" t="str">
        <f t="shared" si="6"/>
        <v>Mencapai kompetensi dengan baik dalam hal</v>
      </c>
      <c r="AA12" s="23">
        <v>78</v>
      </c>
      <c r="AB12" s="18" t="str">
        <f t="shared" si="7"/>
        <v>Mencapai kompetensi dengan baik dalam hal</v>
      </c>
      <c r="AC12" s="23">
        <v>77</v>
      </c>
      <c r="AD12" s="18" t="str">
        <f t="shared" si="8"/>
        <v>Mencapai kompetensi dengan baik dalam hal</v>
      </c>
      <c r="AE12" s="23">
        <v>88</v>
      </c>
      <c r="AF12" s="18" t="str">
        <f t="shared" si="9"/>
        <v>Mencapai kompetensi dengan baik dalam hal</v>
      </c>
      <c r="AG12" s="23">
        <v>86</v>
      </c>
      <c r="AH12" s="18" t="str">
        <f t="shared" si="10"/>
        <v>Mencapai kompetensi dengan baik dalam hal</v>
      </c>
      <c r="AI12" s="23">
        <v>82</v>
      </c>
      <c r="AJ12" s="18" t="str">
        <f t="shared" si="11"/>
        <v>Mencapai kompetensi dengan baik dalam hal</v>
      </c>
      <c r="AK12" s="23">
        <v>87</v>
      </c>
      <c r="AL12" s="18" t="str">
        <f t="shared" si="12"/>
        <v>Mencapai kompetensi dengan baik dalam hal</v>
      </c>
      <c r="AM12" s="18" t="e">
        <f>VLOOKUP(#REF!,grades2,2,TRUE)</f>
        <v>#REF!</v>
      </c>
      <c r="AN12" s="62">
        <f t="shared" si="17"/>
        <v>85</v>
      </c>
      <c r="AO12" s="23">
        <v>77</v>
      </c>
      <c r="AP12" s="18" t="str">
        <f t="shared" si="13"/>
        <v>Perlu peningkatan dalam hal</v>
      </c>
      <c r="AQ12" s="23">
        <v>80</v>
      </c>
      <c r="AR12" s="18" t="str">
        <f t="shared" si="14"/>
        <v>Mencapai kompetensi dengan baik dalam hal</v>
      </c>
      <c r="AS12" s="113">
        <v>1</v>
      </c>
      <c r="AT12" s="113" t="s">
        <v>81</v>
      </c>
      <c r="AU12" s="113" t="s">
        <v>81</v>
      </c>
      <c r="AV12" s="23">
        <v>1</v>
      </c>
      <c r="AW12" s="23" t="s">
        <v>82</v>
      </c>
      <c r="AX12" s="18" t="s">
        <v>83</v>
      </c>
      <c r="AY12" s="23" t="s">
        <v>86</v>
      </c>
      <c r="AZ12" s="18" t="str">
        <f t="shared" si="15"/>
        <v>Sangat baik</v>
      </c>
      <c r="BA12" s="23">
        <v>2</v>
      </c>
      <c r="BB12" s="18" t="s">
        <v>125</v>
      </c>
      <c r="BC12" s="18" t="s">
        <v>83</v>
      </c>
      <c r="BD12" s="23" t="s">
        <v>104</v>
      </c>
      <c r="BE12" s="18" t="str">
        <f t="shared" si="16"/>
        <v>Cukup</v>
      </c>
      <c r="BF12" s="23"/>
      <c r="BG12" s="23"/>
      <c r="BH12" s="23"/>
      <c r="BI12" s="23"/>
      <c r="BJ12" s="18"/>
      <c r="BL12" s="22"/>
      <c r="BM12" s="22"/>
      <c r="BN12" s="22"/>
      <c r="BO12" s="22"/>
      <c r="BP12" s="22"/>
      <c r="BQ12" s="22"/>
    </row>
    <row r="13" spans="1:72" ht="24.95" customHeight="1" x14ac:dyDescent="0.25">
      <c r="A13" s="23">
        <v>12</v>
      </c>
      <c r="B13" s="23">
        <v>2526061</v>
      </c>
      <c r="C13" s="23" t="s">
        <v>1560</v>
      </c>
      <c r="D13" s="18" t="s">
        <v>1561</v>
      </c>
      <c r="E13" s="23" t="s">
        <v>1536</v>
      </c>
      <c r="F13" s="23" t="s">
        <v>1537</v>
      </c>
      <c r="G13" s="23" t="s">
        <v>1538</v>
      </c>
      <c r="H13" s="23" t="s">
        <v>1539</v>
      </c>
      <c r="I13" s="60" t="s">
        <v>76</v>
      </c>
      <c r="J13" s="61" t="s">
        <v>77</v>
      </c>
      <c r="K13" s="61" t="s">
        <v>78</v>
      </c>
      <c r="L13" s="61" t="s">
        <v>79</v>
      </c>
      <c r="M13" s="23">
        <v>81</v>
      </c>
      <c r="N13" s="18" t="str">
        <f t="shared" si="0"/>
        <v>Mencapai kompetensi dengan baik dalam hal</v>
      </c>
      <c r="O13" s="23">
        <v>83</v>
      </c>
      <c r="P13" s="18" t="str">
        <f t="shared" si="1"/>
        <v>Mencapai kompetensi dengan baik dalam hal</v>
      </c>
      <c r="Q13" s="23">
        <v>80</v>
      </c>
      <c r="R13" s="18" t="str">
        <f t="shared" si="2"/>
        <v>Mencapai kompetensi dengan baik dalam hal</v>
      </c>
      <c r="S13" s="23">
        <v>80</v>
      </c>
      <c r="T13" s="18" t="str">
        <f t="shared" si="3"/>
        <v>Mencapai kompetensi dengan baik dalam hal</v>
      </c>
      <c r="U13" s="23">
        <v>87</v>
      </c>
      <c r="V13" s="18" t="str">
        <f t="shared" si="4"/>
        <v>Mencapai kompetensi dengan baik dalam hal</v>
      </c>
      <c r="W13" s="23">
        <v>85</v>
      </c>
      <c r="X13" s="18" t="str">
        <f t="shared" si="5"/>
        <v>Mencapai kompetensi dengan baik dalam hal</v>
      </c>
      <c r="Y13" s="23">
        <v>79</v>
      </c>
      <c r="Z13" s="18" t="str">
        <f t="shared" si="6"/>
        <v>Mencapai kompetensi dengan baik dalam hal</v>
      </c>
      <c r="AA13" s="23">
        <v>78</v>
      </c>
      <c r="AB13" s="18" t="str">
        <f t="shared" si="7"/>
        <v>Mencapai kompetensi dengan baik dalam hal</v>
      </c>
      <c r="AC13" s="23">
        <v>85</v>
      </c>
      <c r="AD13" s="18" t="str">
        <f t="shared" si="8"/>
        <v>Mencapai kompetensi dengan baik dalam hal</v>
      </c>
      <c r="AE13" s="23">
        <v>89</v>
      </c>
      <c r="AF13" s="18" t="str">
        <f t="shared" si="9"/>
        <v>Mencapai kompetensi dengan baik dalam hal</v>
      </c>
      <c r="AG13" s="23">
        <v>84</v>
      </c>
      <c r="AH13" s="18" t="str">
        <f t="shared" si="10"/>
        <v>Mencapai kompetensi dengan baik dalam hal</v>
      </c>
      <c r="AI13" s="23">
        <v>85</v>
      </c>
      <c r="AJ13" s="18" t="str">
        <f t="shared" si="11"/>
        <v>Mencapai kompetensi dengan baik dalam hal</v>
      </c>
      <c r="AK13" s="23">
        <v>86</v>
      </c>
      <c r="AL13" s="18" t="str">
        <f t="shared" si="12"/>
        <v>Mencapai kompetensi dengan baik dalam hal</v>
      </c>
      <c r="AM13" s="18" t="e">
        <f>VLOOKUP(#REF!,grades2,2,TRUE)</f>
        <v>#REF!</v>
      </c>
      <c r="AN13" s="62">
        <f t="shared" si="17"/>
        <v>85</v>
      </c>
      <c r="AO13" s="23">
        <v>85</v>
      </c>
      <c r="AP13" s="18" t="str">
        <f t="shared" si="13"/>
        <v>Mencapai kompetensi dengan baik dalam hal</v>
      </c>
      <c r="AQ13" s="23">
        <v>82</v>
      </c>
      <c r="AR13" s="18" t="str">
        <f t="shared" si="14"/>
        <v>Mencapai kompetensi dengan baik dalam hal</v>
      </c>
      <c r="AS13" s="113" t="s">
        <v>81</v>
      </c>
      <c r="AT13" s="113" t="s">
        <v>81</v>
      </c>
      <c r="AU13" s="113" t="s">
        <v>81</v>
      </c>
      <c r="AV13" s="23">
        <v>1</v>
      </c>
      <c r="AW13" s="23" t="s">
        <v>82</v>
      </c>
      <c r="AX13" s="18" t="s">
        <v>83</v>
      </c>
      <c r="AY13" s="23" t="s">
        <v>86</v>
      </c>
      <c r="AZ13" s="18" t="str">
        <f t="shared" si="15"/>
        <v>Sangat baik</v>
      </c>
      <c r="BA13" s="23">
        <v>2</v>
      </c>
      <c r="BB13" s="18" t="s">
        <v>116</v>
      </c>
      <c r="BC13" s="18" t="s">
        <v>83</v>
      </c>
      <c r="BD13" s="23" t="s">
        <v>86</v>
      </c>
      <c r="BE13" s="18" t="str">
        <f t="shared" si="16"/>
        <v>Sangat baik</v>
      </c>
      <c r="BF13" s="23"/>
      <c r="BG13" s="23"/>
      <c r="BH13" s="23"/>
      <c r="BI13" s="23"/>
      <c r="BJ13" s="18"/>
      <c r="BL13" s="22"/>
      <c r="BM13" s="22"/>
      <c r="BN13" s="22"/>
      <c r="BO13" s="22"/>
      <c r="BP13" s="22"/>
      <c r="BQ13" s="22"/>
    </row>
    <row r="14" spans="1:72" ht="24.95" customHeight="1" x14ac:dyDescent="0.25">
      <c r="A14" s="23">
        <v>13</v>
      </c>
      <c r="B14" s="23">
        <v>2526062</v>
      </c>
      <c r="C14" s="23" t="s">
        <v>1562</v>
      </c>
      <c r="D14" s="18" t="s">
        <v>1563</v>
      </c>
      <c r="E14" s="23" t="s">
        <v>1536</v>
      </c>
      <c r="F14" s="23" t="s">
        <v>1537</v>
      </c>
      <c r="G14" s="23" t="s">
        <v>1538</v>
      </c>
      <c r="H14" s="23" t="s">
        <v>1539</v>
      </c>
      <c r="I14" s="60" t="s">
        <v>76</v>
      </c>
      <c r="J14" s="61" t="s">
        <v>77</v>
      </c>
      <c r="K14" s="61" t="s">
        <v>78</v>
      </c>
      <c r="L14" s="61" t="s">
        <v>79</v>
      </c>
      <c r="M14" s="23">
        <v>76</v>
      </c>
      <c r="N14" s="18" t="str">
        <f t="shared" si="0"/>
        <v>Mencapai kompetensi dengan baik dalam hal</v>
      </c>
      <c r="O14" s="23">
        <v>77</v>
      </c>
      <c r="P14" s="18" t="str">
        <f t="shared" si="1"/>
        <v>Mencapai kompetensi dengan baik dalam hal</v>
      </c>
      <c r="Q14" s="23">
        <v>80</v>
      </c>
      <c r="R14" s="18" t="str">
        <f t="shared" si="2"/>
        <v>Mencapai kompetensi dengan baik dalam hal</v>
      </c>
      <c r="S14" s="23">
        <v>79</v>
      </c>
      <c r="T14" s="18" t="str">
        <f t="shared" si="3"/>
        <v>Mencapai kompetensi dengan baik dalam hal</v>
      </c>
      <c r="U14" s="23">
        <v>87</v>
      </c>
      <c r="V14" s="18" t="str">
        <f t="shared" si="4"/>
        <v>Mencapai kompetensi dengan baik dalam hal</v>
      </c>
      <c r="W14" s="23">
        <v>80</v>
      </c>
      <c r="X14" s="18" t="str">
        <f t="shared" si="5"/>
        <v>Mencapai kompetensi dengan baik dalam hal</v>
      </c>
      <c r="Y14" s="23">
        <v>79</v>
      </c>
      <c r="Z14" s="18" t="str">
        <f t="shared" si="6"/>
        <v>Mencapai kompetensi dengan baik dalam hal</v>
      </c>
      <c r="AA14" s="23">
        <v>81</v>
      </c>
      <c r="AB14" s="18" t="str">
        <f t="shared" si="7"/>
        <v>Mencapai kompetensi dengan baik dalam hal</v>
      </c>
      <c r="AC14" s="23">
        <v>85</v>
      </c>
      <c r="AD14" s="18" t="str">
        <f t="shared" si="8"/>
        <v>Mencapai kompetensi dengan baik dalam hal</v>
      </c>
      <c r="AE14" s="23">
        <v>86</v>
      </c>
      <c r="AF14" s="18" t="str">
        <f t="shared" si="9"/>
        <v>Mencapai kompetensi dengan baik dalam hal</v>
      </c>
      <c r="AG14" s="23">
        <v>85</v>
      </c>
      <c r="AH14" s="18" t="str">
        <f t="shared" si="10"/>
        <v>Mencapai kompetensi dengan baik dalam hal</v>
      </c>
      <c r="AI14" s="23">
        <v>88</v>
      </c>
      <c r="AJ14" s="18" t="str">
        <f t="shared" si="11"/>
        <v>Mencapai kompetensi dengan baik dalam hal</v>
      </c>
      <c r="AK14" s="23">
        <v>86</v>
      </c>
      <c r="AL14" s="18" t="str">
        <f t="shared" si="12"/>
        <v>Mencapai kompetensi dengan baik dalam hal</v>
      </c>
      <c r="AM14" s="18" t="e">
        <f>VLOOKUP(#REF!,grades2,2,TRUE)</f>
        <v>#REF!</v>
      </c>
      <c r="AN14" s="62">
        <f t="shared" si="17"/>
        <v>86.333333333333329</v>
      </c>
      <c r="AO14" s="23">
        <v>85</v>
      </c>
      <c r="AP14" s="18" t="str">
        <f t="shared" si="13"/>
        <v>Mencapai kompetensi dengan baik dalam hal</v>
      </c>
      <c r="AQ14" s="23">
        <v>79</v>
      </c>
      <c r="AR14" s="18" t="str">
        <f t="shared" si="14"/>
        <v>Mencapai kompetensi dengan baik dalam hal</v>
      </c>
      <c r="AS14" s="113" t="s">
        <v>81</v>
      </c>
      <c r="AT14" s="113" t="s">
        <v>81</v>
      </c>
      <c r="AU14" s="113" t="s">
        <v>81</v>
      </c>
      <c r="AV14" s="23">
        <v>1</v>
      </c>
      <c r="AW14" s="23" t="s">
        <v>82</v>
      </c>
      <c r="AX14" s="18" t="s">
        <v>83</v>
      </c>
      <c r="AY14" s="23" t="s">
        <v>84</v>
      </c>
      <c r="AZ14" s="18" t="str">
        <f t="shared" si="15"/>
        <v>Baik</v>
      </c>
      <c r="BA14" s="23">
        <v>2</v>
      </c>
      <c r="BB14" s="18" t="s">
        <v>85</v>
      </c>
      <c r="BC14" s="18" t="s">
        <v>83</v>
      </c>
      <c r="BD14" s="23" t="s">
        <v>86</v>
      </c>
      <c r="BE14" s="18" t="str">
        <f t="shared" si="16"/>
        <v>Sangat baik</v>
      </c>
      <c r="BF14" s="23">
        <v>3</v>
      </c>
      <c r="BG14" s="23" t="s">
        <v>87</v>
      </c>
      <c r="BH14" s="23" t="s">
        <v>83</v>
      </c>
      <c r="BI14" s="23" t="s">
        <v>84</v>
      </c>
      <c r="BJ14" s="18" t="str">
        <f>VLOOKUP(BI14,grades4,2,TRUE)</f>
        <v>Baik</v>
      </c>
    </row>
    <row r="15" spans="1:72" ht="24.95" customHeight="1" x14ac:dyDescent="0.25">
      <c r="A15" s="23">
        <v>14</v>
      </c>
      <c r="B15" s="23">
        <v>2526063</v>
      </c>
      <c r="C15" s="23" t="s">
        <v>1564</v>
      </c>
      <c r="D15" s="18" t="s">
        <v>1565</v>
      </c>
      <c r="E15" s="23" t="s">
        <v>1536</v>
      </c>
      <c r="F15" s="23" t="s">
        <v>1537</v>
      </c>
      <c r="G15" s="23" t="s">
        <v>1538</v>
      </c>
      <c r="H15" s="23" t="s">
        <v>1539</v>
      </c>
      <c r="I15" s="60" t="s">
        <v>76</v>
      </c>
      <c r="J15" s="61" t="s">
        <v>77</v>
      </c>
      <c r="K15" s="61" t="s">
        <v>78</v>
      </c>
      <c r="L15" s="61" t="s">
        <v>79</v>
      </c>
      <c r="M15" s="23">
        <v>78</v>
      </c>
      <c r="N15" s="18" t="str">
        <f t="shared" si="0"/>
        <v>Mencapai kompetensi dengan baik dalam hal</v>
      </c>
      <c r="O15" s="23">
        <v>77</v>
      </c>
      <c r="P15" s="18" t="str">
        <f t="shared" si="1"/>
        <v>Mencapai kompetensi dengan baik dalam hal</v>
      </c>
      <c r="Q15" s="23">
        <v>80</v>
      </c>
      <c r="R15" s="18" t="str">
        <f t="shared" si="2"/>
        <v>Mencapai kompetensi dengan baik dalam hal</v>
      </c>
      <c r="S15" s="23">
        <v>79</v>
      </c>
      <c r="T15" s="18" t="str">
        <f t="shared" si="3"/>
        <v>Mencapai kompetensi dengan baik dalam hal</v>
      </c>
      <c r="U15" s="23">
        <v>84</v>
      </c>
      <c r="V15" s="18" t="str">
        <f t="shared" si="4"/>
        <v>Mencapai kompetensi dengan baik dalam hal</v>
      </c>
      <c r="W15" s="23">
        <v>85</v>
      </c>
      <c r="X15" s="18" t="str">
        <f t="shared" si="5"/>
        <v>Mencapai kompetensi dengan baik dalam hal</v>
      </c>
      <c r="Y15" s="23">
        <v>80</v>
      </c>
      <c r="Z15" s="18" t="str">
        <f t="shared" si="6"/>
        <v>Mencapai kompetensi dengan baik dalam hal</v>
      </c>
      <c r="AA15" s="23">
        <v>78</v>
      </c>
      <c r="AB15" s="18" t="str">
        <f t="shared" si="7"/>
        <v>Mencapai kompetensi dengan baik dalam hal</v>
      </c>
      <c r="AC15" s="23">
        <v>84</v>
      </c>
      <c r="AD15" s="18" t="str">
        <f t="shared" si="8"/>
        <v>Mencapai kompetensi dengan baik dalam hal</v>
      </c>
      <c r="AE15" s="23">
        <v>85</v>
      </c>
      <c r="AF15" s="18" t="str">
        <f t="shared" si="9"/>
        <v>Mencapai kompetensi dengan baik dalam hal</v>
      </c>
      <c r="AG15" s="23">
        <v>87</v>
      </c>
      <c r="AH15" s="18" t="str">
        <f t="shared" si="10"/>
        <v>Mencapai kompetensi dengan baik dalam hal</v>
      </c>
      <c r="AI15" s="23">
        <v>86</v>
      </c>
      <c r="AJ15" s="18" t="str">
        <f t="shared" si="11"/>
        <v>Mencapai kompetensi dengan baik dalam hal</v>
      </c>
      <c r="AK15" s="23">
        <v>89</v>
      </c>
      <c r="AL15" s="18" t="str">
        <f t="shared" si="12"/>
        <v>Mencapai kompetensi dengan baik dalam hal</v>
      </c>
      <c r="AM15" s="18" t="e">
        <f>VLOOKUP(#REF!,grades2,2,TRUE)</f>
        <v>#REF!</v>
      </c>
      <c r="AN15" s="62">
        <f t="shared" si="17"/>
        <v>87.333333333333329</v>
      </c>
      <c r="AO15" s="23">
        <v>84</v>
      </c>
      <c r="AP15" s="18" t="str">
        <f t="shared" si="13"/>
        <v>Mencapai kompetensi dengan baik dalam hal</v>
      </c>
      <c r="AQ15" s="23">
        <v>76</v>
      </c>
      <c r="AR15" s="18" t="str">
        <f t="shared" si="14"/>
        <v>Mencapai kompetensi dengan baik dalam hal</v>
      </c>
      <c r="AS15" s="113" t="s">
        <v>81</v>
      </c>
      <c r="AT15" s="113" t="s">
        <v>81</v>
      </c>
      <c r="AU15" s="113" t="s">
        <v>81</v>
      </c>
      <c r="AV15" s="23">
        <v>1</v>
      </c>
      <c r="AW15" s="23" t="s">
        <v>82</v>
      </c>
      <c r="AX15" s="18" t="s">
        <v>83</v>
      </c>
      <c r="AY15" s="23" t="s">
        <v>84</v>
      </c>
      <c r="AZ15" s="18" t="str">
        <f t="shared" si="15"/>
        <v>Baik</v>
      </c>
      <c r="BA15" s="23">
        <v>2</v>
      </c>
      <c r="BB15" s="18" t="s">
        <v>167</v>
      </c>
      <c r="BC15" s="18" t="s">
        <v>83</v>
      </c>
      <c r="BD15" s="23" t="s">
        <v>84</v>
      </c>
      <c r="BE15" s="18" t="str">
        <f t="shared" si="16"/>
        <v>Baik</v>
      </c>
      <c r="BF15" s="23"/>
      <c r="BG15" s="23"/>
      <c r="BH15" s="23"/>
      <c r="BI15" s="23"/>
      <c r="BJ15" s="18"/>
    </row>
    <row r="16" spans="1:72" ht="24.95" customHeight="1" x14ac:dyDescent="0.25">
      <c r="A16" s="23">
        <v>15</v>
      </c>
      <c r="B16" s="23">
        <v>2526064</v>
      </c>
      <c r="C16" s="23" t="s">
        <v>1566</v>
      </c>
      <c r="D16" s="18" t="s">
        <v>1567</v>
      </c>
      <c r="E16" s="23" t="s">
        <v>1536</v>
      </c>
      <c r="F16" s="23" t="s">
        <v>1537</v>
      </c>
      <c r="G16" s="23" t="s">
        <v>1538</v>
      </c>
      <c r="H16" s="23" t="s">
        <v>1539</v>
      </c>
      <c r="I16" s="60" t="s">
        <v>76</v>
      </c>
      <c r="J16" s="61" t="s">
        <v>77</v>
      </c>
      <c r="K16" s="61" t="s">
        <v>78</v>
      </c>
      <c r="L16" s="61" t="s">
        <v>79</v>
      </c>
      <c r="M16" s="23">
        <v>81</v>
      </c>
      <c r="N16" s="18" t="str">
        <f t="shared" si="0"/>
        <v>Mencapai kompetensi dengan baik dalam hal</v>
      </c>
      <c r="O16" s="23">
        <v>80</v>
      </c>
      <c r="P16" s="18" t="str">
        <f t="shared" si="1"/>
        <v>Mencapai kompetensi dengan baik dalam hal</v>
      </c>
      <c r="Q16" s="23">
        <v>81</v>
      </c>
      <c r="R16" s="18" t="str">
        <f t="shared" si="2"/>
        <v>Mencapai kompetensi dengan baik dalam hal</v>
      </c>
      <c r="S16" s="23">
        <v>79</v>
      </c>
      <c r="T16" s="18" t="str">
        <f t="shared" si="3"/>
        <v>Mencapai kompetensi dengan baik dalam hal</v>
      </c>
      <c r="U16" s="23">
        <v>86</v>
      </c>
      <c r="V16" s="18" t="str">
        <f t="shared" si="4"/>
        <v>Mencapai kompetensi dengan baik dalam hal</v>
      </c>
      <c r="W16" s="23">
        <v>87</v>
      </c>
      <c r="X16" s="18" t="str">
        <f t="shared" si="5"/>
        <v>Mencapai kompetensi dengan baik dalam hal</v>
      </c>
      <c r="Y16" s="23">
        <v>81</v>
      </c>
      <c r="Z16" s="18" t="str">
        <f t="shared" si="6"/>
        <v>Mencapai kompetensi dengan baik dalam hal</v>
      </c>
      <c r="AA16" s="23">
        <v>78</v>
      </c>
      <c r="AB16" s="18" t="str">
        <f t="shared" si="7"/>
        <v>Mencapai kompetensi dengan baik dalam hal</v>
      </c>
      <c r="AC16" s="23">
        <v>83</v>
      </c>
      <c r="AD16" s="18" t="str">
        <f t="shared" si="8"/>
        <v>Mencapai kompetensi dengan baik dalam hal</v>
      </c>
      <c r="AE16" s="23">
        <v>88</v>
      </c>
      <c r="AF16" s="18" t="str">
        <f t="shared" si="9"/>
        <v>Mencapai kompetensi dengan baik dalam hal</v>
      </c>
      <c r="AG16" s="23">
        <v>87</v>
      </c>
      <c r="AH16" s="18" t="str">
        <f t="shared" si="10"/>
        <v>Mencapai kompetensi dengan baik dalam hal</v>
      </c>
      <c r="AI16" s="23">
        <v>86</v>
      </c>
      <c r="AJ16" s="18" t="str">
        <f t="shared" si="11"/>
        <v>Mencapai kompetensi dengan baik dalam hal</v>
      </c>
      <c r="AK16" s="23">
        <v>90</v>
      </c>
      <c r="AL16" s="18" t="str">
        <f t="shared" si="12"/>
        <v>Mencapai kompetensi dengan sangat baik dalam hal</v>
      </c>
      <c r="AM16" s="18" t="e">
        <f>VLOOKUP(#REF!,grades2,2,TRUE)</f>
        <v>#REF!</v>
      </c>
      <c r="AN16" s="62">
        <f t="shared" si="17"/>
        <v>87.666666666666671</v>
      </c>
      <c r="AO16" s="23">
        <v>83</v>
      </c>
      <c r="AP16" s="18" t="str">
        <f t="shared" si="13"/>
        <v>Mencapai kompetensi dengan baik dalam hal</v>
      </c>
      <c r="AQ16" s="23">
        <v>82</v>
      </c>
      <c r="AR16" s="18" t="str">
        <f t="shared" si="14"/>
        <v>Mencapai kompetensi dengan baik dalam hal</v>
      </c>
      <c r="AS16" s="113" t="s">
        <v>81</v>
      </c>
      <c r="AT16" s="113" t="s">
        <v>81</v>
      </c>
      <c r="AU16" s="113" t="s">
        <v>81</v>
      </c>
      <c r="AV16" s="23">
        <v>1</v>
      </c>
      <c r="AW16" s="23" t="s">
        <v>82</v>
      </c>
      <c r="AX16" s="18" t="s">
        <v>83</v>
      </c>
      <c r="AY16" s="23" t="s">
        <v>86</v>
      </c>
      <c r="AZ16" s="18" t="str">
        <f t="shared" si="15"/>
        <v>Sangat baik</v>
      </c>
      <c r="BA16" s="23">
        <v>2</v>
      </c>
      <c r="BB16" s="18" t="s">
        <v>212</v>
      </c>
      <c r="BC16" s="18" t="s">
        <v>83</v>
      </c>
      <c r="BD16" s="23" t="s">
        <v>86</v>
      </c>
      <c r="BE16" s="18" t="str">
        <f t="shared" si="16"/>
        <v>Sangat baik</v>
      </c>
      <c r="BF16" s="23"/>
      <c r="BG16" s="23"/>
      <c r="BH16" s="23"/>
      <c r="BI16" s="23"/>
      <c r="BJ16" s="18"/>
    </row>
    <row r="17" spans="1:62" ht="24.95" customHeight="1" x14ac:dyDescent="0.25">
      <c r="A17" s="23">
        <v>16</v>
      </c>
      <c r="B17" s="23">
        <v>2526065</v>
      </c>
      <c r="C17" s="23" t="s">
        <v>1568</v>
      </c>
      <c r="D17" s="18" t="s">
        <v>1569</v>
      </c>
      <c r="E17" s="23" t="s">
        <v>1536</v>
      </c>
      <c r="F17" s="23" t="s">
        <v>1537</v>
      </c>
      <c r="G17" s="23" t="s">
        <v>1538</v>
      </c>
      <c r="H17" s="23" t="s">
        <v>1539</v>
      </c>
      <c r="I17" s="60" t="s">
        <v>76</v>
      </c>
      <c r="J17" s="61" t="s">
        <v>77</v>
      </c>
      <c r="K17" s="61" t="s">
        <v>78</v>
      </c>
      <c r="L17" s="61" t="s">
        <v>79</v>
      </c>
      <c r="M17" s="23">
        <v>76</v>
      </c>
      <c r="N17" s="18" t="str">
        <f t="shared" si="0"/>
        <v>Mencapai kompetensi dengan baik dalam hal</v>
      </c>
      <c r="O17" s="23">
        <v>77</v>
      </c>
      <c r="P17" s="18" t="str">
        <f t="shared" si="1"/>
        <v>Mencapai kompetensi dengan baik dalam hal</v>
      </c>
      <c r="Q17" s="23">
        <v>80</v>
      </c>
      <c r="R17" s="18" t="str">
        <f t="shared" si="2"/>
        <v>Mencapai kompetensi dengan baik dalam hal</v>
      </c>
      <c r="S17" s="23">
        <v>80</v>
      </c>
      <c r="T17" s="18" t="str">
        <f t="shared" si="3"/>
        <v>Mencapai kompetensi dengan baik dalam hal</v>
      </c>
      <c r="U17" s="23">
        <v>86</v>
      </c>
      <c r="V17" s="18" t="str">
        <f t="shared" si="4"/>
        <v>Mencapai kompetensi dengan baik dalam hal</v>
      </c>
      <c r="W17" s="23">
        <v>80</v>
      </c>
      <c r="X17" s="18" t="str">
        <f t="shared" si="5"/>
        <v>Mencapai kompetensi dengan baik dalam hal</v>
      </c>
      <c r="Y17" s="23">
        <v>78</v>
      </c>
      <c r="Z17" s="18" t="str">
        <f t="shared" si="6"/>
        <v>Mencapai kompetensi dengan baik dalam hal</v>
      </c>
      <c r="AA17" s="23">
        <v>77</v>
      </c>
      <c r="AB17" s="18" t="str">
        <f t="shared" si="7"/>
        <v>Mencapai kompetensi dengan baik dalam hal</v>
      </c>
      <c r="AC17" s="23">
        <v>79</v>
      </c>
      <c r="AD17" s="18" t="str">
        <f t="shared" si="8"/>
        <v>Mencapai kompetensi dengan baik dalam hal</v>
      </c>
      <c r="AE17" s="23">
        <v>85</v>
      </c>
      <c r="AF17" s="18" t="str">
        <f t="shared" si="9"/>
        <v>Mencapai kompetensi dengan baik dalam hal</v>
      </c>
      <c r="AG17" s="23">
        <v>83</v>
      </c>
      <c r="AH17" s="18" t="str">
        <f t="shared" si="10"/>
        <v>Mencapai kompetensi dengan baik dalam hal</v>
      </c>
      <c r="AI17" s="23">
        <v>84</v>
      </c>
      <c r="AJ17" s="18" t="str">
        <f t="shared" si="11"/>
        <v>Mencapai kompetensi dengan baik dalam hal</v>
      </c>
      <c r="AK17" s="23">
        <v>85</v>
      </c>
      <c r="AL17" s="18" t="str">
        <f t="shared" si="12"/>
        <v>Mencapai kompetensi dengan baik dalam hal</v>
      </c>
      <c r="AM17" s="18" t="e">
        <f>VLOOKUP(#REF!,grades2,2,TRUE)</f>
        <v>#REF!</v>
      </c>
      <c r="AN17" s="62">
        <f t="shared" si="17"/>
        <v>84</v>
      </c>
      <c r="AO17" s="23">
        <v>79</v>
      </c>
      <c r="AP17" s="18" t="str">
        <f t="shared" si="13"/>
        <v>Mencapai kompetensi dengan baik dalam hal</v>
      </c>
      <c r="AQ17" s="23">
        <v>78</v>
      </c>
      <c r="AR17" s="18" t="str">
        <f t="shared" si="14"/>
        <v>Mencapai kompetensi dengan baik dalam hal</v>
      </c>
      <c r="AS17" s="113">
        <v>1</v>
      </c>
      <c r="AT17" s="113" t="s">
        <v>81</v>
      </c>
      <c r="AU17" s="113" t="s">
        <v>81</v>
      </c>
      <c r="AV17" s="23">
        <v>1</v>
      </c>
      <c r="AW17" s="23" t="s">
        <v>82</v>
      </c>
      <c r="AX17" s="18" t="s">
        <v>83</v>
      </c>
      <c r="AY17" s="23" t="s">
        <v>86</v>
      </c>
      <c r="AZ17" s="18" t="str">
        <f t="shared" si="15"/>
        <v>Sangat baik</v>
      </c>
      <c r="BA17" s="23">
        <v>2</v>
      </c>
      <c r="BB17" s="18" t="s">
        <v>170</v>
      </c>
      <c r="BC17" s="18" t="s">
        <v>83</v>
      </c>
      <c r="BD17" s="23" t="s">
        <v>84</v>
      </c>
      <c r="BE17" s="18" t="str">
        <f t="shared" si="16"/>
        <v>Baik</v>
      </c>
      <c r="BF17" s="23"/>
      <c r="BG17" s="23"/>
      <c r="BH17" s="23"/>
      <c r="BI17" s="23"/>
      <c r="BJ17" s="18"/>
    </row>
    <row r="18" spans="1:62" ht="24.95" customHeight="1" x14ac:dyDescent="0.25">
      <c r="A18" s="23">
        <v>17</v>
      </c>
      <c r="B18" s="23">
        <v>2526066</v>
      </c>
      <c r="C18" s="23" t="s">
        <v>1570</v>
      </c>
      <c r="D18" s="18" t="s">
        <v>1571</v>
      </c>
      <c r="E18" s="23" t="s">
        <v>1536</v>
      </c>
      <c r="F18" s="23" t="s">
        <v>1537</v>
      </c>
      <c r="G18" s="23" t="s">
        <v>1538</v>
      </c>
      <c r="H18" s="23" t="s">
        <v>1539</v>
      </c>
      <c r="I18" s="60" t="s">
        <v>76</v>
      </c>
      <c r="J18" s="61" t="s">
        <v>77</v>
      </c>
      <c r="K18" s="61" t="s">
        <v>309</v>
      </c>
      <c r="L18" s="61" t="s">
        <v>310</v>
      </c>
      <c r="M18" s="23">
        <v>82</v>
      </c>
      <c r="N18" s="18" t="str">
        <f t="shared" si="0"/>
        <v>Mencapai kompetensi dengan baik dalam hal</v>
      </c>
      <c r="O18" s="23">
        <v>77</v>
      </c>
      <c r="P18" s="18" t="str">
        <f t="shared" si="1"/>
        <v>Mencapai kompetensi dengan baik dalam hal</v>
      </c>
      <c r="Q18" s="23">
        <v>80</v>
      </c>
      <c r="R18" s="18" t="str">
        <f t="shared" si="2"/>
        <v>Mencapai kompetensi dengan baik dalam hal</v>
      </c>
      <c r="S18" s="23">
        <v>79</v>
      </c>
      <c r="T18" s="18" t="str">
        <f t="shared" si="3"/>
        <v>Mencapai kompetensi dengan baik dalam hal</v>
      </c>
      <c r="U18" s="23">
        <v>84</v>
      </c>
      <c r="V18" s="18" t="str">
        <f t="shared" si="4"/>
        <v>Mencapai kompetensi dengan baik dalam hal</v>
      </c>
      <c r="W18" s="23">
        <v>81</v>
      </c>
      <c r="X18" s="18" t="str">
        <f t="shared" si="5"/>
        <v>Mencapai kompetensi dengan baik dalam hal</v>
      </c>
      <c r="Y18" s="23">
        <v>82</v>
      </c>
      <c r="Z18" s="18" t="str">
        <f t="shared" si="6"/>
        <v>Mencapai kompetensi dengan baik dalam hal</v>
      </c>
      <c r="AA18" s="23">
        <v>78</v>
      </c>
      <c r="AB18" s="18" t="str">
        <f t="shared" si="7"/>
        <v>Mencapai kompetensi dengan baik dalam hal</v>
      </c>
      <c r="AC18" s="23">
        <v>86</v>
      </c>
      <c r="AD18" s="18" t="str">
        <f t="shared" si="8"/>
        <v>Mencapai kompetensi dengan baik dalam hal</v>
      </c>
      <c r="AE18" s="23">
        <v>87</v>
      </c>
      <c r="AF18" s="18" t="str">
        <f t="shared" si="9"/>
        <v>Mencapai kompetensi dengan baik dalam hal</v>
      </c>
      <c r="AG18" s="23">
        <v>88</v>
      </c>
      <c r="AH18" s="18" t="str">
        <f t="shared" si="10"/>
        <v>Mencapai kompetensi dengan baik dalam hal</v>
      </c>
      <c r="AI18" s="23">
        <v>88</v>
      </c>
      <c r="AJ18" s="18" t="str">
        <f t="shared" si="11"/>
        <v>Mencapai kompetensi dengan baik dalam hal</v>
      </c>
      <c r="AK18" s="23">
        <v>87</v>
      </c>
      <c r="AL18" s="18" t="str">
        <f t="shared" si="12"/>
        <v>Mencapai kompetensi dengan baik dalam hal</v>
      </c>
      <c r="AM18" s="18" t="e">
        <f>VLOOKUP(#REF!,grades2,2,TRUE)</f>
        <v>#REF!</v>
      </c>
      <c r="AN18" s="62">
        <f t="shared" si="17"/>
        <v>87.666666666666671</v>
      </c>
      <c r="AO18" s="23">
        <v>86</v>
      </c>
      <c r="AP18" s="18" t="str">
        <f t="shared" si="13"/>
        <v>Mencapai kompetensi dengan baik dalam hal</v>
      </c>
      <c r="AQ18" s="23">
        <v>81</v>
      </c>
      <c r="AR18" s="18" t="str">
        <f t="shared" si="14"/>
        <v>Mencapai kompetensi dengan baik dalam hal</v>
      </c>
      <c r="AS18" s="113" t="s">
        <v>81</v>
      </c>
      <c r="AT18" s="113">
        <v>2</v>
      </c>
      <c r="AU18" s="113" t="s">
        <v>81</v>
      </c>
      <c r="AV18" s="23">
        <v>1</v>
      </c>
      <c r="AW18" s="23" t="s">
        <v>82</v>
      </c>
      <c r="AX18" s="18" t="s">
        <v>83</v>
      </c>
      <c r="AY18" s="23" t="s">
        <v>84</v>
      </c>
      <c r="AZ18" s="18" t="str">
        <f t="shared" si="15"/>
        <v>Baik</v>
      </c>
      <c r="BA18" s="23">
        <v>2</v>
      </c>
      <c r="BB18" s="18" t="s">
        <v>162</v>
      </c>
      <c r="BC18" s="18" t="s">
        <v>83</v>
      </c>
      <c r="BD18" s="23" t="s">
        <v>86</v>
      </c>
      <c r="BE18" s="18" t="str">
        <f t="shared" si="16"/>
        <v>Sangat baik</v>
      </c>
      <c r="BF18" s="23"/>
      <c r="BG18" s="23"/>
      <c r="BH18" s="23"/>
      <c r="BI18" s="23"/>
      <c r="BJ18" s="18"/>
    </row>
    <row r="19" spans="1:62" ht="24.95" customHeight="1" x14ac:dyDescent="0.25">
      <c r="A19" s="23">
        <v>18</v>
      </c>
      <c r="B19" s="23">
        <v>2526067</v>
      </c>
      <c r="C19" s="23" t="s">
        <v>1572</v>
      </c>
      <c r="D19" s="18" t="s">
        <v>1573</v>
      </c>
      <c r="E19" s="23" t="s">
        <v>1536</v>
      </c>
      <c r="F19" s="23" t="s">
        <v>1537</v>
      </c>
      <c r="G19" s="23" t="s">
        <v>1538</v>
      </c>
      <c r="H19" s="23" t="s">
        <v>1539</v>
      </c>
      <c r="I19" s="60" t="s">
        <v>76</v>
      </c>
      <c r="J19" s="61" t="s">
        <v>77</v>
      </c>
      <c r="K19" s="61" t="s">
        <v>78</v>
      </c>
      <c r="L19" s="61" t="s">
        <v>79</v>
      </c>
      <c r="M19" s="23">
        <v>76</v>
      </c>
      <c r="N19" s="18" t="str">
        <f t="shared" si="0"/>
        <v>Mencapai kompetensi dengan baik dalam hal</v>
      </c>
      <c r="O19" s="23">
        <v>76</v>
      </c>
      <c r="P19" s="18" t="str">
        <f t="shared" si="1"/>
        <v>Mencapai kompetensi dengan baik dalam hal</v>
      </c>
      <c r="Q19" s="23">
        <v>80</v>
      </c>
      <c r="R19" s="18" t="str">
        <f t="shared" si="2"/>
        <v>Mencapai kompetensi dengan baik dalam hal</v>
      </c>
      <c r="S19" s="23">
        <v>79</v>
      </c>
      <c r="T19" s="18" t="str">
        <f t="shared" si="3"/>
        <v>Mencapai kompetensi dengan baik dalam hal</v>
      </c>
      <c r="U19" s="23">
        <v>79</v>
      </c>
      <c r="V19" s="18" t="str">
        <f t="shared" si="4"/>
        <v>Mencapai kompetensi dengan baik dalam hal</v>
      </c>
      <c r="W19" s="23">
        <v>80</v>
      </c>
      <c r="X19" s="18" t="str">
        <f t="shared" si="5"/>
        <v>Mencapai kompetensi dengan baik dalam hal</v>
      </c>
      <c r="Y19" s="23">
        <v>78</v>
      </c>
      <c r="Z19" s="18" t="str">
        <f t="shared" si="6"/>
        <v>Mencapai kompetensi dengan baik dalam hal</v>
      </c>
      <c r="AA19" s="23">
        <v>77</v>
      </c>
      <c r="AB19" s="18" t="str">
        <f t="shared" si="7"/>
        <v>Mencapai kompetensi dengan baik dalam hal</v>
      </c>
      <c r="AC19" s="23">
        <v>79</v>
      </c>
      <c r="AD19" s="18" t="str">
        <f t="shared" si="8"/>
        <v>Mencapai kompetensi dengan baik dalam hal</v>
      </c>
      <c r="AE19" s="23">
        <v>83</v>
      </c>
      <c r="AF19" s="18" t="str">
        <f t="shared" si="9"/>
        <v>Mencapai kompetensi dengan baik dalam hal</v>
      </c>
      <c r="AG19" s="23">
        <v>80</v>
      </c>
      <c r="AH19" s="18" t="str">
        <f t="shared" si="10"/>
        <v>Mencapai kompetensi dengan baik dalam hal</v>
      </c>
      <c r="AI19" s="23">
        <v>86</v>
      </c>
      <c r="AJ19" s="18" t="str">
        <f t="shared" si="11"/>
        <v>Mencapai kompetensi dengan baik dalam hal</v>
      </c>
      <c r="AK19" s="23">
        <v>82</v>
      </c>
      <c r="AL19" s="18" t="str">
        <f t="shared" si="12"/>
        <v>Mencapai kompetensi dengan baik dalam hal</v>
      </c>
      <c r="AM19" s="18" t="e">
        <f>VLOOKUP(#REF!,grades2,2,TRUE)</f>
        <v>#REF!</v>
      </c>
      <c r="AN19" s="62">
        <f t="shared" si="17"/>
        <v>82.666666666666671</v>
      </c>
      <c r="AO19" s="23">
        <v>79</v>
      </c>
      <c r="AP19" s="18" t="str">
        <f t="shared" si="13"/>
        <v>Mencapai kompetensi dengan baik dalam hal</v>
      </c>
      <c r="AQ19" s="23">
        <v>75</v>
      </c>
      <c r="AR19" s="18" t="str">
        <f t="shared" si="14"/>
        <v>Mencapai kompetensi dengan baik dalam hal</v>
      </c>
      <c r="AS19" s="113">
        <v>1</v>
      </c>
      <c r="AT19" s="113" t="s">
        <v>81</v>
      </c>
      <c r="AU19" s="113" t="s">
        <v>81</v>
      </c>
      <c r="AV19" s="23">
        <v>1</v>
      </c>
      <c r="AW19" s="23" t="s">
        <v>82</v>
      </c>
      <c r="AX19" s="18" t="s">
        <v>83</v>
      </c>
      <c r="AY19" s="23" t="s">
        <v>86</v>
      </c>
      <c r="AZ19" s="18" t="str">
        <f t="shared" si="15"/>
        <v>Sangat baik</v>
      </c>
      <c r="BA19" s="23">
        <v>2</v>
      </c>
      <c r="BB19" s="18" t="s">
        <v>108</v>
      </c>
      <c r="BC19" s="18" t="s">
        <v>83</v>
      </c>
      <c r="BD19" s="23" t="s">
        <v>86</v>
      </c>
      <c r="BE19" s="18" t="str">
        <f t="shared" si="16"/>
        <v>Sangat baik</v>
      </c>
      <c r="BF19" s="23"/>
      <c r="BG19" s="23"/>
      <c r="BH19" s="23"/>
      <c r="BI19" s="23"/>
      <c r="BJ19" s="18"/>
    </row>
    <row r="20" spans="1:62" ht="24.95" customHeight="1" x14ac:dyDescent="0.25">
      <c r="A20" s="23">
        <v>19</v>
      </c>
      <c r="B20" s="23">
        <v>2526068</v>
      </c>
      <c r="C20" s="23" t="s">
        <v>1574</v>
      </c>
      <c r="D20" s="18" t="s">
        <v>1575</v>
      </c>
      <c r="E20" s="23" t="s">
        <v>1536</v>
      </c>
      <c r="F20" s="23" t="s">
        <v>1537</v>
      </c>
      <c r="G20" s="23" t="s">
        <v>1538</v>
      </c>
      <c r="H20" s="23" t="s">
        <v>1539</v>
      </c>
      <c r="I20" s="60" t="s">
        <v>76</v>
      </c>
      <c r="J20" s="61" t="s">
        <v>77</v>
      </c>
      <c r="K20" s="61" t="s">
        <v>78</v>
      </c>
      <c r="L20" s="61" t="s">
        <v>79</v>
      </c>
      <c r="M20" s="23">
        <v>78</v>
      </c>
      <c r="N20" s="18" t="str">
        <f t="shared" si="0"/>
        <v>Mencapai kompetensi dengan baik dalam hal</v>
      </c>
      <c r="O20" s="23">
        <v>80</v>
      </c>
      <c r="P20" s="18" t="str">
        <f t="shared" si="1"/>
        <v>Mencapai kompetensi dengan baik dalam hal</v>
      </c>
      <c r="Q20" s="23">
        <v>80</v>
      </c>
      <c r="R20" s="18" t="str">
        <f t="shared" si="2"/>
        <v>Mencapai kompetensi dengan baik dalam hal</v>
      </c>
      <c r="S20" s="23">
        <v>79</v>
      </c>
      <c r="T20" s="18" t="str">
        <f t="shared" si="3"/>
        <v>Mencapai kompetensi dengan baik dalam hal</v>
      </c>
      <c r="U20" s="23">
        <v>82</v>
      </c>
      <c r="V20" s="18" t="str">
        <f t="shared" si="4"/>
        <v>Mencapai kompetensi dengan baik dalam hal</v>
      </c>
      <c r="W20" s="23">
        <v>85</v>
      </c>
      <c r="X20" s="18" t="str">
        <f t="shared" si="5"/>
        <v>Mencapai kompetensi dengan baik dalam hal</v>
      </c>
      <c r="Y20" s="23">
        <v>80</v>
      </c>
      <c r="Z20" s="18" t="str">
        <f t="shared" si="6"/>
        <v>Mencapai kompetensi dengan baik dalam hal</v>
      </c>
      <c r="AA20" s="23">
        <v>79</v>
      </c>
      <c r="AB20" s="18" t="str">
        <f t="shared" si="7"/>
        <v>Mencapai kompetensi dengan baik dalam hal</v>
      </c>
      <c r="AC20" s="23">
        <v>87</v>
      </c>
      <c r="AD20" s="18" t="str">
        <f t="shared" si="8"/>
        <v>Mencapai kompetensi dengan baik dalam hal</v>
      </c>
      <c r="AE20" s="23">
        <v>88</v>
      </c>
      <c r="AF20" s="18" t="str">
        <f t="shared" si="9"/>
        <v>Mencapai kompetensi dengan baik dalam hal</v>
      </c>
      <c r="AG20" s="23">
        <v>87</v>
      </c>
      <c r="AH20" s="18" t="str">
        <f t="shared" si="10"/>
        <v>Mencapai kompetensi dengan baik dalam hal</v>
      </c>
      <c r="AI20" s="23">
        <v>85</v>
      </c>
      <c r="AJ20" s="18" t="str">
        <f t="shared" si="11"/>
        <v>Mencapai kompetensi dengan baik dalam hal</v>
      </c>
      <c r="AK20" s="23">
        <v>90</v>
      </c>
      <c r="AL20" s="18" t="str">
        <f t="shared" si="12"/>
        <v>Mencapai kompetensi dengan sangat baik dalam hal</v>
      </c>
      <c r="AM20" s="18" t="e">
        <f>VLOOKUP(#REF!,grades2,2,TRUE)</f>
        <v>#REF!</v>
      </c>
      <c r="AN20" s="62">
        <f t="shared" si="17"/>
        <v>87.333333333333329</v>
      </c>
      <c r="AO20" s="23">
        <v>87</v>
      </c>
      <c r="AP20" s="18" t="str">
        <f t="shared" si="13"/>
        <v>Mencapai kompetensi dengan baik dalam hal</v>
      </c>
      <c r="AQ20" s="23">
        <v>82</v>
      </c>
      <c r="AR20" s="18" t="str">
        <f t="shared" si="14"/>
        <v>Mencapai kompetensi dengan baik dalam hal</v>
      </c>
      <c r="AS20" s="113">
        <v>1</v>
      </c>
      <c r="AT20" s="113" t="s">
        <v>81</v>
      </c>
      <c r="AU20" s="113" t="s">
        <v>81</v>
      </c>
      <c r="AV20" s="23">
        <v>1</v>
      </c>
      <c r="AW20" s="23" t="s">
        <v>82</v>
      </c>
      <c r="AX20" s="18" t="s">
        <v>83</v>
      </c>
      <c r="AY20" s="23" t="s">
        <v>86</v>
      </c>
      <c r="AZ20" s="18" t="str">
        <f t="shared" si="15"/>
        <v>Sangat baik</v>
      </c>
      <c r="BA20" s="23">
        <v>2</v>
      </c>
      <c r="BB20" s="18" t="s">
        <v>170</v>
      </c>
      <c r="BC20" s="18" t="s">
        <v>83</v>
      </c>
      <c r="BD20" s="23" t="s">
        <v>86</v>
      </c>
      <c r="BE20" s="18" t="str">
        <f t="shared" si="16"/>
        <v>Sangat baik</v>
      </c>
      <c r="BF20" s="23"/>
      <c r="BG20" s="23"/>
      <c r="BH20" s="23"/>
      <c r="BI20" s="23"/>
      <c r="BJ20" s="18"/>
    </row>
    <row r="21" spans="1:62" ht="24.95" customHeight="1" x14ac:dyDescent="0.25">
      <c r="A21" s="23">
        <v>20</v>
      </c>
      <c r="B21" s="23">
        <v>2526069</v>
      </c>
      <c r="C21" s="23" t="s">
        <v>1576</v>
      </c>
      <c r="D21" s="18" t="s">
        <v>1577</v>
      </c>
      <c r="E21" s="23" t="s">
        <v>1536</v>
      </c>
      <c r="F21" s="23" t="s">
        <v>1537</v>
      </c>
      <c r="G21" s="23" t="s">
        <v>1538</v>
      </c>
      <c r="H21" s="23" t="s">
        <v>1539</v>
      </c>
      <c r="I21" s="60" t="s">
        <v>76</v>
      </c>
      <c r="J21" s="61" t="s">
        <v>77</v>
      </c>
      <c r="K21" s="61" t="s">
        <v>78</v>
      </c>
      <c r="L21" s="61" t="s">
        <v>79</v>
      </c>
      <c r="M21" s="23">
        <v>79</v>
      </c>
      <c r="N21" s="18" t="str">
        <f t="shared" si="0"/>
        <v>Mencapai kompetensi dengan baik dalam hal</v>
      </c>
      <c r="O21" s="23">
        <v>79</v>
      </c>
      <c r="P21" s="18" t="str">
        <f t="shared" si="1"/>
        <v>Mencapai kompetensi dengan baik dalam hal</v>
      </c>
      <c r="Q21" s="23">
        <v>81</v>
      </c>
      <c r="R21" s="18" t="str">
        <f t="shared" si="2"/>
        <v>Mencapai kompetensi dengan baik dalam hal</v>
      </c>
      <c r="S21" s="23">
        <v>79</v>
      </c>
      <c r="T21" s="18" t="str">
        <f t="shared" si="3"/>
        <v>Mencapai kompetensi dengan baik dalam hal</v>
      </c>
      <c r="U21" s="23">
        <v>87</v>
      </c>
      <c r="V21" s="18" t="str">
        <f t="shared" si="4"/>
        <v>Mencapai kompetensi dengan baik dalam hal</v>
      </c>
      <c r="W21" s="23">
        <v>85</v>
      </c>
      <c r="X21" s="18" t="str">
        <f t="shared" si="5"/>
        <v>Mencapai kompetensi dengan baik dalam hal</v>
      </c>
      <c r="Y21" s="23">
        <v>79</v>
      </c>
      <c r="Z21" s="18" t="str">
        <f t="shared" si="6"/>
        <v>Mencapai kompetensi dengan baik dalam hal</v>
      </c>
      <c r="AA21" s="23">
        <v>79</v>
      </c>
      <c r="AB21" s="18" t="str">
        <f t="shared" si="7"/>
        <v>Mencapai kompetensi dengan baik dalam hal</v>
      </c>
      <c r="AC21" s="23">
        <v>83</v>
      </c>
      <c r="AD21" s="18" t="str">
        <f t="shared" si="8"/>
        <v>Mencapai kompetensi dengan baik dalam hal</v>
      </c>
      <c r="AE21" s="23">
        <v>86</v>
      </c>
      <c r="AF21" s="18" t="str">
        <f t="shared" si="9"/>
        <v>Mencapai kompetensi dengan baik dalam hal</v>
      </c>
      <c r="AG21" s="23">
        <v>85</v>
      </c>
      <c r="AH21" s="18" t="str">
        <f t="shared" si="10"/>
        <v>Mencapai kompetensi dengan baik dalam hal</v>
      </c>
      <c r="AI21" s="23">
        <v>89</v>
      </c>
      <c r="AJ21" s="18" t="str">
        <f t="shared" si="11"/>
        <v>Mencapai kompetensi dengan baik dalam hal</v>
      </c>
      <c r="AK21" s="23">
        <v>85</v>
      </c>
      <c r="AL21" s="18" t="str">
        <f t="shared" si="12"/>
        <v>Mencapai kompetensi dengan baik dalam hal</v>
      </c>
      <c r="AM21" s="18" t="e">
        <f>VLOOKUP(#REF!,grades2,2,TRUE)</f>
        <v>#REF!</v>
      </c>
      <c r="AN21" s="62">
        <f t="shared" si="17"/>
        <v>86.333333333333329</v>
      </c>
      <c r="AO21" s="23">
        <v>83</v>
      </c>
      <c r="AP21" s="18" t="str">
        <f t="shared" si="13"/>
        <v>Mencapai kompetensi dengan baik dalam hal</v>
      </c>
      <c r="AQ21" s="23">
        <v>81</v>
      </c>
      <c r="AR21" s="18" t="str">
        <f t="shared" si="14"/>
        <v>Mencapai kompetensi dengan baik dalam hal</v>
      </c>
      <c r="AS21" s="113" t="s">
        <v>81</v>
      </c>
      <c r="AT21" s="113" t="s">
        <v>81</v>
      </c>
      <c r="AU21" s="113" t="s">
        <v>81</v>
      </c>
      <c r="AV21" s="23">
        <v>1</v>
      </c>
      <c r="AW21" s="23" t="s">
        <v>82</v>
      </c>
      <c r="AX21" s="18" t="s">
        <v>83</v>
      </c>
      <c r="AY21" s="23" t="s">
        <v>86</v>
      </c>
      <c r="AZ21" s="18" t="str">
        <f t="shared" si="15"/>
        <v>Sangat baik</v>
      </c>
      <c r="BA21" s="23">
        <v>2</v>
      </c>
      <c r="BB21" s="18" t="s">
        <v>162</v>
      </c>
      <c r="BC21" s="18" t="s">
        <v>83</v>
      </c>
      <c r="BD21" s="23" t="s">
        <v>86</v>
      </c>
      <c r="BE21" s="18" t="str">
        <f t="shared" si="16"/>
        <v>Sangat baik</v>
      </c>
      <c r="BF21" s="23"/>
      <c r="BG21" s="23"/>
      <c r="BH21" s="23"/>
      <c r="BI21" s="23"/>
      <c r="BJ21" s="18"/>
    </row>
    <row r="22" spans="1:62" ht="24.95" customHeight="1" x14ac:dyDescent="0.25">
      <c r="A22" s="23">
        <v>21</v>
      </c>
      <c r="B22" s="23">
        <v>2526070</v>
      </c>
      <c r="C22" s="23" t="s">
        <v>1578</v>
      </c>
      <c r="D22" s="18" t="s">
        <v>1579</v>
      </c>
      <c r="E22" s="23" t="s">
        <v>1536</v>
      </c>
      <c r="F22" s="23" t="s">
        <v>1537</v>
      </c>
      <c r="G22" s="23" t="s">
        <v>1538</v>
      </c>
      <c r="H22" s="23" t="s">
        <v>1539</v>
      </c>
      <c r="I22" s="60" t="s">
        <v>76</v>
      </c>
      <c r="J22" s="61" t="s">
        <v>77</v>
      </c>
      <c r="K22" s="61" t="s">
        <v>78</v>
      </c>
      <c r="L22" s="61" t="s">
        <v>79</v>
      </c>
      <c r="M22" s="23">
        <v>79</v>
      </c>
      <c r="N22" s="18" t="str">
        <f t="shared" si="0"/>
        <v>Mencapai kompetensi dengan baik dalam hal</v>
      </c>
      <c r="O22" s="23">
        <v>75</v>
      </c>
      <c r="P22" s="18" t="str">
        <f t="shared" si="1"/>
        <v>Mencapai kompetensi dengan baik dalam hal</v>
      </c>
      <c r="Q22" s="23">
        <v>80</v>
      </c>
      <c r="R22" s="18" t="str">
        <f t="shared" si="2"/>
        <v>Mencapai kompetensi dengan baik dalam hal</v>
      </c>
      <c r="S22" s="23">
        <v>80</v>
      </c>
      <c r="T22" s="18" t="str">
        <f t="shared" si="3"/>
        <v>Mencapai kompetensi dengan baik dalam hal</v>
      </c>
      <c r="U22" s="23">
        <v>81</v>
      </c>
      <c r="V22" s="18" t="str">
        <f t="shared" si="4"/>
        <v>Mencapai kompetensi dengan baik dalam hal</v>
      </c>
      <c r="W22" s="23">
        <v>82</v>
      </c>
      <c r="X22" s="18" t="str">
        <f t="shared" si="5"/>
        <v>Mencapai kompetensi dengan baik dalam hal</v>
      </c>
      <c r="Y22" s="23">
        <v>79</v>
      </c>
      <c r="Z22" s="18" t="str">
        <f t="shared" si="6"/>
        <v>Mencapai kompetensi dengan baik dalam hal</v>
      </c>
      <c r="AA22" s="23">
        <v>75</v>
      </c>
      <c r="AB22" s="18" t="str">
        <f t="shared" si="7"/>
        <v>Mencapai kompetensi dengan baik dalam hal</v>
      </c>
      <c r="AC22" s="23">
        <v>81</v>
      </c>
      <c r="AD22" s="18" t="str">
        <f t="shared" si="8"/>
        <v>Mencapai kompetensi dengan baik dalam hal</v>
      </c>
      <c r="AE22" s="23">
        <v>84</v>
      </c>
      <c r="AF22" s="18" t="str">
        <f t="shared" si="9"/>
        <v>Mencapai kompetensi dengan baik dalam hal</v>
      </c>
      <c r="AG22" s="23">
        <v>83</v>
      </c>
      <c r="AH22" s="18" t="str">
        <f t="shared" si="10"/>
        <v>Mencapai kompetensi dengan baik dalam hal</v>
      </c>
      <c r="AI22" s="23">
        <v>88</v>
      </c>
      <c r="AJ22" s="18" t="str">
        <f t="shared" si="11"/>
        <v>Mencapai kompetensi dengan baik dalam hal</v>
      </c>
      <c r="AK22" s="23">
        <v>87</v>
      </c>
      <c r="AL22" s="18" t="str">
        <f t="shared" si="12"/>
        <v>Mencapai kompetensi dengan baik dalam hal</v>
      </c>
      <c r="AM22" s="18" t="e">
        <f>VLOOKUP(#REF!,grades2,2,TRUE)</f>
        <v>#REF!</v>
      </c>
      <c r="AN22" s="62">
        <f t="shared" si="17"/>
        <v>86</v>
      </c>
      <c r="AO22" s="23">
        <v>81</v>
      </c>
      <c r="AP22" s="18" t="str">
        <f t="shared" si="13"/>
        <v>Mencapai kompetensi dengan baik dalam hal</v>
      </c>
      <c r="AQ22" s="23">
        <v>76</v>
      </c>
      <c r="AR22" s="18" t="str">
        <f t="shared" si="14"/>
        <v>Mencapai kompetensi dengan baik dalam hal</v>
      </c>
      <c r="AS22" s="113" t="s">
        <v>81</v>
      </c>
      <c r="AT22" s="113" t="s">
        <v>81</v>
      </c>
      <c r="AU22" s="113" t="s">
        <v>81</v>
      </c>
      <c r="AV22" s="23">
        <v>1</v>
      </c>
      <c r="AW22" s="23" t="s">
        <v>82</v>
      </c>
      <c r="AX22" s="18" t="s">
        <v>83</v>
      </c>
      <c r="AY22" s="23" t="s">
        <v>86</v>
      </c>
      <c r="AZ22" s="18" t="str">
        <f t="shared" si="15"/>
        <v>Sangat baik</v>
      </c>
      <c r="BA22" s="23">
        <v>2</v>
      </c>
      <c r="BB22" s="18" t="s">
        <v>170</v>
      </c>
      <c r="BC22" s="18" t="s">
        <v>83</v>
      </c>
      <c r="BD22" s="23" t="s">
        <v>84</v>
      </c>
      <c r="BE22" s="18" t="str">
        <f t="shared" si="16"/>
        <v>Baik</v>
      </c>
      <c r="BF22" s="23"/>
      <c r="BG22" s="23"/>
      <c r="BH22" s="23"/>
      <c r="BI22" s="23"/>
      <c r="BJ22" s="18"/>
    </row>
    <row r="23" spans="1:62" ht="24.95" customHeight="1" x14ac:dyDescent="0.25">
      <c r="A23" s="23">
        <v>22</v>
      </c>
      <c r="B23" s="23">
        <v>2526071</v>
      </c>
      <c r="C23" s="23" t="s">
        <v>1580</v>
      </c>
      <c r="D23" s="18" t="s">
        <v>1581</v>
      </c>
      <c r="E23" s="23" t="s">
        <v>1536</v>
      </c>
      <c r="F23" s="23" t="s">
        <v>1537</v>
      </c>
      <c r="G23" s="23" t="s">
        <v>1538</v>
      </c>
      <c r="H23" s="23" t="s">
        <v>1539</v>
      </c>
      <c r="I23" s="60" t="s">
        <v>76</v>
      </c>
      <c r="J23" s="61" t="s">
        <v>77</v>
      </c>
      <c r="K23" s="61" t="s">
        <v>78</v>
      </c>
      <c r="L23" s="61" t="s">
        <v>79</v>
      </c>
      <c r="M23" s="23">
        <v>80</v>
      </c>
      <c r="N23" s="18" t="str">
        <f t="shared" si="0"/>
        <v>Mencapai kompetensi dengan baik dalam hal</v>
      </c>
      <c r="O23" s="23">
        <v>81</v>
      </c>
      <c r="P23" s="18" t="str">
        <f t="shared" si="1"/>
        <v>Mencapai kompetensi dengan baik dalam hal</v>
      </c>
      <c r="Q23" s="23">
        <v>81</v>
      </c>
      <c r="R23" s="18" t="str">
        <f t="shared" si="2"/>
        <v>Mencapai kompetensi dengan baik dalam hal</v>
      </c>
      <c r="S23" s="23">
        <v>79</v>
      </c>
      <c r="T23" s="18" t="str">
        <f t="shared" si="3"/>
        <v>Mencapai kompetensi dengan baik dalam hal</v>
      </c>
      <c r="U23" s="23">
        <v>87</v>
      </c>
      <c r="V23" s="18" t="str">
        <f t="shared" si="4"/>
        <v>Mencapai kompetensi dengan baik dalam hal</v>
      </c>
      <c r="W23" s="23">
        <v>85</v>
      </c>
      <c r="X23" s="18" t="str">
        <f t="shared" si="5"/>
        <v>Mencapai kompetensi dengan baik dalam hal</v>
      </c>
      <c r="Y23" s="23">
        <v>79</v>
      </c>
      <c r="Z23" s="18" t="str">
        <f t="shared" si="6"/>
        <v>Mencapai kompetensi dengan baik dalam hal</v>
      </c>
      <c r="AA23" s="23">
        <v>82</v>
      </c>
      <c r="AB23" s="18" t="str">
        <f t="shared" si="7"/>
        <v>Mencapai kompetensi dengan baik dalam hal</v>
      </c>
      <c r="AC23" s="23">
        <v>85</v>
      </c>
      <c r="AD23" s="18" t="str">
        <f t="shared" si="8"/>
        <v>Mencapai kompetensi dengan baik dalam hal</v>
      </c>
      <c r="AE23" s="23">
        <v>87</v>
      </c>
      <c r="AF23" s="18" t="str">
        <f t="shared" si="9"/>
        <v>Mencapai kompetensi dengan baik dalam hal</v>
      </c>
      <c r="AG23" s="23">
        <v>88</v>
      </c>
      <c r="AH23" s="18" t="str">
        <f t="shared" si="10"/>
        <v>Mencapai kompetensi dengan baik dalam hal</v>
      </c>
      <c r="AI23" s="23">
        <v>88</v>
      </c>
      <c r="AJ23" s="18" t="str">
        <f t="shared" si="11"/>
        <v>Mencapai kompetensi dengan baik dalam hal</v>
      </c>
      <c r="AK23" s="23">
        <v>90</v>
      </c>
      <c r="AL23" s="18" t="str">
        <f t="shared" si="12"/>
        <v>Mencapai kompetensi dengan sangat baik dalam hal</v>
      </c>
      <c r="AM23" s="18" t="e">
        <f>VLOOKUP(#REF!,grades2,2,TRUE)</f>
        <v>#REF!</v>
      </c>
      <c r="AN23" s="62">
        <f t="shared" si="17"/>
        <v>88.666666666666671</v>
      </c>
      <c r="AO23" s="23">
        <v>85</v>
      </c>
      <c r="AP23" s="18" t="str">
        <f t="shared" si="13"/>
        <v>Mencapai kompetensi dengan baik dalam hal</v>
      </c>
      <c r="AQ23" s="23">
        <v>78</v>
      </c>
      <c r="AR23" s="18" t="str">
        <f t="shared" si="14"/>
        <v>Mencapai kompetensi dengan baik dalam hal</v>
      </c>
      <c r="AS23" s="113" t="s">
        <v>81</v>
      </c>
      <c r="AT23" s="113" t="s">
        <v>81</v>
      </c>
      <c r="AU23" s="113" t="s">
        <v>81</v>
      </c>
      <c r="AV23" s="23">
        <v>1</v>
      </c>
      <c r="AW23" s="23" t="s">
        <v>82</v>
      </c>
      <c r="AX23" s="18" t="s">
        <v>83</v>
      </c>
      <c r="AY23" s="23" t="s">
        <v>84</v>
      </c>
      <c r="AZ23" s="18" t="str">
        <f t="shared" si="15"/>
        <v>Baik</v>
      </c>
      <c r="BA23" s="23">
        <v>2</v>
      </c>
      <c r="BB23" s="18" t="s">
        <v>227</v>
      </c>
      <c r="BC23" s="18" t="s">
        <v>83</v>
      </c>
      <c r="BD23" s="23" t="s">
        <v>84</v>
      </c>
      <c r="BE23" s="18" t="str">
        <f t="shared" si="16"/>
        <v>Baik</v>
      </c>
      <c r="BF23" s="23"/>
      <c r="BG23" s="23"/>
      <c r="BH23" s="23"/>
      <c r="BI23" s="23"/>
      <c r="BJ23" s="18"/>
    </row>
    <row r="24" spans="1:62" ht="24.95" customHeight="1" x14ac:dyDescent="0.25">
      <c r="A24" s="23">
        <v>23</v>
      </c>
      <c r="B24" s="23">
        <v>2526072</v>
      </c>
      <c r="C24" s="23" t="s">
        <v>1582</v>
      </c>
      <c r="D24" s="18" t="s">
        <v>1583</v>
      </c>
      <c r="E24" s="23" t="s">
        <v>1536</v>
      </c>
      <c r="F24" s="23" t="s">
        <v>1537</v>
      </c>
      <c r="G24" s="23" t="s">
        <v>1538</v>
      </c>
      <c r="H24" s="23" t="s">
        <v>1539</v>
      </c>
      <c r="I24" s="60" t="s">
        <v>76</v>
      </c>
      <c r="J24" s="61" t="s">
        <v>77</v>
      </c>
      <c r="K24" s="61" t="s">
        <v>78</v>
      </c>
      <c r="L24" s="61" t="s">
        <v>79</v>
      </c>
      <c r="M24" s="23">
        <v>81</v>
      </c>
      <c r="N24" s="18" t="str">
        <f t="shared" si="0"/>
        <v>Mencapai kompetensi dengan baik dalam hal</v>
      </c>
      <c r="O24" s="23">
        <v>76</v>
      </c>
      <c r="P24" s="18" t="str">
        <f t="shared" si="1"/>
        <v>Mencapai kompetensi dengan baik dalam hal</v>
      </c>
      <c r="Q24" s="23">
        <v>80</v>
      </c>
      <c r="R24" s="18" t="str">
        <f t="shared" si="2"/>
        <v>Mencapai kompetensi dengan baik dalam hal</v>
      </c>
      <c r="S24" s="23">
        <v>78</v>
      </c>
      <c r="T24" s="18" t="str">
        <f t="shared" si="3"/>
        <v>Mencapai kompetensi dengan baik dalam hal</v>
      </c>
      <c r="U24" s="23">
        <v>85</v>
      </c>
      <c r="V24" s="18" t="str">
        <f t="shared" si="4"/>
        <v>Mencapai kompetensi dengan baik dalam hal</v>
      </c>
      <c r="W24" s="23">
        <v>86</v>
      </c>
      <c r="X24" s="18" t="str">
        <f t="shared" si="5"/>
        <v>Mencapai kompetensi dengan baik dalam hal</v>
      </c>
      <c r="Y24" s="23">
        <v>80</v>
      </c>
      <c r="Z24" s="18" t="str">
        <f t="shared" si="6"/>
        <v>Mencapai kompetensi dengan baik dalam hal</v>
      </c>
      <c r="AA24" s="23">
        <v>78</v>
      </c>
      <c r="AB24" s="18" t="str">
        <f t="shared" si="7"/>
        <v>Mencapai kompetensi dengan baik dalam hal</v>
      </c>
      <c r="AC24" s="23">
        <v>83</v>
      </c>
      <c r="AD24" s="18" t="str">
        <f t="shared" si="8"/>
        <v>Mencapai kompetensi dengan baik dalam hal</v>
      </c>
      <c r="AE24" s="23">
        <v>84</v>
      </c>
      <c r="AF24" s="18" t="str">
        <f t="shared" si="9"/>
        <v>Mencapai kompetensi dengan baik dalam hal</v>
      </c>
      <c r="AG24" s="23">
        <v>85</v>
      </c>
      <c r="AH24" s="18" t="str">
        <f t="shared" si="10"/>
        <v>Mencapai kompetensi dengan baik dalam hal</v>
      </c>
      <c r="AI24" s="23">
        <v>85</v>
      </c>
      <c r="AJ24" s="18" t="str">
        <f t="shared" si="11"/>
        <v>Mencapai kompetensi dengan baik dalam hal</v>
      </c>
      <c r="AK24" s="23">
        <v>88</v>
      </c>
      <c r="AL24" s="18" t="str">
        <f t="shared" si="12"/>
        <v>Mencapai kompetensi dengan baik dalam hal</v>
      </c>
      <c r="AM24" s="18" t="e">
        <f>VLOOKUP(#REF!,grades2,2,TRUE)</f>
        <v>#REF!</v>
      </c>
      <c r="AN24" s="62">
        <f t="shared" si="17"/>
        <v>86</v>
      </c>
      <c r="AO24" s="23">
        <v>83</v>
      </c>
      <c r="AP24" s="18" t="str">
        <f t="shared" si="13"/>
        <v>Mencapai kompetensi dengan baik dalam hal</v>
      </c>
      <c r="AQ24" s="23">
        <v>81</v>
      </c>
      <c r="AR24" s="18" t="str">
        <f t="shared" si="14"/>
        <v>Mencapai kompetensi dengan baik dalam hal</v>
      </c>
      <c r="AS24" s="113">
        <v>2</v>
      </c>
      <c r="AT24" s="113" t="s">
        <v>81</v>
      </c>
      <c r="AU24" s="113" t="s">
        <v>81</v>
      </c>
      <c r="AV24" s="23">
        <v>1</v>
      </c>
      <c r="AW24" s="23" t="s">
        <v>82</v>
      </c>
      <c r="AX24" s="18" t="s">
        <v>83</v>
      </c>
      <c r="AY24" s="23" t="s">
        <v>86</v>
      </c>
      <c r="AZ24" s="18" t="str">
        <f t="shared" si="15"/>
        <v>Sangat baik</v>
      </c>
      <c r="BA24" s="23">
        <v>2</v>
      </c>
      <c r="BB24" s="18" t="s">
        <v>212</v>
      </c>
      <c r="BC24" s="18" t="s">
        <v>83</v>
      </c>
      <c r="BD24" s="23" t="s">
        <v>86</v>
      </c>
      <c r="BE24" s="18" t="str">
        <f t="shared" si="16"/>
        <v>Sangat baik</v>
      </c>
      <c r="BF24" s="23"/>
      <c r="BG24" s="23"/>
      <c r="BH24" s="23"/>
      <c r="BI24" s="23"/>
      <c r="BJ24" s="18"/>
    </row>
    <row r="25" spans="1:62" ht="24.95" customHeight="1" x14ac:dyDescent="0.25">
      <c r="A25" s="23">
        <v>24</v>
      </c>
      <c r="B25" s="23">
        <v>2526073</v>
      </c>
      <c r="C25" s="23" t="s">
        <v>1584</v>
      </c>
      <c r="D25" s="18" t="s">
        <v>1585</v>
      </c>
      <c r="E25" s="23" t="s">
        <v>1536</v>
      </c>
      <c r="F25" s="23" t="s">
        <v>1537</v>
      </c>
      <c r="G25" s="23" t="s">
        <v>1538</v>
      </c>
      <c r="H25" s="23" t="s">
        <v>1539</v>
      </c>
      <c r="I25" s="60" t="s">
        <v>76</v>
      </c>
      <c r="J25" s="61" t="s">
        <v>77</v>
      </c>
      <c r="K25" s="61" t="s">
        <v>78</v>
      </c>
      <c r="L25" s="61" t="s">
        <v>79</v>
      </c>
      <c r="M25" s="23">
        <v>78</v>
      </c>
      <c r="N25" s="18" t="str">
        <f t="shared" si="0"/>
        <v>Mencapai kompetensi dengan baik dalam hal</v>
      </c>
      <c r="O25" s="23">
        <v>77</v>
      </c>
      <c r="P25" s="18" t="str">
        <f t="shared" si="1"/>
        <v>Mencapai kompetensi dengan baik dalam hal</v>
      </c>
      <c r="Q25" s="23">
        <v>81</v>
      </c>
      <c r="R25" s="18" t="str">
        <f t="shared" si="2"/>
        <v>Mencapai kompetensi dengan baik dalam hal</v>
      </c>
      <c r="S25" s="23">
        <v>80</v>
      </c>
      <c r="T25" s="18" t="str">
        <f t="shared" si="3"/>
        <v>Mencapai kompetensi dengan baik dalam hal</v>
      </c>
      <c r="U25" s="23">
        <v>85</v>
      </c>
      <c r="V25" s="18" t="str">
        <f t="shared" si="4"/>
        <v>Mencapai kompetensi dengan baik dalam hal</v>
      </c>
      <c r="W25" s="23">
        <v>80</v>
      </c>
      <c r="X25" s="18" t="str">
        <f t="shared" si="5"/>
        <v>Mencapai kompetensi dengan baik dalam hal</v>
      </c>
      <c r="Y25" s="23">
        <v>80</v>
      </c>
      <c r="Z25" s="18" t="str">
        <f t="shared" si="6"/>
        <v>Mencapai kompetensi dengan baik dalam hal</v>
      </c>
      <c r="AA25" s="23">
        <v>77</v>
      </c>
      <c r="AB25" s="18" t="str">
        <f t="shared" si="7"/>
        <v>Mencapai kompetensi dengan baik dalam hal</v>
      </c>
      <c r="AC25" s="23">
        <v>89</v>
      </c>
      <c r="AD25" s="18" t="str">
        <f t="shared" si="8"/>
        <v>Mencapai kompetensi dengan baik dalam hal</v>
      </c>
      <c r="AE25" s="23">
        <v>87</v>
      </c>
      <c r="AF25" s="18" t="str">
        <f t="shared" si="9"/>
        <v>Mencapai kompetensi dengan baik dalam hal</v>
      </c>
      <c r="AG25" s="23">
        <v>88</v>
      </c>
      <c r="AH25" s="18" t="str">
        <f t="shared" si="10"/>
        <v>Mencapai kompetensi dengan baik dalam hal</v>
      </c>
      <c r="AI25" s="23">
        <v>85</v>
      </c>
      <c r="AJ25" s="18" t="str">
        <f t="shared" si="11"/>
        <v>Mencapai kompetensi dengan baik dalam hal</v>
      </c>
      <c r="AK25" s="23">
        <v>85</v>
      </c>
      <c r="AL25" s="18" t="str">
        <f t="shared" si="12"/>
        <v>Mencapai kompetensi dengan baik dalam hal</v>
      </c>
      <c r="AM25" s="18" t="e">
        <f>VLOOKUP(#REF!,grades2,2,TRUE)</f>
        <v>#REF!</v>
      </c>
      <c r="AN25" s="62">
        <f t="shared" si="17"/>
        <v>86</v>
      </c>
      <c r="AO25" s="23">
        <v>89</v>
      </c>
      <c r="AP25" s="18" t="str">
        <f t="shared" si="13"/>
        <v>Mencapai kompetensi dengan baik dalam hal</v>
      </c>
      <c r="AQ25" s="23">
        <v>75</v>
      </c>
      <c r="AR25" s="18" t="str">
        <f t="shared" si="14"/>
        <v>Mencapai kompetensi dengan baik dalam hal</v>
      </c>
      <c r="AS25" s="113">
        <v>4</v>
      </c>
      <c r="AT25" s="113" t="s">
        <v>81</v>
      </c>
      <c r="AU25" s="113" t="s">
        <v>81</v>
      </c>
      <c r="AV25" s="23">
        <v>1</v>
      </c>
      <c r="AW25" s="23" t="s">
        <v>82</v>
      </c>
      <c r="AX25" s="18" t="s">
        <v>83</v>
      </c>
      <c r="AY25" s="23" t="s">
        <v>84</v>
      </c>
      <c r="AZ25" s="18" t="str">
        <f t="shared" si="15"/>
        <v>Baik</v>
      </c>
      <c r="BA25" s="23">
        <v>2</v>
      </c>
      <c r="BB25" s="18" t="s">
        <v>579</v>
      </c>
      <c r="BC25" s="18" t="s">
        <v>83</v>
      </c>
      <c r="BD25" s="23" t="s">
        <v>86</v>
      </c>
      <c r="BE25" s="18" t="str">
        <f t="shared" si="16"/>
        <v>Sangat baik</v>
      </c>
      <c r="BF25" s="23"/>
      <c r="BG25" s="23"/>
      <c r="BH25" s="23"/>
      <c r="BI25" s="23"/>
      <c r="BJ25" s="18"/>
    </row>
    <row r="26" spans="1:62" ht="24.95" customHeight="1" x14ac:dyDescent="0.25">
      <c r="A26" s="23">
        <v>25</v>
      </c>
      <c r="B26" s="23">
        <v>2526074</v>
      </c>
      <c r="C26" s="23" t="s">
        <v>1586</v>
      </c>
      <c r="D26" s="18" t="s">
        <v>1587</v>
      </c>
      <c r="E26" s="23" t="s">
        <v>1536</v>
      </c>
      <c r="F26" s="23" t="s">
        <v>1537</v>
      </c>
      <c r="G26" s="23" t="s">
        <v>1538</v>
      </c>
      <c r="H26" s="23" t="s">
        <v>1539</v>
      </c>
      <c r="I26" s="60" t="s">
        <v>76</v>
      </c>
      <c r="J26" s="61" t="s">
        <v>77</v>
      </c>
      <c r="K26" s="61" t="s">
        <v>78</v>
      </c>
      <c r="L26" s="61" t="s">
        <v>79</v>
      </c>
      <c r="M26" s="23">
        <v>77</v>
      </c>
      <c r="N26" s="18" t="str">
        <f t="shared" si="0"/>
        <v>Mencapai kompetensi dengan baik dalam hal</v>
      </c>
      <c r="O26" s="23">
        <v>76</v>
      </c>
      <c r="P26" s="18" t="str">
        <f t="shared" si="1"/>
        <v>Mencapai kompetensi dengan baik dalam hal</v>
      </c>
      <c r="Q26" s="23">
        <v>80</v>
      </c>
      <c r="R26" s="18" t="str">
        <f t="shared" si="2"/>
        <v>Mencapai kompetensi dengan baik dalam hal</v>
      </c>
      <c r="S26" s="23">
        <v>78</v>
      </c>
      <c r="T26" s="18" t="str">
        <f t="shared" si="3"/>
        <v>Mencapai kompetensi dengan baik dalam hal</v>
      </c>
      <c r="U26" s="23">
        <v>82</v>
      </c>
      <c r="V26" s="18" t="str">
        <f t="shared" si="4"/>
        <v>Mencapai kompetensi dengan baik dalam hal</v>
      </c>
      <c r="W26" s="23">
        <v>82</v>
      </c>
      <c r="X26" s="18" t="str">
        <f t="shared" si="5"/>
        <v>Mencapai kompetensi dengan baik dalam hal</v>
      </c>
      <c r="Y26" s="23">
        <v>79</v>
      </c>
      <c r="Z26" s="18" t="str">
        <f t="shared" si="6"/>
        <v>Mencapai kompetensi dengan baik dalam hal</v>
      </c>
      <c r="AA26" s="23">
        <v>78</v>
      </c>
      <c r="AB26" s="18" t="str">
        <f t="shared" si="7"/>
        <v>Mencapai kompetensi dengan baik dalam hal</v>
      </c>
      <c r="AC26" s="23">
        <v>83</v>
      </c>
      <c r="AD26" s="18" t="str">
        <f t="shared" si="8"/>
        <v>Mencapai kompetensi dengan baik dalam hal</v>
      </c>
      <c r="AE26" s="23">
        <v>84</v>
      </c>
      <c r="AF26" s="18" t="str">
        <f t="shared" si="9"/>
        <v>Mencapai kompetensi dengan baik dalam hal</v>
      </c>
      <c r="AG26" s="23">
        <v>84</v>
      </c>
      <c r="AH26" s="18" t="str">
        <f t="shared" si="10"/>
        <v>Mencapai kompetensi dengan baik dalam hal</v>
      </c>
      <c r="AI26" s="23">
        <v>83</v>
      </c>
      <c r="AJ26" s="18" t="str">
        <f t="shared" si="11"/>
        <v>Mencapai kompetensi dengan baik dalam hal</v>
      </c>
      <c r="AK26" s="23">
        <v>84</v>
      </c>
      <c r="AL26" s="18" t="str">
        <f t="shared" si="12"/>
        <v>Mencapai kompetensi dengan baik dalam hal</v>
      </c>
      <c r="AM26" s="18" t="e">
        <f>VLOOKUP(#REF!,grades2,2,TRUE)</f>
        <v>#REF!</v>
      </c>
      <c r="AN26" s="62">
        <f t="shared" si="17"/>
        <v>83.666666666666671</v>
      </c>
      <c r="AO26" s="23">
        <v>83</v>
      </c>
      <c r="AP26" s="18" t="str">
        <f t="shared" si="13"/>
        <v>Mencapai kompetensi dengan baik dalam hal</v>
      </c>
      <c r="AQ26" s="23">
        <v>76</v>
      </c>
      <c r="AR26" s="18" t="str">
        <f t="shared" si="14"/>
        <v>Mencapai kompetensi dengan baik dalam hal</v>
      </c>
      <c r="AS26" s="113" t="s">
        <v>81</v>
      </c>
      <c r="AT26" s="113" t="s">
        <v>81</v>
      </c>
      <c r="AU26" s="113" t="s">
        <v>81</v>
      </c>
      <c r="AV26" s="23">
        <v>1</v>
      </c>
      <c r="AW26" s="23" t="s">
        <v>82</v>
      </c>
      <c r="AX26" s="18" t="s">
        <v>83</v>
      </c>
      <c r="AY26" s="23" t="s">
        <v>84</v>
      </c>
      <c r="AZ26" s="18" t="str">
        <f t="shared" si="15"/>
        <v>Baik</v>
      </c>
      <c r="BA26" s="23">
        <v>2</v>
      </c>
      <c r="BB26" s="18" t="s">
        <v>170</v>
      </c>
      <c r="BC26" s="18" t="s">
        <v>83</v>
      </c>
      <c r="BD26" s="23" t="s">
        <v>104</v>
      </c>
      <c r="BE26" s="18" t="str">
        <f t="shared" si="16"/>
        <v>Cukup</v>
      </c>
      <c r="BF26" s="23"/>
      <c r="BG26" s="23"/>
      <c r="BH26" s="23"/>
      <c r="BI26" s="23"/>
      <c r="BJ26" s="18"/>
    </row>
    <row r="27" spans="1:62" ht="24.95" customHeight="1" x14ac:dyDescent="0.25">
      <c r="A27" s="23">
        <v>26</v>
      </c>
      <c r="B27" s="23">
        <v>2526075</v>
      </c>
      <c r="C27" s="23" t="s">
        <v>1588</v>
      </c>
      <c r="D27" s="18" t="s">
        <v>1589</v>
      </c>
      <c r="E27" s="23" t="s">
        <v>1536</v>
      </c>
      <c r="F27" s="23" t="s">
        <v>1537</v>
      </c>
      <c r="G27" s="23" t="s">
        <v>1538</v>
      </c>
      <c r="H27" s="23" t="s">
        <v>1539</v>
      </c>
      <c r="I27" s="60" t="s">
        <v>76</v>
      </c>
      <c r="J27" s="61" t="s">
        <v>77</v>
      </c>
      <c r="K27" s="61" t="s">
        <v>78</v>
      </c>
      <c r="L27" s="61" t="s">
        <v>79</v>
      </c>
      <c r="M27" s="23">
        <v>80</v>
      </c>
      <c r="N27" s="18" t="str">
        <f t="shared" si="0"/>
        <v>Mencapai kompetensi dengan baik dalam hal</v>
      </c>
      <c r="O27" s="23">
        <v>77</v>
      </c>
      <c r="P27" s="18" t="str">
        <f t="shared" si="1"/>
        <v>Mencapai kompetensi dengan baik dalam hal</v>
      </c>
      <c r="Q27" s="23">
        <v>80</v>
      </c>
      <c r="R27" s="18" t="str">
        <f t="shared" si="2"/>
        <v>Mencapai kompetensi dengan baik dalam hal</v>
      </c>
      <c r="S27" s="23">
        <v>79</v>
      </c>
      <c r="T27" s="18" t="str">
        <f t="shared" si="3"/>
        <v>Mencapai kompetensi dengan baik dalam hal</v>
      </c>
      <c r="U27" s="23">
        <v>87</v>
      </c>
      <c r="V27" s="18" t="str">
        <f t="shared" si="4"/>
        <v>Mencapai kompetensi dengan baik dalam hal</v>
      </c>
      <c r="W27" s="23">
        <v>86</v>
      </c>
      <c r="X27" s="18" t="str">
        <f t="shared" si="5"/>
        <v>Mencapai kompetensi dengan baik dalam hal</v>
      </c>
      <c r="Y27" s="23">
        <v>82</v>
      </c>
      <c r="Z27" s="18" t="str">
        <f t="shared" si="6"/>
        <v>Mencapai kompetensi dengan baik dalam hal</v>
      </c>
      <c r="AA27" s="23">
        <v>79</v>
      </c>
      <c r="AB27" s="18" t="str">
        <f t="shared" si="7"/>
        <v>Mencapai kompetensi dengan baik dalam hal</v>
      </c>
      <c r="AC27" s="23">
        <v>87</v>
      </c>
      <c r="AD27" s="18" t="str">
        <f t="shared" si="8"/>
        <v>Mencapai kompetensi dengan baik dalam hal</v>
      </c>
      <c r="AE27" s="23">
        <v>90</v>
      </c>
      <c r="AF27" s="18" t="str">
        <f t="shared" si="9"/>
        <v>Mencapai kompetensi dengan sangat baik dalam hal</v>
      </c>
      <c r="AG27" s="23">
        <v>88</v>
      </c>
      <c r="AH27" s="18" t="str">
        <f t="shared" si="10"/>
        <v>Mencapai kompetensi dengan baik dalam hal</v>
      </c>
      <c r="AI27" s="23">
        <v>88</v>
      </c>
      <c r="AJ27" s="18" t="str">
        <f t="shared" si="11"/>
        <v>Mencapai kompetensi dengan baik dalam hal</v>
      </c>
      <c r="AK27" s="23">
        <v>90</v>
      </c>
      <c r="AL27" s="18" t="str">
        <f t="shared" si="12"/>
        <v>Mencapai kompetensi dengan sangat baik dalam hal</v>
      </c>
      <c r="AM27" s="18" t="e">
        <f>VLOOKUP(#REF!,grades2,2,TRUE)</f>
        <v>#REF!</v>
      </c>
      <c r="AN27" s="62">
        <f t="shared" si="17"/>
        <v>88.666666666666671</v>
      </c>
      <c r="AO27" s="23">
        <v>87</v>
      </c>
      <c r="AP27" s="18" t="str">
        <f t="shared" si="13"/>
        <v>Mencapai kompetensi dengan baik dalam hal</v>
      </c>
      <c r="AQ27" s="23">
        <v>82</v>
      </c>
      <c r="AR27" s="18" t="str">
        <f t="shared" si="14"/>
        <v>Mencapai kompetensi dengan baik dalam hal</v>
      </c>
      <c r="AS27" s="113" t="s">
        <v>81</v>
      </c>
      <c r="AT27" s="113" t="s">
        <v>81</v>
      </c>
      <c r="AU27" s="113" t="s">
        <v>81</v>
      </c>
      <c r="AV27" s="23">
        <v>1</v>
      </c>
      <c r="AW27" s="23" t="s">
        <v>82</v>
      </c>
      <c r="AX27" s="18" t="s">
        <v>83</v>
      </c>
      <c r="AY27" s="23" t="s">
        <v>86</v>
      </c>
      <c r="AZ27" s="18" t="str">
        <f t="shared" si="15"/>
        <v>Sangat baik</v>
      </c>
      <c r="BA27" s="23">
        <v>2</v>
      </c>
      <c r="BB27" s="18" t="s">
        <v>162</v>
      </c>
      <c r="BC27" s="18" t="s">
        <v>83</v>
      </c>
      <c r="BD27" s="23" t="s">
        <v>84</v>
      </c>
      <c r="BE27" s="18" t="str">
        <f t="shared" si="16"/>
        <v>Baik</v>
      </c>
      <c r="BF27" s="23"/>
      <c r="BG27" s="23"/>
      <c r="BH27" s="23"/>
      <c r="BI27" s="23"/>
      <c r="BJ27" s="18"/>
    </row>
    <row r="28" spans="1:62" ht="24.95" customHeight="1" x14ac:dyDescent="0.25">
      <c r="A28" s="23">
        <v>27</v>
      </c>
      <c r="B28" s="23">
        <v>2526076</v>
      </c>
      <c r="C28" s="23" t="s">
        <v>1590</v>
      </c>
      <c r="D28" s="18" t="s">
        <v>1591</v>
      </c>
      <c r="E28" s="23" t="s">
        <v>1536</v>
      </c>
      <c r="F28" s="23" t="s">
        <v>1537</v>
      </c>
      <c r="G28" s="23" t="s">
        <v>1538</v>
      </c>
      <c r="H28" s="23" t="s">
        <v>1539</v>
      </c>
      <c r="I28" s="60" t="s">
        <v>76</v>
      </c>
      <c r="J28" s="61" t="s">
        <v>77</v>
      </c>
      <c r="K28" s="61" t="s">
        <v>78</v>
      </c>
      <c r="L28" s="61" t="s">
        <v>79</v>
      </c>
      <c r="M28" s="23">
        <v>76</v>
      </c>
      <c r="N28" s="18" t="str">
        <f t="shared" si="0"/>
        <v>Mencapai kompetensi dengan baik dalam hal</v>
      </c>
      <c r="O28" s="23">
        <v>76</v>
      </c>
      <c r="P28" s="18" t="str">
        <f t="shared" si="1"/>
        <v>Mencapai kompetensi dengan baik dalam hal</v>
      </c>
      <c r="Q28" s="23">
        <v>80</v>
      </c>
      <c r="R28" s="18" t="str">
        <f t="shared" si="2"/>
        <v>Mencapai kompetensi dengan baik dalam hal</v>
      </c>
      <c r="S28" s="23">
        <v>79</v>
      </c>
      <c r="T28" s="18" t="str">
        <f t="shared" si="3"/>
        <v>Mencapai kompetensi dengan baik dalam hal</v>
      </c>
      <c r="U28" s="23">
        <v>84</v>
      </c>
      <c r="V28" s="18" t="str">
        <f t="shared" si="4"/>
        <v>Mencapai kompetensi dengan baik dalam hal</v>
      </c>
      <c r="W28" s="23">
        <v>80</v>
      </c>
      <c r="X28" s="18" t="str">
        <f t="shared" si="5"/>
        <v>Mencapai kompetensi dengan baik dalam hal</v>
      </c>
      <c r="Y28" s="23">
        <v>80</v>
      </c>
      <c r="Z28" s="18" t="str">
        <f t="shared" si="6"/>
        <v>Mencapai kompetensi dengan baik dalam hal</v>
      </c>
      <c r="AA28" s="23">
        <v>78</v>
      </c>
      <c r="AB28" s="18" t="str">
        <f t="shared" si="7"/>
        <v>Mencapai kompetensi dengan baik dalam hal</v>
      </c>
      <c r="AC28" s="23">
        <v>76</v>
      </c>
      <c r="AD28" s="18" t="str">
        <f t="shared" si="8"/>
        <v>Mencapai kompetensi dengan baik dalam hal</v>
      </c>
      <c r="AE28" s="23">
        <v>82</v>
      </c>
      <c r="AF28" s="18" t="str">
        <f t="shared" si="9"/>
        <v>Mencapai kompetensi dengan baik dalam hal</v>
      </c>
      <c r="AG28" s="23">
        <v>81</v>
      </c>
      <c r="AH28" s="18" t="str">
        <f t="shared" si="10"/>
        <v>Mencapai kompetensi dengan baik dalam hal</v>
      </c>
      <c r="AI28" s="23">
        <v>88</v>
      </c>
      <c r="AJ28" s="18" t="str">
        <f t="shared" si="11"/>
        <v>Mencapai kompetensi dengan baik dalam hal</v>
      </c>
      <c r="AK28" s="23">
        <v>81</v>
      </c>
      <c r="AL28" s="18" t="str">
        <f t="shared" si="12"/>
        <v>Mencapai kompetensi dengan baik dalam hal</v>
      </c>
      <c r="AM28" s="18" t="e">
        <f>VLOOKUP(#REF!,grades2,2,TRUE)</f>
        <v>#REF!</v>
      </c>
      <c r="AN28" s="62">
        <f t="shared" si="17"/>
        <v>83.333333333333329</v>
      </c>
      <c r="AO28" s="23">
        <v>76</v>
      </c>
      <c r="AP28" s="18" t="str">
        <f t="shared" si="13"/>
        <v>Perlu peningkatan dalam hal</v>
      </c>
      <c r="AQ28" s="23">
        <v>75</v>
      </c>
      <c r="AR28" s="18" t="str">
        <f t="shared" si="14"/>
        <v>Mencapai kompetensi dengan baik dalam hal</v>
      </c>
      <c r="AS28" s="113">
        <v>2</v>
      </c>
      <c r="AT28" s="113" t="s">
        <v>81</v>
      </c>
      <c r="AU28" s="113" t="s">
        <v>81</v>
      </c>
      <c r="AV28" s="23">
        <v>1</v>
      </c>
      <c r="AW28" s="23" t="s">
        <v>82</v>
      </c>
      <c r="AX28" s="18" t="s">
        <v>83</v>
      </c>
      <c r="AY28" s="23" t="s">
        <v>84</v>
      </c>
      <c r="AZ28" s="18" t="str">
        <f t="shared" si="15"/>
        <v>Baik</v>
      </c>
      <c r="BA28" s="23">
        <v>2</v>
      </c>
      <c r="BB28" s="18" t="s">
        <v>179</v>
      </c>
      <c r="BC28" s="18" t="s">
        <v>83</v>
      </c>
      <c r="BD28" s="23" t="s">
        <v>86</v>
      </c>
      <c r="BE28" s="18" t="str">
        <f t="shared" si="16"/>
        <v>Sangat baik</v>
      </c>
      <c r="BF28" s="23"/>
      <c r="BG28" s="23"/>
      <c r="BH28" s="23"/>
      <c r="BI28" s="23"/>
      <c r="BJ28" s="18"/>
    </row>
    <row r="29" spans="1:62" ht="24.95" customHeight="1" x14ac:dyDescent="0.25">
      <c r="A29" s="23">
        <v>28</v>
      </c>
      <c r="B29" s="23">
        <v>2526077</v>
      </c>
      <c r="C29" s="23" t="s">
        <v>1592</v>
      </c>
      <c r="D29" s="18" t="s">
        <v>1593</v>
      </c>
      <c r="E29" s="23" t="s">
        <v>1536</v>
      </c>
      <c r="F29" s="23" t="s">
        <v>1537</v>
      </c>
      <c r="G29" s="23" t="s">
        <v>1538</v>
      </c>
      <c r="H29" s="23" t="s">
        <v>1539</v>
      </c>
      <c r="I29" s="60" t="s">
        <v>76</v>
      </c>
      <c r="J29" s="61" t="s">
        <v>77</v>
      </c>
      <c r="K29" s="61" t="s">
        <v>78</v>
      </c>
      <c r="L29" s="61" t="s">
        <v>79</v>
      </c>
      <c r="M29" s="23">
        <v>77</v>
      </c>
      <c r="N29" s="18" t="str">
        <f t="shared" si="0"/>
        <v>Mencapai kompetensi dengan baik dalam hal</v>
      </c>
      <c r="O29" s="23">
        <v>76</v>
      </c>
      <c r="P29" s="18" t="str">
        <f t="shared" si="1"/>
        <v>Mencapai kompetensi dengan baik dalam hal</v>
      </c>
      <c r="Q29" s="23">
        <v>80</v>
      </c>
      <c r="R29" s="18" t="str">
        <f t="shared" si="2"/>
        <v>Mencapai kompetensi dengan baik dalam hal</v>
      </c>
      <c r="S29" s="23">
        <v>79</v>
      </c>
      <c r="T29" s="18" t="str">
        <f t="shared" si="3"/>
        <v>Mencapai kompetensi dengan baik dalam hal</v>
      </c>
      <c r="U29" s="23">
        <v>86</v>
      </c>
      <c r="V29" s="18" t="str">
        <f t="shared" si="4"/>
        <v>Mencapai kompetensi dengan baik dalam hal</v>
      </c>
      <c r="W29" s="23">
        <v>86</v>
      </c>
      <c r="X29" s="18" t="str">
        <f t="shared" si="5"/>
        <v>Mencapai kompetensi dengan baik dalam hal</v>
      </c>
      <c r="Y29" s="23">
        <v>81</v>
      </c>
      <c r="Z29" s="18" t="str">
        <f t="shared" si="6"/>
        <v>Mencapai kompetensi dengan baik dalam hal</v>
      </c>
      <c r="AA29" s="23">
        <v>80</v>
      </c>
      <c r="AB29" s="18" t="str">
        <f t="shared" si="7"/>
        <v>Mencapai kompetensi dengan baik dalam hal</v>
      </c>
      <c r="AC29" s="23">
        <v>85</v>
      </c>
      <c r="AD29" s="18" t="str">
        <f t="shared" si="8"/>
        <v>Mencapai kompetensi dengan baik dalam hal</v>
      </c>
      <c r="AE29" s="23">
        <v>86</v>
      </c>
      <c r="AF29" s="18" t="str">
        <f t="shared" si="9"/>
        <v>Mencapai kompetensi dengan baik dalam hal</v>
      </c>
      <c r="AG29" s="23">
        <v>87</v>
      </c>
      <c r="AH29" s="18" t="str">
        <f t="shared" si="10"/>
        <v>Mencapai kompetensi dengan baik dalam hal</v>
      </c>
      <c r="AI29" s="23">
        <v>83</v>
      </c>
      <c r="AJ29" s="18" t="str">
        <f t="shared" si="11"/>
        <v>Mencapai kompetensi dengan baik dalam hal</v>
      </c>
      <c r="AK29" s="23">
        <v>86</v>
      </c>
      <c r="AL29" s="18" t="str">
        <f t="shared" si="12"/>
        <v>Mencapai kompetensi dengan baik dalam hal</v>
      </c>
      <c r="AM29" s="18" t="e">
        <f>VLOOKUP(#REF!,grades2,2,TRUE)</f>
        <v>#REF!</v>
      </c>
      <c r="AN29" s="62">
        <f t="shared" si="17"/>
        <v>85.333333333333329</v>
      </c>
      <c r="AO29" s="23">
        <v>85</v>
      </c>
      <c r="AP29" s="18" t="str">
        <f t="shared" si="13"/>
        <v>Mencapai kompetensi dengan baik dalam hal</v>
      </c>
      <c r="AQ29" s="23">
        <v>75</v>
      </c>
      <c r="AR29" s="18" t="str">
        <f t="shared" si="14"/>
        <v>Mencapai kompetensi dengan baik dalam hal</v>
      </c>
      <c r="AS29" s="113" t="s">
        <v>81</v>
      </c>
      <c r="AT29" s="113">
        <v>4</v>
      </c>
      <c r="AU29" s="113" t="s">
        <v>81</v>
      </c>
      <c r="AV29" s="23">
        <v>1</v>
      </c>
      <c r="AW29" s="23" t="s">
        <v>82</v>
      </c>
      <c r="AX29" s="18" t="s">
        <v>83</v>
      </c>
      <c r="AY29" s="23" t="s">
        <v>84</v>
      </c>
      <c r="AZ29" s="18" t="str">
        <f t="shared" si="15"/>
        <v>Baik</v>
      </c>
      <c r="BA29" s="23">
        <v>2</v>
      </c>
      <c r="BB29" s="18" t="s">
        <v>162</v>
      </c>
      <c r="BC29" s="18" t="s">
        <v>83</v>
      </c>
      <c r="BD29" s="23" t="s">
        <v>86</v>
      </c>
      <c r="BE29" s="18" t="str">
        <f t="shared" si="16"/>
        <v>Sangat baik</v>
      </c>
      <c r="BF29" s="23"/>
      <c r="BG29" s="23"/>
      <c r="BH29" s="23"/>
      <c r="BI29" s="23"/>
      <c r="BJ29" s="18"/>
    </row>
    <row r="30" spans="1:62" ht="24.95" customHeight="1" x14ac:dyDescent="0.25">
      <c r="A30" s="23">
        <v>29</v>
      </c>
      <c r="B30" s="23">
        <v>2526078</v>
      </c>
      <c r="C30" s="23" t="s">
        <v>1594</v>
      </c>
      <c r="D30" s="18" t="s">
        <v>1595</v>
      </c>
      <c r="E30" s="23" t="s">
        <v>1536</v>
      </c>
      <c r="F30" s="23" t="s">
        <v>1537</v>
      </c>
      <c r="G30" s="23" t="s">
        <v>1538</v>
      </c>
      <c r="H30" s="23" t="s">
        <v>1539</v>
      </c>
      <c r="I30" s="60" t="s">
        <v>76</v>
      </c>
      <c r="J30" s="61" t="s">
        <v>77</v>
      </c>
      <c r="K30" s="61" t="s">
        <v>78</v>
      </c>
      <c r="L30" s="61" t="s">
        <v>79</v>
      </c>
      <c r="M30" s="23">
        <v>77</v>
      </c>
      <c r="N30" s="18" t="str">
        <f t="shared" si="0"/>
        <v>Mencapai kompetensi dengan baik dalam hal</v>
      </c>
      <c r="O30" s="23">
        <v>76</v>
      </c>
      <c r="P30" s="18" t="str">
        <f t="shared" si="1"/>
        <v>Mencapai kompetensi dengan baik dalam hal</v>
      </c>
      <c r="Q30" s="23">
        <v>80</v>
      </c>
      <c r="R30" s="18" t="str">
        <f t="shared" si="2"/>
        <v>Mencapai kompetensi dengan baik dalam hal</v>
      </c>
      <c r="S30" s="23">
        <v>78</v>
      </c>
      <c r="T30" s="18" t="str">
        <f t="shared" si="3"/>
        <v>Mencapai kompetensi dengan baik dalam hal</v>
      </c>
      <c r="U30" s="23">
        <v>87</v>
      </c>
      <c r="V30" s="18" t="str">
        <f t="shared" si="4"/>
        <v>Mencapai kompetensi dengan baik dalam hal</v>
      </c>
      <c r="W30" s="23">
        <v>81</v>
      </c>
      <c r="X30" s="18" t="str">
        <f t="shared" si="5"/>
        <v>Mencapai kompetensi dengan baik dalam hal</v>
      </c>
      <c r="Y30" s="23">
        <v>83</v>
      </c>
      <c r="Z30" s="18" t="str">
        <f t="shared" si="6"/>
        <v>Mencapai kompetensi dengan baik dalam hal</v>
      </c>
      <c r="AA30" s="23">
        <v>79</v>
      </c>
      <c r="AB30" s="18" t="str">
        <f t="shared" si="7"/>
        <v>Mencapai kompetensi dengan baik dalam hal</v>
      </c>
      <c r="AC30" s="23">
        <v>86</v>
      </c>
      <c r="AD30" s="18" t="str">
        <f t="shared" si="8"/>
        <v>Mencapai kompetensi dengan baik dalam hal</v>
      </c>
      <c r="AE30" s="23">
        <v>89</v>
      </c>
      <c r="AF30" s="18" t="str">
        <f t="shared" si="9"/>
        <v>Mencapai kompetensi dengan baik dalam hal</v>
      </c>
      <c r="AG30" s="23">
        <v>87</v>
      </c>
      <c r="AH30" s="18" t="str">
        <f t="shared" si="10"/>
        <v>Mencapai kompetensi dengan baik dalam hal</v>
      </c>
      <c r="AI30" s="23">
        <v>88</v>
      </c>
      <c r="AJ30" s="18" t="str">
        <f t="shared" si="11"/>
        <v>Mencapai kompetensi dengan baik dalam hal</v>
      </c>
      <c r="AK30" s="23">
        <v>85</v>
      </c>
      <c r="AL30" s="18" t="str">
        <f t="shared" si="12"/>
        <v>Mencapai kompetensi dengan baik dalam hal</v>
      </c>
      <c r="AM30" s="18" t="e">
        <f>VLOOKUP(#REF!,grades2,2,TRUE)</f>
        <v>#REF!</v>
      </c>
      <c r="AN30" s="62">
        <f t="shared" si="17"/>
        <v>86.666666666666671</v>
      </c>
      <c r="AO30" s="23">
        <v>86</v>
      </c>
      <c r="AP30" s="18" t="str">
        <f t="shared" si="13"/>
        <v>Mencapai kompetensi dengan baik dalam hal</v>
      </c>
      <c r="AQ30" s="23">
        <v>79</v>
      </c>
      <c r="AR30" s="18" t="str">
        <f t="shared" si="14"/>
        <v>Mencapai kompetensi dengan baik dalam hal</v>
      </c>
      <c r="AS30" s="113" t="s">
        <v>81</v>
      </c>
      <c r="AT30" s="113">
        <v>2</v>
      </c>
      <c r="AU30" s="113" t="s">
        <v>81</v>
      </c>
      <c r="AV30" s="23">
        <v>1</v>
      </c>
      <c r="AW30" s="23" t="s">
        <v>82</v>
      </c>
      <c r="AX30" s="18" t="s">
        <v>83</v>
      </c>
      <c r="AY30" s="23" t="s">
        <v>84</v>
      </c>
      <c r="AZ30" s="18" t="str">
        <f t="shared" si="15"/>
        <v>Baik</v>
      </c>
      <c r="BA30" s="23">
        <v>2</v>
      </c>
      <c r="BB30" s="18" t="s">
        <v>579</v>
      </c>
      <c r="BC30" s="18" t="s">
        <v>83</v>
      </c>
      <c r="BD30" s="23" t="s">
        <v>104</v>
      </c>
      <c r="BE30" s="18" t="str">
        <f t="shared" si="16"/>
        <v>Cukup</v>
      </c>
      <c r="BF30" s="23"/>
      <c r="BG30" s="23"/>
      <c r="BH30" s="23"/>
      <c r="BI30" s="23"/>
      <c r="BJ30" s="18"/>
    </row>
    <row r="31" spans="1:62" ht="24.95" customHeight="1" x14ac:dyDescent="0.25">
      <c r="A31" s="23">
        <v>30</v>
      </c>
      <c r="B31" s="23">
        <v>2526079</v>
      </c>
      <c r="C31" s="23" t="s">
        <v>1596</v>
      </c>
      <c r="D31" s="18" t="s">
        <v>1597</v>
      </c>
      <c r="E31" s="23" t="s">
        <v>1536</v>
      </c>
      <c r="F31" s="23" t="s">
        <v>1537</v>
      </c>
      <c r="G31" s="23" t="s">
        <v>1538</v>
      </c>
      <c r="H31" s="23" t="s">
        <v>1539</v>
      </c>
      <c r="I31" s="60" t="s">
        <v>76</v>
      </c>
      <c r="J31" s="61" t="s">
        <v>77</v>
      </c>
      <c r="K31" s="61" t="s">
        <v>78</v>
      </c>
      <c r="L31" s="61" t="s">
        <v>79</v>
      </c>
      <c r="M31" s="23">
        <v>78</v>
      </c>
      <c r="N31" s="18" t="str">
        <f t="shared" si="0"/>
        <v>Mencapai kompetensi dengan baik dalam hal</v>
      </c>
      <c r="O31" s="23">
        <v>76</v>
      </c>
      <c r="P31" s="18" t="str">
        <f t="shared" si="1"/>
        <v>Mencapai kompetensi dengan baik dalam hal</v>
      </c>
      <c r="Q31" s="23">
        <v>80</v>
      </c>
      <c r="R31" s="18" t="str">
        <f t="shared" si="2"/>
        <v>Mencapai kompetensi dengan baik dalam hal</v>
      </c>
      <c r="S31" s="23">
        <v>80</v>
      </c>
      <c r="T31" s="18" t="str">
        <f t="shared" si="3"/>
        <v>Mencapai kompetensi dengan baik dalam hal</v>
      </c>
      <c r="U31" s="23">
        <v>84</v>
      </c>
      <c r="V31" s="18" t="str">
        <f t="shared" si="4"/>
        <v>Mencapai kompetensi dengan baik dalam hal</v>
      </c>
      <c r="W31" s="23">
        <v>82</v>
      </c>
      <c r="X31" s="18" t="str">
        <f t="shared" si="5"/>
        <v>Mencapai kompetensi dengan baik dalam hal</v>
      </c>
      <c r="Y31" s="23">
        <v>80</v>
      </c>
      <c r="Z31" s="18" t="str">
        <f t="shared" si="6"/>
        <v>Mencapai kompetensi dengan baik dalam hal</v>
      </c>
      <c r="AA31" s="23">
        <v>79</v>
      </c>
      <c r="AB31" s="18" t="str">
        <f t="shared" si="7"/>
        <v>Mencapai kompetensi dengan baik dalam hal</v>
      </c>
      <c r="AC31" s="23">
        <v>85</v>
      </c>
      <c r="AD31" s="18" t="str">
        <f t="shared" si="8"/>
        <v>Mencapai kompetensi dengan baik dalam hal</v>
      </c>
      <c r="AE31" s="23">
        <v>89</v>
      </c>
      <c r="AF31" s="18" t="str">
        <f t="shared" si="9"/>
        <v>Mencapai kompetensi dengan baik dalam hal</v>
      </c>
      <c r="AG31" s="23">
        <v>84</v>
      </c>
      <c r="AH31" s="18" t="str">
        <f t="shared" si="10"/>
        <v>Mencapai kompetensi dengan baik dalam hal</v>
      </c>
      <c r="AI31" s="23">
        <v>83</v>
      </c>
      <c r="AJ31" s="18" t="str">
        <f t="shared" si="11"/>
        <v>Mencapai kompetensi dengan baik dalam hal</v>
      </c>
      <c r="AK31" s="23">
        <v>90</v>
      </c>
      <c r="AL31" s="18" t="str">
        <f t="shared" si="12"/>
        <v>Mencapai kompetensi dengan sangat baik dalam hal</v>
      </c>
      <c r="AM31" s="18" t="e">
        <f>VLOOKUP(#REF!,grades2,2,TRUE)</f>
        <v>#REF!</v>
      </c>
      <c r="AN31" s="62">
        <f t="shared" si="17"/>
        <v>85.666666666666671</v>
      </c>
      <c r="AO31" s="23">
        <v>85</v>
      </c>
      <c r="AP31" s="18" t="str">
        <f t="shared" si="13"/>
        <v>Mencapai kompetensi dengan baik dalam hal</v>
      </c>
      <c r="AQ31" s="23">
        <v>80</v>
      </c>
      <c r="AR31" s="18" t="str">
        <f t="shared" si="14"/>
        <v>Mencapai kompetensi dengan baik dalam hal</v>
      </c>
      <c r="AS31" s="113" t="s">
        <v>81</v>
      </c>
      <c r="AT31" s="113" t="s">
        <v>81</v>
      </c>
      <c r="AU31" s="113" t="s">
        <v>81</v>
      </c>
      <c r="AV31" s="23">
        <v>1</v>
      </c>
      <c r="AW31" s="23" t="s">
        <v>82</v>
      </c>
      <c r="AX31" s="18" t="s">
        <v>83</v>
      </c>
      <c r="AY31" s="23" t="s">
        <v>86</v>
      </c>
      <c r="AZ31" s="18" t="str">
        <f t="shared" si="15"/>
        <v>Sangat baik</v>
      </c>
      <c r="BA31" s="23">
        <v>2</v>
      </c>
      <c r="BB31" s="18" t="s">
        <v>162</v>
      </c>
      <c r="BC31" s="18" t="s">
        <v>83</v>
      </c>
      <c r="BD31" s="23" t="s">
        <v>86</v>
      </c>
      <c r="BE31" s="18" t="str">
        <f t="shared" si="16"/>
        <v>Sangat baik</v>
      </c>
      <c r="BF31" s="23"/>
      <c r="BG31" s="23"/>
      <c r="BH31" s="23"/>
      <c r="BI31" s="23"/>
      <c r="BJ31" s="18"/>
    </row>
    <row r="32" spans="1:62" ht="24.95" customHeight="1" x14ac:dyDescent="0.25">
      <c r="A32" s="23">
        <v>31</v>
      </c>
      <c r="B32" s="23">
        <v>2526080</v>
      </c>
      <c r="C32" s="23" t="s">
        <v>1598</v>
      </c>
      <c r="D32" s="18" t="s">
        <v>1599</v>
      </c>
      <c r="E32" s="23" t="s">
        <v>1536</v>
      </c>
      <c r="F32" s="23" t="s">
        <v>1537</v>
      </c>
      <c r="G32" s="23" t="s">
        <v>1538</v>
      </c>
      <c r="H32" s="23" t="s">
        <v>1539</v>
      </c>
      <c r="I32" s="60" t="s">
        <v>76</v>
      </c>
      <c r="J32" s="61" t="s">
        <v>77</v>
      </c>
      <c r="K32" s="61" t="s">
        <v>78</v>
      </c>
      <c r="L32" s="61" t="s">
        <v>79</v>
      </c>
      <c r="M32" s="23">
        <v>79</v>
      </c>
      <c r="N32" s="18" t="str">
        <f t="shared" si="0"/>
        <v>Mencapai kompetensi dengan baik dalam hal</v>
      </c>
      <c r="O32" s="23">
        <v>79</v>
      </c>
      <c r="P32" s="18" t="str">
        <f t="shared" si="1"/>
        <v>Mencapai kompetensi dengan baik dalam hal</v>
      </c>
      <c r="Q32" s="23">
        <v>80</v>
      </c>
      <c r="R32" s="18" t="str">
        <f t="shared" si="2"/>
        <v>Mencapai kompetensi dengan baik dalam hal</v>
      </c>
      <c r="S32" s="23">
        <v>79</v>
      </c>
      <c r="T32" s="18" t="str">
        <f t="shared" si="3"/>
        <v>Mencapai kompetensi dengan baik dalam hal</v>
      </c>
      <c r="U32" s="23">
        <v>87</v>
      </c>
      <c r="V32" s="18" t="str">
        <f t="shared" si="4"/>
        <v>Mencapai kompetensi dengan baik dalam hal</v>
      </c>
      <c r="W32" s="23">
        <v>82</v>
      </c>
      <c r="X32" s="18" t="str">
        <f t="shared" si="5"/>
        <v>Mencapai kompetensi dengan baik dalam hal</v>
      </c>
      <c r="Y32" s="23">
        <v>78</v>
      </c>
      <c r="Z32" s="18" t="str">
        <f t="shared" si="6"/>
        <v>Mencapai kompetensi dengan baik dalam hal</v>
      </c>
      <c r="AA32" s="23">
        <v>79</v>
      </c>
      <c r="AB32" s="18" t="str">
        <f t="shared" si="7"/>
        <v>Mencapai kompetensi dengan baik dalam hal</v>
      </c>
      <c r="AC32" s="23">
        <v>88</v>
      </c>
      <c r="AD32" s="18" t="str">
        <f t="shared" si="8"/>
        <v>Mencapai kompetensi dengan baik dalam hal</v>
      </c>
      <c r="AE32" s="23">
        <v>88</v>
      </c>
      <c r="AF32" s="18" t="str">
        <f t="shared" si="9"/>
        <v>Mencapai kompetensi dengan baik dalam hal</v>
      </c>
      <c r="AG32" s="23">
        <v>87</v>
      </c>
      <c r="AH32" s="18" t="str">
        <f t="shared" si="10"/>
        <v>Mencapai kompetensi dengan baik dalam hal</v>
      </c>
      <c r="AI32" s="23">
        <v>83</v>
      </c>
      <c r="AJ32" s="18" t="str">
        <f t="shared" si="11"/>
        <v>Mencapai kompetensi dengan baik dalam hal</v>
      </c>
      <c r="AK32" s="23">
        <v>85</v>
      </c>
      <c r="AL32" s="18" t="str">
        <f t="shared" si="12"/>
        <v>Mencapai kompetensi dengan baik dalam hal</v>
      </c>
      <c r="AM32" s="18" t="e">
        <f>VLOOKUP(#REF!,grades2,2,TRUE)</f>
        <v>#REF!</v>
      </c>
      <c r="AN32" s="62">
        <f t="shared" si="17"/>
        <v>85</v>
      </c>
      <c r="AO32" s="23">
        <v>88</v>
      </c>
      <c r="AP32" s="18" t="str">
        <f t="shared" si="13"/>
        <v>Mencapai kompetensi dengan baik dalam hal</v>
      </c>
      <c r="AQ32" s="23">
        <v>76</v>
      </c>
      <c r="AR32" s="18" t="str">
        <f t="shared" si="14"/>
        <v>Mencapai kompetensi dengan baik dalam hal</v>
      </c>
      <c r="AS32" s="113" t="s">
        <v>81</v>
      </c>
      <c r="AT32" s="113" t="s">
        <v>81</v>
      </c>
      <c r="AU32" s="113" t="s">
        <v>81</v>
      </c>
      <c r="AV32" s="23">
        <v>1</v>
      </c>
      <c r="AW32" s="23" t="s">
        <v>82</v>
      </c>
      <c r="AX32" s="18" t="s">
        <v>83</v>
      </c>
      <c r="AY32" s="23" t="s">
        <v>86</v>
      </c>
      <c r="AZ32" s="18" t="str">
        <f t="shared" si="15"/>
        <v>Sangat baik</v>
      </c>
      <c r="BA32" s="23">
        <v>2</v>
      </c>
      <c r="BB32" s="18" t="s">
        <v>170</v>
      </c>
      <c r="BC32" s="18" t="s">
        <v>83</v>
      </c>
      <c r="BD32" s="23" t="s">
        <v>84</v>
      </c>
      <c r="BE32" s="18" t="str">
        <f t="shared" si="16"/>
        <v>Baik</v>
      </c>
      <c r="BF32" s="23"/>
      <c r="BG32" s="23"/>
      <c r="BH32" s="23"/>
      <c r="BI32" s="23"/>
      <c r="BJ32" s="18"/>
    </row>
    <row r="33" spans="1:62" ht="24.95" customHeight="1" x14ac:dyDescent="0.25">
      <c r="A33" s="23">
        <v>32</v>
      </c>
      <c r="B33" s="23">
        <v>2526081</v>
      </c>
      <c r="C33" s="23" t="s">
        <v>1600</v>
      </c>
      <c r="D33" s="18" t="s">
        <v>1601</v>
      </c>
      <c r="E33" s="23" t="s">
        <v>1536</v>
      </c>
      <c r="F33" s="23" t="s">
        <v>1537</v>
      </c>
      <c r="G33" s="23" t="s">
        <v>1538</v>
      </c>
      <c r="H33" s="23" t="s">
        <v>1539</v>
      </c>
      <c r="I33" s="60" t="s">
        <v>76</v>
      </c>
      <c r="J33" s="61" t="s">
        <v>77</v>
      </c>
      <c r="K33" s="61" t="s">
        <v>78</v>
      </c>
      <c r="L33" s="61" t="s">
        <v>79</v>
      </c>
      <c r="M33" s="23">
        <v>78</v>
      </c>
      <c r="N33" s="18" t="str">
        <f t="shared" si="0"/>
        <v>Mencapai kompetensi dengan baik dalam hal</v>
      </c>
      <c r="O33" s="23">
        <v>78</v>
      </c>
      <c r="P33" s="18" t="str">
        <f t="shared" si="1"/>
        <v>Mencapai kompetensi dengan baik dalam hal</v>
      </c>
      <c r="Q33" s="23">
        <v>80</v>
      </c>
      <c r="R33" s="18" t="str">
        <f t="shared" si="2"/>
        <v>Mencapai kompetensi dengan baik dalam hal</v>
      </c>
      <c r="S33" s="23">
        <v>79</v>
      </c>
      <c r="T33" s="18" t="str">
        <f t="shared" si="3"/>
        <v>Mencapai kompetensi dengan baik dalam hal</v>
      </c>
      <c r="U33" s="23">
        <v>87</v>
      </c>
      <c r="V33" s="18" t="str">
        <f t="shared" si="4"/>
        <v>Mencapai kompetensi dengan baik dalam hal</v>
      </c>
      <c r="W33" s="23">
        <v>82</v>
      </c>
      <c r="X33" s="18" t="str">
        <f t="shared" si="5"/>
        <v>Mencapai kompetensi dengan baik dalam hal</v>
      </c>
      <c r="Y33" s="23">
        <v>78</v>
      </c>
      <c r="Z33" s="18" t="str">
        <f t="shared" si="6"/>
        <v>Mencapai kompetensi dengan baik dalam hal</v>
      </c>
      <c r="AA33" s="23">
        <v>79</v>
      </c>
      <c r="AB33" s="18" t="str">
        <f t="shared" si="7"/>
        <v>Mencapai kompetensi dengan baik dalam hal</v>
      </c>
      <c r="AC33" s="23">
        <v>85</v>
      </c>
      <c r="AD33" s="18" t="str">
        <f t="shared" si="8"/>
        <v>Mencapai kompetensi dengan baik dalam hal</v>
      </c>
      <c r="AE33" s="23">
        <v>87</v>
      </c>
      <c r="AF33" s="18" t="str">
        <f t="shared" si="9"/>
        <v>Mencapai kompetensi dengan baik dalam hal</v>
      </c>
      <c r="AG33" s="23">
        <v>87</v>
      </c>
      <c r="AH33" s="18" t="str">
        <f t="shared" si="10"/>
        <v>Mencapai kompetensi dengan baik dalam hal</v>
      </c>
      <c r="AI33" s="23">
        <v>89</v>
      </c>
      <c r="AJ33" s="18" t="str">
        <f t="shared" si="11"/>
        <v>Mencapai kompetensi dengan baik dalam hal</v>
      </c>
      <c r="AK33" s="23">
        <v>86</v>
      </c>
      <c r="AL33" s="18" t="str">
        <f t="shared" si="12"/>
        <v>Mencapai kompetensi dengan baik dalam hal</v>
      </c>
      <c r="AM33" s="18" t="e">
        <f>VLOOKUP(#REF!,grades2,2,TRUE)</f>
        <v>#REF!</v>
      </c>
      <c r="AN33" s="62">
        <f t="shared" si="17"/>
        <v>87.333333333333329</v>
      </c>
      <c r="AO33" s="23">
        <v>85</v>
      </c>
      <c r="AP33" s="18" t="str">
        <f t="shared" si="13"/>
        <v>Mencapai kompetensi dengan baik dalam hal</v>
      </c>
      <c r="AQ33" s="23">
        <v>80</v>
      </c>
      <c r="AR33" s="18" t="str">
        <f t="shared" si="14"/>
        <v>Mencapai kompetensi dengan baik dalam hal</v>
      </c>
      <c r="AS33" s="113" t="s">
        <v>81</v>
      </c>
      <c r="AT33" s="113" t="s">
        <v>81</v>
      </c>
      <c r="AU33" s="113" t="s">
        <v>81</v>
      </c>
      <c r="AV33" s="23">
        <v>1</v>
      </c>
      <c r="AW33" s="23" t="s">
        <v>82</v>
      </c>
      <c r="AX33" s="18" t="s">
        <v>83</v>
      </c>
      <c r="AY33" s="23" t="s">
        <v>84</v>
      </c>
      <c r="AZ33" s="18" t="str">
        <f t="shared" si="15"/>
        <v>Baik</v>
      </c>
      <c r="BA33" s="23">
        <v>2</v>
      </c>
      <c r="BB33" s="18" t="s">
        <v>227</v>
      </c>
      <c r="BC33" s="18" t="s">
        <v>83</v>
      </c>
      <c r="BD33" s="23" t="s">
        <v>84</v>
      </c>
      <c r="BE33" s="18" t="str">
        <f t="shared" si="16"/>
        <v>Baik</v>
      </c>
      <c r="BF33" s="23"/>
      <c r="BG33" s="23"/>
      <c r="BH33" s="23"/>
      <c r="BI33" s="23"/>
      <c r="BJ33" s="18"/>
    </row>
    <row r="34" spans="1:62" ht="24.95" customHeight="1" x14ac:dyDescent="0.25">
      <c r="A34" s="23">
        <v>33</v>
      </c>
      <c r="B34" s="23">
        <v>2526082</v>
      </c>
      <c r="C34" s="23" t="s">
        <v>1602</v>
      </c>
      <c r="D34" s="18" t="s">
        <v>1603</v>
      </c>
      <c r="E34" s="23" t="s">
        <v>1536</v>
      </c>
      <c r="F34" s="23" t="s">
        <v>1537</v>
      </c>
      <c r="G34" s="23" t="s">
        <v>1538</v>
      </c>
      <c r="H34" s="23" t="s">
        <v>1539</v>
      </c>
      <c r="I34" s="60" t="s">
        <v>76</v>
      </c>
      <c r="J34" s="61" t="s">
        <v>77</v>
      </c>
      <c r="K34" s="61" t="s">
        <v>78</v>
      </c>
      <c r="L34" s="61" t="s">
        <v>79</v>
      </c>
      <c r="M34" s="23">
        <v>78</v>
      </c>
      <c r="N34" s="18" t="str">
        <f t="shared" si="0"/>
        <v>Mencapai kompetensi dengan baik dalam hal</v>
      </c>
      <c r="O34" s="23">
        <v>76</v>
      </c>
      <c r="P34" s="18" t="str">
        <f t="shared" si="1"/>
        <v>Mencapai kompetensi dengan baik dalam hal</v>
      </c>
      <c r="Q34" s="23">
        <v>80</v>
      </c>
      <c r="R34" s="18" t="str">
        <f t="shared" si="2"/>
        <v>Mencapai kompetensi dengan baik dalam hal</v>
      </c>
      <c r="S34" s="23">
        <v>78</v>
      </c>
      <c r="T34" s="18" t="str">
        <f t="shared" si="3"/>
        <v>Mencapai kompetensi dengan baik dalam hal</v>
      </c>
      <c r="U34" s="23">
        <v>80</v>
      </c>
      <c r="V34" s="18" t="str">
        <f t="shared" si="4"/>
        <v>Mencapai kompetensi dengan baik dalam hal</v>
      </c>
      <c r="W34" s="23">
        <v>80</v>
      </c>
      <c r="X34" s="18" t="str">
        <f t="shared" si="5"/>
        <v>Mencapai kompetensi dengan baik dalam hal</v>
      </c>
      <c r="Y34" s="23">
        <v>79</v>
      </c>
      <c r="Z34" s="18" t="str">
        <f t="shared" si="6"/>
        <v>Mencapai kompetensi dengan baik dalam hal</v>
      </c>
      <c r="AA34" s="23">
        <v>79</v>
      </c>
      <c r="AB34" s="18" t="str">
        <f t="shared" si="7"/>
        <v>Mencapai kompetensi dengan baik dalam hal</v>
      </c>
      <c r="AC34" s="23">
        <v>80</v>
      </c>
      <c r="AD34" s="18" t="str">
        <f t="shared" si="8"/>
        <v>Mencapai kompetensi dengan baik dalam hal</v>
      </c>
      <c r="AE34" s="23">
        <v>86</v>
      </c>
      <c r="AF34" s="18" t="str">
        <f t="shared" si="9"/>
        <v>Mencapai kompetensi dengan baik dalam hal</v>
      </c>
      <c r="AG34" s="23">
        <v>82</v>
      </c>
      <c r="AH34" s="18" t="str">
        <f t="shared" si="10"/>
        <v>Mencapai kompetensi dengan baik dalam hal</v>
      </c>
      <c r="AI34" s="23">
        <v>86</v>
      </c>
      <c r="AJ34" s="18" t="str">
        <f t="shared" si="11"/>
        <v>Mencapai kompetensi dengan baik dalam hal</v>
      </c>
      <c r="AK34" s="23">
        <v>84</v>
      </c>
      <c r="AL34" s="18" t="str">
        <f t="shared" si="12"/>
        <v>Mencapai kompetensi dengan baik dalam hal</v>
      </c>
      <c r="AM34" s="18" t="e">
        <f>VLOOKUP(#REF!,grades2,2,TRUE)</f>
        <v>#REF!</v>
      </c>
      <c r="AN34" s="62">
        <f t="shared" si="17"/>
        <v>84</v>
      </c>
      <c r="AO34" s="23">
        <v>80</v>
      </c>
      <c r="AP34" s="18" t="str">
        <f t="shared" si="13"/>
        <v>Mencapai kompetensi dengan baik dalam hal</v>
      </c>
      <c r="AQ34" s="23">
        <v>75</v>
      </c>
      <c r="AR34" s="18" t="str">
        <f t="shared" si="14"/>
        <v>Mencapai kompetensi dengan baik dalam hal</v>
      </c>
      <c r="AS34" s="113" t="s">
        <v>81</v>
      </c>
      <c r="AT34" s="113">
        <v>3</v>
      </c>
      <c r="AU34" s="113" t="s">
        <v>81</v>
      </c>
      <c r="AV34" s="23">
        <v>1</v>
      </c>
      <c r="AW34" s="23" t="s">
        <v>82</v>
      </c>
      <c r="AX34" s="18" t="s">
        <v>83</v>
      </c>
      <c r="AY34" s="23" t="s">
        <v>86</v>
      </c>
      <c r="AZ34" s="18" t="str">
        <f t="shared" ref="AZ34:AZ65" si="18">VLOOKUP(AY34,grades4,2,TRUE)</f>
        <v>Sangat baik</v>
      </c>
      <c r="BA34" s="23">
        <v>2</v>
      </c>
      <c r="BB34" s="18" t="s">
        <v>108</v>
      </c>
      <c r="BC34" s="18" t="s">
        <v>83</v>
      </c>
      <c r="BD34" s="23" t="s">
        <v>86</v>
      </c>
      <c r="BE34" s="18" t="str">
        <f t="shared" ref="BE34:BE65" si="19">VLOOKUP(BD34,grades4,2,TRUE)</f>
        <v>Sangat baik</v>
      </c>
      <c r="BF34" s="23"/>
      <c r="BG34" s="23"/>
      <c r="BH34" s="23"/>
      <c r="BI34" s="23"/>
      <c r="BJ34" s="18"/>
    </row>
    <row r="35" spans="1:62" ht="24.95" customHeight="1" x14ac:dyDescent="0.25">
      <c r="A35" s="23">
        <v>34</v>
      </c>
      <c r="B35" s="23">
        <v>2526083</v>
      </c>
      <c r="C35" s="23" t="s">
        <v>1604</v>
      </c>
      <c r="D35" s="18" t="s">
        <v>1605</v>
      </c>
      <c r="E35" s="23" t="s">
        <v>1536</v>
      </c>
      <c r="F35" s="23" t="s">
        <v>1537</v>
      </c>
      <c r="G35" s="23" t="s">
        <v>1538</v>
      </c>
      <c r="H35" s="23" t="s">
        <v>1539</v>
      </c>
      <c r="I35" s="60" t="s">
        <v>76</v>
      </c>
      <c r="J35" s="61" t="s">
        <v>77</v>
      </c>
      <c r="K35" s="61" t="s">
        <v>78</v>
      </c>
      <c r="L35" s="61" t="s">
        <v>79</v>
      </c>
      <c r="M35" s="23">
        <v>79</v>
      </c>
      <c r="N35" s="18" t="str">
        <f t="shared" si="0"/>
        <v>Mencapai kompetensi dengan baik dalam hal</v>
      </c>
      <c r="O35" s="23">
        <v>77</v>
      </c>
      <c r="P35" s="18" t="str">
        <f t="shared" si="1"/>
        <v>Mencapai kompetensi dengan baik dalam hal</v>
      </c>
      <c r="Q35" s="23">
        <v>82</v>
      </c>
      <c r="R35" s="18" t="str">
        <f t="shared" si="2"/>
        <v>Mencapai kompetensi dengan baik dalam hal</v>
      </c>
      <c r="S35" s="23">
        <v>79</v>
      </c>
      <c r="T35" s="18" t="str">
        <f t="shared" si="3"/>
        <v>Mencapai kompetensi dengan baik dalam hal</v>
      </c>
      <c r="U35" s="23">
        <v>85</v>
      </c>
      <c r="V35" s="18" t="str">
        <f t="shared" si="4"/>
        <v>Mencapai kompetensi dengan baik dalam hal</v>
      </c>
      <c r="W35" s="23">
        <v>81</v>
      </c>
      <c r="X35" s="18" t="str">
        <f t="shared" si="5"/>
        <v>Mencapai kompetensi dengan baik dalam hal</v>
      </c>
      <c r="Y35" s="23">
        <v>81</v>
      </c>
      <c r="Z35" s="18" t="str">
        <f t="shared" si="6"/>
        <v>Mencapai kompetensi dengan baik dalam hal</v>
      </c>
      <c r="AA35" s="23">
        <v>78</v>
      </c>
      <c r="AB35" s="18" t="str">
        <f t="shared" si="7"/>
        <v>Mencapai kompetensi dengan baik dalam hal</v>
      </c>
      <c r="AC35" s="23">
        <v>88</v>
      </c>
      <c r="AD35" s="18" t="str">
        <f t="shared" si="8"/>
        <v>Mencapai kompetensi dengan baik dalam hal</v>
      </c>
      <c r="AE35" s="23">
        <v>89</v>
      </c>
      <c r="AF35" s="18" t="str">
        <f t="shared" si="9"/>
        <v>Mencapai kompetensi dengan baik dalam hal</v>
      </c>
      <c r="AG35" s="23">
        <v>88</v>
      </c>
      <c r="AH35" s="18" t="str">
        <f t="shared" si="10"/>
        <v>Mencapai kompetensi dengan baik dalam hal</v>
      </c>
      <c r="AI35" s="23">
        <v>86</v>
      </c>
      <c r="AJ35" s="18" t="str">
        <f t="shared" si="11"/>
        <v>Mencapai kompetensi dengan baik dalam hal</v>
      </c>
      <c r="AK35" s="23">
        <v>90</v>
      </c>
      <c r="AL35" s="18" t="str">
        <f t="shared" si="12"/>
        <v>Mencapai kompetensi dengan sangat baik dalam hal</v>
      </c>
      <c r="AM35" s="18" t="e">
        <f>VLOOKUP(#REF!,grades2,2,TRUE)</f>
        <v>#REF!</v>
      </c>
      <c r="AN35" s="62">
        <f t="shared" si="17"/>
        <v>88</v>
      </c>
      <c r="AO35" s="23">
        <v>88</v>
      </c>
      <c r="AP35" s="18" t="str">
        <f t="shared" si="13"/>
        <v>Mencapai kompetensi dengan baik dalam hal</v>
      </c>
      <c r="AQ35" s="23">
        <v>82</v>
      </c>
      <c r="AR35" s="18" t="str">
        <f t="shared" si="14"/>
        <v>Mencapai kompetensi dengan baik dalam hal</v>
      </c>
      <c r="AS35" s="113" t="s">
        <v>81</v>
      </c>
      <c r="AT35" s="113" t="s">
        <v>81</v>
      </c>
      <c r="AU35" s="113" t="s">
        <v>81</v>
      </c>
      <c r="AV35" s="23">
        <v>1</v>
      </c>
      <c r="AW35" s="23" t="s">
        <v>82</v>
      </c>
      <c r="AX35" s="18" t="s">
        <v>83</v>
      </c>
      <c r="AY35" s="23" t="s">
        <v>84</v>
      </c>
      <c r="AZ35" s="18" t="str">
        <f t="shared" si="18"/>
        <v>Baik</v>
      </c>
      <c r="BA35" s="23">
        <v>2</v>
      </c>
      <c r="BB35" s="18" t="s">
        <v>227</v>
      </c>
      <c r="BC35" s="18" t="s">
        <v>83</v>
      </c>
      <c r="BD35" s="23" t="s">
        <v>84</v>
      </c>
      <c r="BE35" s="18" t="str">
        <f t="shared" si="19"/>
        <v>Baik</v>
      </c>
      <c r="BF35" s="23">
        <v>3</v>
      </c>
      <c r="BG35" s="23" t="s">
        <v>87</v>
      </c>
      <c r="BH35" s="23" t="s">
        <v>83</v>
      </c>
      <c r="BI35" s="23" t="s">
        <v>84</v>
      </c>
      <c r="BJ35" s="18" t="str">
        <f>VLOOKUP(BI35,grades4,2,TRUE)</f>
        <v>Baik</v>
      </c>
    </row>
    <row r="36" spans="1:62" ht="24.95" customHeight="1" x14ac:dyDescent="0.25">
      <c r="A36" s="23">
        <v>35</v>
      </c>
      <c r="B36" s="141">
        <v>2526084</v>
      </c>
      <c r="C36" s="141" t="s">
        <v>1606</v>
      </c>
      <c r="D36" s="142" t="s">
        <v>1607</v>
      </c>
      <c r="E36" s="23" t="s">
        <v>1536</v>
      </c>
      <c r="F36" s="23" t="s">
        <v>1537</v>
      </c>
      <c r="G36" s="23" t="s">
        <v>1538</v>
      </c>
      <c r="H36" s="23" t="s">
        <v>1539</v>
      </c>
      <c r="I36" s="60" t="s">
        <v>76</v>
      </c>
      <c r="J36" s="61" t="s">
        <v>77</v>
      </c>
      <c r="K36" s="61" t="s">
        <v>78</v>
      </c>
      <c r="L36" s="61" t="s">
        <v>79</v>
      </c>
      <c r="M36" s="141">
        <v>76</v>
      </c>
      <c r="N36" s="18" t="str">
        <f t="shared" si="0"/>
        <v>Mencapai kompetensi dengan baik dalam hal</v>
      </c>
      <c r="O36" s="141">
        <v>76</v>
      </c>
      <c r="P36" s="18" t="str">
        <f t="shared" si="1"/>
        <v>Mencapai kompetensi dengan baik dalam hal</v>
      </c>
      <c r="Q36" s="141">
        <v>80</v>
      </c>
      <c r="R36" s="18" t="str">
        <f t="shared" si="2"/>
        <v>Mencapai kompetensi dengan baik dalam hal</v>
      </c>
      <c r="S36" s="141">
        <v>80</v>
      </c>
      <c r="T36" s="18" t="str">
        <f t="shared" si="3"/>
        <v>Mencapai kompetensi dengan baik dalam hal</v>
      </c>
      <c r="U36" s="141">
        <v>87</v>
      </c>
      <c r="V36" s="18" t="str">
        <f t="shared" si="4"/>
        <v>Mencapai kompetensi dengan baik dalam hal</v>
      </c>
      <c r="W36" s="141">
        <v>80</v>
      </c>
      <c r="X36" s="18" t="str">
        <f t="shared" si="5"/>
        <v>Mencapai kompetensi dengan baik dalam hal</v>
      </c>
      <c r="Y36" s="141">
        <v>80</v>
      </c>
      <c r="Z36" s="18" t="str">
        <f t="shared" si="6"/>
        <v>Mencapai kompetensi dengan baik dalam hal</v>
      </c>
      <c r="AA36" s="141">
        <v>80</v>
      </c>
      <c r="AB36" s="18" t="str">
        <f t="shared" si="7"/>
        <v>Mencapai kompetensi dengan baik dalam hal</v>
      </c>
      <c r="AC36" s="141">
        <v>80</v>
      </c>
      <c r="AD36" s="18" t="str">
        <f t="shared" si="8"/>
        <v>Mencapai kompetensi dengan baik dalam hal</v>
      </c>
      <c r="AE36" s="141">
        <v>86</v>
      </c>
      <c r="AF36" s="18" t="str">
        <f t="shared" si="9"/>
        <v>Mencapai kompetensi dengan baik dalam hal</v>
      </c>
      <c r="AG36" s="141">
        <v>84</v>
      </c>
      <c r="AH36" s="18" t="str">
        <f t="shared" si="10"/>
        <v>Mencapai kompetensi dengan baik dalam hal</v>
      </c>
      <c r="AI36" s="141">
        <v>84</v>
      </c>
      <c r="AJ36" s="18" t="str">
        <f t="shared" si="11"/>
        <v>Mencapai kompetensi dengan baik dalam hal</v>
      </c>
      <c r="AK36" s="141">
        <v>84</v>
      </c>
      <c r="AL36" s="18" t="str">
        <f t="shared" si="12"/>
        <v>Mencapai kompetensi dengan baik dalam hal</v>
      </c>
      <c r="AM36" s="18" t="e">
        <f>VLOOKUP(#REF!,grades2,2,TRUE)</f>
        <v>#REF!</v>
      </c>
      <c r="AN36" s="62">
        <f t="shared" si="17"/>
        <v>84</v>
      </c>
      <c r="AO36" s="141">
        <v>80</v>
      </c>
      <c r="AP36" s="18" t="str">
        <f t="shared" si="13"/>
        <v>Mencapai kompetensi dengan baik dalam hal</v>
      </c>
      <c r="AQ36" s="141">
        <v>76</v>
      </c>
      <c r="AR36" s="18" t="str">
        <f t="shared" si="14"/>
        <v>Mencapai kompetensi dengan baik dalam hal</v>
      </c>
      <c r="AS36" s="113" t="s">
        <v>81</v>
      </c>
      <c r="AT36" s="113" t="s">
        <v>81</v>
      </c>
      <c r="AU36" s="113" t="s">
        <v>81</v>
      </c>
      <c r="AV36" s="23">
        <v>1</v>
      </c>
      <c r="AW36" s="23" t="s">
        <v>82</v>
      </c>
      <c r="AX36" s="18" t="s">
        <v>83</v>
      </c>
      <c r="AY36" s="23" t="s">
        <v>86</v>
      </c>
      <c r="AZ36" s="18" t="str">
        <f t="shared" si="18"/>
        <v>Sangat baik</v>
      </c>
      <c r="BA36" s="23">
        <v>2</v>
      </c>
      <c r="BB36" s="18" t="s">
        <v>99</v>
      </c>
      <c r="BC36" s="18" t="s">
        <v>83</v>
      </c>
      <c r="BD36" s="23" t="s">
        <v>84</v>
      </c>
      <c r="BE36" s="18" t="str">
        <f t="shared" si="19"/>
        <v>Baik</v>
      </c>
      <c r="BF36" s="23"/>
      <c r="BG36" s="23"/>
      <c r="BH36" s="23"/>
      <c r="BI36" s="23"/>
      <c r="BJ36" s="18"/>
    </row>
    <row r="37" spans="1:62" ht="24.95" customHeight="1" x14ac:dyDescent="0.25">
      <c r="A37" s="23">
        <v>36</v>
      </c>
      <c r="B37" s="141">
        <v>2526085</v>
      </c>
      <c r="C37" s="141" t="s">
        <v>1608</v>
      </c>
      <c r="D37" s="142" t="s">
        <v>1609</v>
      </c>
      <c r="E37" s="23" t="s">
        <v>1536</v>
      </c>
      <c r="F37" s="23" t="s">
        <v>1537</v>
      </c>
      <c r="G37" s="23" t="s">
        <v>1538</v>
      </c>
      <c r="H37" s="23" t="s">
        <v>1539</v>
      </c>
      <c r="I37" s="60" t="s">
        <v>76</v>
      </c>
      <c r="J37" s="61" t="s">
        <v>77</v>
      </c>
      <c r="K37" s="61" t="s">
        <v>78</v>
      </c>
      <c r="L37" s="61" t="s">
        <v>79</v>
      </c>
      <c r="M37" s="141">
        <v>76</v>
      </c>
      <c r="N37" s="18" t="str">
        <f t="shared" si="0"/>
        <v>Mencapai kompetensi dengan baik dalam hal</v>
      </c>
      <c r="O37" s="141">
        <v>77</v>
      </c>
      <c r="P37" s="18" t="str">
        <f t="shared" si="1"/>
        <v>Mencapai kompetensi dengan baik dalam hal</v>
      </c>
      <c r="Q37" s="141">
        <v>80</v>
      </c>
      <c r="R37" s="18" t="str">
        <f t="shared" si="2"/>
        <v>Mencapai kompetensi dengan baik dalam hal</v>
      </c>
      <c r="S37" s="141">
        <v>80</v>
      </c>
      <c r="T37" s="18" t="str">
        <f t="shared" si="3"/>
        <v>Mencapai kompetensi dengan baik dalam hal</v>
      </c>
      <c r="U37" s="141">
        <v>83</v>
      </c>
      <c r="V37" s="18" t="str">
        <f t="shared" si="4"/>
        <v>Mencapai kompetensi dengan baik dalam hal</v>
      </c>
      <c r="W37" s="141">
        <v>80</v>
      </c>
      <c r="X37" s="18" t="str">
        <f t="shared" si="5"/>
        <v>Mencapai kompetensi dengan baik dalam hal</v>
      </c>
      <c r="Y37" s="141">
        <v>78</v>
      </c>
      <c r="Z37" s="18" t="str">
        <f t="shared" si="6"/>
        <v>Mencapai kompetensi dengan baik dalam hal</v>
      </c>
      <c r="AA37" s="141">
        <v>78</v>
      </c>
      <c r="AB37" s="18" t="str">
        <f t="shared" si="7"/>
        <v>Mencapai kompetensi dengan baik dalam hal</v>
      </c>
      <c r="AC37" s="141">
        <v>79</v>
      </c>
      <c r="AD37" s="18" t="str">
        <f t="shared" si="8"/>
        <v>Mencapai kompetensi dengan baik dalam hal</v>
      </c>
      <c r="AE37" s="141">
        <v>85</v>
      </c>
      <c r="AF37" s="18" t="str">
        <f t="shared" si="9"/>
        <v>Mencapai kompetensi dengan baik dalam hal</v>
      </c>
      <c r="AG37" s="141">
        <v>81</v>
      </c>
      <c r="AH37" s="18" t="str">
        <f t="shared" si="10"/>
        <v>Mencapai kompetensi dengan baik dalam hal</v>
      </c>
      <c r="AI37" s="141">
        <v>85</v>
      </c>
      <c r="AJ37" s="18" t="str">
        <f t="shared" si="11"/>
        <v>Mencapai kompetensi dengan baik dalam hal</v>
      </c>
      <c r="AK37" s="141">
        <v>84</v>
      </c>
      <c r="AL37" s="18" t="str">
        <f t="shared" si="12"/>
        <v>Mencapai kompetensi dengan baik dalam hal</v>
      </c>
      <c r="AM37" s="18" t="e">
        <f>VLOOKUP(#REF!,grades2,2,TRUE)</f>
        <v>#REF!</v>
      </c>
      <c r="AN37" s="62">
        <f t="shared" si="17"/>
        <v>83.333333333333329</v>
      </c>
      <c r="AO37" s="141">
        <v>79</v>
      </c>
      <c r="AP37" s="18" t="str">
        <f t="shared" si="13"/>
        <v>Mencapai kompetensi dengan baik dalam hal</v>
      </c>
      <c r="AQ37" s="141">
        <v>76</v>
      </c>
      <c r="AR37" s="18" t="str">
        <f t="shared" si="14"/>
        <v>Mencapai kompetensi dengan baik dalam hal</v>
      </c>
      <c r="AS37" s="113" t="s">
        <v>81</v>
      </c>
      <c r="AT37" s="113" t="s">
        <v>81</v>
      </c>
      <c r="AU37" s="113" t="s">
        <v>81</v>
      </c>
      <c r="AV37" s="23">
        <v>1</v>
      </c>
      <c r="AW37" s="23" t="s">
        <v>82</v>
      </c>
      <c r="AX37" s="18" t="s">
        <v>83</v>
      </c>
      <c r="AY37" s="23" t="s">
        <v>84</v>
      </c>
      <c r="AZ37" s="18" t="str">
        <f t="shared" si="18"/>
        <v>Baik</v>
      </c>
      <c r="BA37" s="23">
        <v>2</v>
      </c>
      <c r="BB37" s="18" t="s">
        <v>99</v>
      </c>
      <c r="BC37" s="18" t="s">
        <v>83</v>
      </c>
      <c r="BD37" s="23" t="s">
        <v>84</v>
      </c>
      <c r="BE37" s="18" t="str">
        <f t="shared" si="19"/>
        <v>Baik</v>
      </c>
      <c r="BF37" s="23"/>
      <c r="BG37" s="23"/>
      <c r="BH37" s="23"/>
      <c r="BI37" s="23"/>
      <c r="BJ37" s="18"/>
    </row>
    <row r="38" spans="1:62" ht="24.95" customHeight="1" x14ac:dyDescent="0.25">
      <c r="A38" s="23">
        <v>37</v>
      </c>
      <c r="B38" s="141">
        <v>2526086</v>
      </c>
      <c r="C38" s="141" t="s">
        <v>1610</v>
      </c>
      <c r="D38" s="142" t="s">
        <v>1611</v>
      </c>
      <c r="E38" s="23" t="s">
        <v>1612</v>
      </c>
      <c r="F38" s="23" t="s">
        <v>1537</v>
      </c>
      <c r="G38" s="141" t="s">
        <v>1613</v>
      </c>
      <c r="H38" s="141" t="s">
        <v>1614</v>
      </c>
      <c r="I38" s="60" t="s">
        <v>76</v>
      </c>
      <c r="J38" s="61" t="s">
        <v>77</v>
      </c>
      <c r="K38" s="61" t="s">
        <v>78</v>
      </c>
      <c r="L38" s="61" t="s">
        <v>79</v>
      </c>
      <c r="M38" s="141">
        <v>78</v>
      </c>
      <c r="N38" s="18" t="str">
        <f t="shared" si="0"/>
        <v>Mencapai kompetensi dengan baik dalam hal</v>
      </c>
      <c r="O38" s="141">
        <v>75</v>
      </c>
      <c r="P38" s="18" t="str">
        <f t="shared" si="1"/>
        <v>Mencapai kompetensi dengan baik dalam hal</v>
      </c>
      <c r="Q38" s="141">
        <v>80</v>
      </c>
      <c r="R38" s="18" t="str">
        <f t="shared" si="2"/>
        <v>Mencapai kompetensi dengan baik dalam hal</v>
      </c>
      <c r="S38" s="141">
        <v>79</v>
      </c>
      <c r="T38" s="18" t="str">
        <f t="shared" si="3"/>
        <v>Mencapai kompetensi dengan baik dalam hal</v>
      </c>
      <c r="U38" s="141">
        <v>81</v>
      </c>
      <c r="V38" s="18" t="str">
        <f t="shared" si="4"/>
        <v>Mencapai kompetensi dengan baik dalam hal</v>
      </c>
      <c r="W38" s="141">
        <v>80</v>
      </c>
      <c r="X38" s="18" t="str">
        <f t="shared" si="5"/>
        <v>Mencapai kompetensi dengan baik dalam hal</v>
      </c>
      <c r="Y38" s="141">
        <v>76</v>
      </c>
      <c r="Z38" s="18" t="str">
        <f t="shared" si="6"/>
        <v>Mencapai kompetensi dengan baik dalam hal</v>
      </c>
      <c r="AA38" s="141">
        <v>80</v>
      </c>
      <c r="AB38" s="18" t="str">
        <f t="shared" si="7"/>
        <v>Mencapai kompetensi dengan baik dalam hal</v>
      </c>
      <c r="AC38" s="141">
        <v>87</v>
      </c>
      <c r="AD38" s="18" t="str">
        <f t="shared" si="8"/>
        <v>Mencapai kompetensi dengan baik dalam hal</v>
      </c>
      <c r="AE38" s="141">
        <v>84</v>
      </c>
      <c r="AF38" s="18" t="str">
        <f t="shared" si="9"/>
        <v>Mencapai kompetensi dengan baik dalam hal</v>
      </c>
      <c r="AG38" s="141">
        <v>85</v>
      </c>
      <c r="AH38" s="18" t="str">
        <f t="shared" si="10"/>
        <v>Mencapai kompetensi dengan baik dalam hal</v>
      </c>
      <c r="AI38" s="141">
        <v>84</v>
      </c>
      <c r="AJ38" s="18" t="str">
        <f t="shared" si="11"/>
        <v>Mencapai kompetensi dengan baik dalam hal</v>
      </c>
      <c r="AK38" s="141">
        <v>84</v>
      </c>
      <c r="AL38" s="18" t="str">
        <f t="shared" si="12"/>
        <v>Mencapai kompetensi dengan baik dalam hal</v>
      </c>
      <c r="AM38" s="18" t="e">
        <f>VLOOKUP(#REF!,grades2,2,TRUE)</f>
        <v>#REF!</v>
      </c>
      <c r="AN38" s="62">
        <f t="shared" si="17"/>
        <v>84.333333333333329</v>
      </c>
      <c r="AO38" s="141">
        <v>87</v>
      </c>
      <c r="AP38" s="18" t="str">
        <f t="shared" si="13"/>
        <v>Mencapai kompetensi dengan baik dalam hal</v>
      </c>
      <c r="AQ38" s="141">
        <v>76</v>
      </c>
      <c r="AR38" s="18" t="str">
        <f t="shared" si="14"/>
        <v>Mencapai kompetensi dengan baik dalam hal</v>
      </c>
      <c r="AS38" s="113" t="s">
        <v>81</v>
      </c>
      <c r="AT38" s="113" t="s">
        <v>81</v>
      </c>
      <c r="AU38" s="113" t="s">
        <v>81</v>
      </c>
      <c r="AV38" s="23">
        <v>1</v>
      </c>
      <c r="AW38" s="23" t="s">
        <v>82</v>
      </c>
      <c r="AX38" s="18" t="s">
        <v>83</v>
      </c>
      <c r="AY38" s="23" t="s">
        <v>86</v>
      </c>
      <c r="AZ38" s="18" t="str">
        <f t="shared" si="18"/>
        <v>Sangat baik</v>
      </c>
      <c r="BA38" s="23">
        <v>2</v>
      </c>
      <c r="BB38" s="18" t="s">
        <v>227</v>
      </c>
      <c r="BC38" s="18" t="s">
        <v>83</v>
      </c>
      <c r="BD38" s="23" t="s">
        <v>84</v>
      </c>
      <c r="BE38" s="18" t="str">
        <f t="shared" si="19"/>
        <v>Baik</v>
      </c>
      <c r="BF38" s="23"/>
      <c r="BG38" s="23"/>
      <c r="BH38" s="23"/>
      <c r="BI38" s="23"/>
      <c r="BJ38" s="18"/>
    </row>
    <row r="39" spans="1:62" ht="24.95" customHeight="1" x14ac:dyDescent="0.25">
      <c r="A39" s="23">
        <v>38</v>
      </c>
      <c r="B39" s="141">
        <v>2526087</v>
      </c>
      <c r="C39" s="141" t="s">
        <v>1615</v>
      </c>
      <c r="D39" s="142" t="s">
        <v>1616</v>
      </c>
      <c r="E39" s="23" t="s">
        <v>1612</v>
      </c>
      <c r="F39" s="23" t="s">
        <v>1537</v>
      </c>
      <c r="G39" s="141" t="s">
        <v>1613</v>
      </c>
      <c r="H39" s="141" t="s">
        <v>1614</v>
      </c>
      <c r="I39" s="60" t="s">
        <v>76</v>
      </c>
      <c r="J39" s="61" t="s">
        <v>77</v>
      </c>
      <c r="K39" s="61" t="s">
        <v>78</v>
      </c>
      <c r="L39" s="61" t="s">
        <v>79</v>
      </c>
      <c r="M39" s="141">
        <v>80</v>
      </c>
      <c r="N39" s="18" t="str">
        <f t="shared" si="0"/>
        <v>Mencapai kompetensi dengan baik dalam hal</v>
      </c>
      <c r="O39" s="141">
        <v>78</v>
      </c>
      <c r="P39" s="18" t="str">
        <f t="shared" si="1"/>
        <v>Mencapai kompetensi dengan baik dalam hal</v>
      </c>
      <c r="Q39" s="141">
        <v>83</v>
      </c>
      <c r="R39" s="18" t="str">
        <f t="shared" si="2"/>
        <v>Mencapai kompetensi dengan baik dalam hal</v>
      </c>
      <c r="S39" s="141">
        <v>80</v>
      </c>
      <c r="T39" s="18" t="str">
        <f t="shared" si="3"/>
        <v>Mencapai kompetensi dengan baik dalam hal</v>
      </c>
      <c r="U39" s="141">
        <v>87</v>
      </c>
      <c r="V39" s="18" t="str">
        <f t="shared" si="4"/>
        <v>Mencapai kompetensi dengan baik dalam hal</v>
      </c>
      <c r="W39" s="141">
        <v>83</v>
      </c>
      <c r="X39" s="18" t="str">
        <f t="shared" si="5"/>
        <v>Mencapai kompetensi dengan baik dalam hal</v>
      </c>
      <c r="Y39" s="141">
        <v>76</v>
      </c>
      <c r="Z39" s="18" t="str">
        <f t="shared" si="6"/>
        <v>Mencapai kompetensi dengan baik dalam hal</v>
      </c>
      <c r="AA39" s="141">
        <v>79</v>
      </c>
      <c r="AB39" s="18" t="str">
        <f t="shared" si="7"/>
        <v>Mencapai kompetensi dengan baik dalam hal</v>
      </c>
      <c r="AC39" s="141">
        <v>85</v>
      </c>
      <c r="AD39" s="18" t="str">
        <f t="shared" si="8"/>
        <v>Mencapai kompetensi dengan baik dalam hal</v>
      </c>
      <c r="AE39" s="141">
        <v>90</v>
      </c>
      <c r="AF39" s="18" t="str">
        <f t="shared" si="9"/>
        <v>Mencapai kompetensi dengan sangat baik dalam hal</v>
      </c>
      <c r="AG39" s="141">
        <v>84</v>
      </c>
      <c r="AH39" s="18" t="str">
        <f t="shared" si="10"/>
        <v>Mencapai kompetensi dengan baik dalam hal</v>
      </c>
      <c r="AI39" s="141">
        <v>85</v>
      </c>
      <c r="AJ39" s="18" t="str">
        <f t="shared" si="11"/>
        <v>Mencapai kompetensi dengan baik dalam hal</v>
      </c>
      <c r="AK39" s="141">
        <v>87</v>
      </c>
      <c r="AL39" s="18" t="str">
        <f t="shared" si="12"/>
        <v>Mencapai kompetensi dengan baik dalam hal</v>
      </c>
      <c r="AM39" s="18" t="e">
        <f>VLOOKUP(#REF!,grades2,2,TRUE)</f>
        <v>#REF!</v>
      </c>
      <c r="AN39" s="62">
        <f t="shared" si="17"/>
        <v>85.333333333333329</v>
      </c>
      <c r="AO39" s="141">
        <v>85</v>
      </c>
      <c r="AP39" s="18" t="str">
        <f t="shared" si="13"/>
        <v>Mencapai kompetensi dengan baik dalam hal</v>
      </c>
      <c r="AQ39" s="141">
        <v>75</v>
      </c>
      <c r="AR39" s="18" t="str">
        <f t="shared" si="14"/>
        <v>Mencapai kompetensi dengan baik dalam hal</v>
      </c>
      <c r="AS39" s="113" t="s">
        <v>81</v>
      </c>
      <c r="AT39" s="113">
        <v>1</v>
      </c>
      <c r="AU39" s="113" t="s">
        <v>81</v>
      </c>
      <c r="AV39" s="23">
        <v>1</v>
      </c>
      <c r="AW39" s="23" t="s">
        <v>82</v>
      </c>
      <c r="AX39" s="18" t="s">
        <v>83</v>
      </c>
      <c r="AY39" s="23" t="s">
        <v>86</v>
      </c>
      <c r="AZ39" s="18" t="str">
        <f t="shared" si="18"/>
        <v>Sangat baik</v>
      </c>
      <c r="BA39" s="23">
        <v>2</v>
      </c>
      <c r="BB39" s="18" t="s">
        <v>579</v>
      </c>
      <c r="BC39" s="18" t="s">
        <v>83</v>
      </c>
      <c r="BD39" s="23" t="s">
        <v>86</v>
      </c>
      <c r="BE39" s="18" t="str">
        <f t="shared" si="19"/>
        <v>Sangat baik</v>
      </c>
      <c r="BF39" s="23"/>
      <c r="BG39" s="23"/>
      <c r="BH39" s="23"/>
      <c r="BI39" s="23"/>
      <c r="BJ39" s="18"/>
    </row>
    <row r="40" spans="1:62" ht="24.95" customHeight="1" x14ac:dyDescent="0.25">
      <c r="A40" s="23">
        <v>39</v>
      </c>
      <c r="B40" s="141">
        <v>2526088</v>
      </c>
      <c r="C40" s="141" t="s">
        <v>1617</v>
      </c>
      <c r="D40" s="142" t="s">
        <v>1618</v>
      </c>
      <c r="E40" s="23" t="s">
        <v>1612</v>
      </c>
      <c r="F40" s="23" t="s">
        <v>1537</v>
      </c>
      <c r="G40" s="141" t="s">
        <v>1613</v>
      </c>
      <c r="H40" s="141" t="s">
        <v>1614</v>
      </c>
      <c r="I40" s="60" t="s">
        <v>76</v>
      </c>
      <c r="J40" s="61" t="s">
        <v>77</v>
      </c>
      <c r="K40" s="61" t="s">
        <v>78</v>
      </c>
      <c r="L40" s="61" t="s">
        <v>79</v>
      </c>
      <c r="M40" s="141">
        <v>82</v>
      </c>
      <c r="N40" s="18" t="str">
        <f t="shared" si="0"/>
        <v>Mencapai kompetensi dengan baik dalam hal</v>
      </c>
      <c r="O40" s="141">
        <v>82</v>
      </c>
      <c r="P40" s="18" t="str">
        <f t="shared" si="1"/>
        <v>Mencapai kompetensi dengan baik dalam hal</v>
      </c>
      <c r="Q40" s="141">
        <v>83</v>
      </c>
      <c r="R40" s="18" t="str">
        <f t="shared" si="2"/>
        <v>Mencapai kompetensi dengan baik dalam hal</v>
      </c>
      <c r="S40" s="141">
        <v>80</v>
      </c>
      <c r="T40" s="18" t="str">
        <f t="shared" si="3"/>
        <v>Mencapai kompetensi dengan baik dalam hal</v>
      </c>
      <c r="U40" s="141">
        <v>87</v>
      </c>
      <c r="V40" s="18" t="str">
        <f t="shared" si="4"/>
        <v>Mencapai kompetensi dengan baik dalam hal</v>
      </c>
      <c r="W40" s="141">
        <v>85</v>
      </c>
      <c r="X40" s="18" t="str">
        <f t="shared" si="5"/>
        <v>Mencapai kompetensi dengan baik dalam hal</v>
      </c>
      <c r="Y40" s="141">
        <v>87</v>
      </c>
      <c r="Z40" s="18" t="str">
        <f t="shared" si="6"/>
        <v>Mencapai kompetensi dengan baik dalam hal</v>
      </c>
      <c r="AA40" s="141">
        <v>83</v>
      </c>
      <c r="AB40" s="18" t="str">
        <f t="shared" si="7"/>
        <v>Mencapai kompetensi dengan baik dalam hal</v>
      </c>
      <c r="AC40" s="141">
        <v>89</v>
      </c>
      <c r="AD40" s="18" t="str">
        <f t="shared" si="8"/>
        <v>Mencapai kompetensi dengan baik dalam hal</v>
      </c>
      <c r="AE40" s="141">
        <v>90</v>
      </c>
      <c r="AF40" s="18" t="str">
        <f t="shared" si="9"/>
        <v>Mencapai kompetensi dengan sangat baik dalam hal</v>
      </c>
      <c r="AG40" s="141">
        <v>90</v>
      </c>
      <c r="AH40" s="18" t="str">
        <f t="shared" si="10"/>
        <v>Mencapai kompetensi dengan sangat baik dalam hal</v>
      </c>
      <c r="AI40" s="141">
        <v>87</v>
      </c>
      <c r="AJ40" s="18" t="str">
        <f t="shared" si="11"/>
        <v>Mencapai kompetensi dengan baik dalam hal</v>
      </c>
      <c r="AK40" s="141">
        <v>89</v>
      </c>
      <c r="AL40" s="18" t="str">
        <f t="shared" si="12"/>
        <v>Mencapai kompetensi dengan baik dalam hal</v>
      </c>
      <c r="AM40" s="18" t="e">
        <f>VLOOKUP(#REF!,grades2,2,TRUE)</f>
        <v>#REF!</v>
      </c>
      <c r="AN40" s="62">
        <f t="shared" si="17"/>
        <v>88.666666666666671</v>
      </c>
      <c r="AO40" s="141">
        <v>89</v>
      </c>
      <c r="AP40" s="18" t="str">
        <f t="shared" si="13"/>
        <v>Mencapai kompetensi dengan baik dalam hal</v>
      </c>
      <c r="AQ40" s="141">
        <v>82</v>
      </c>
      <c r="AR40" s="18" t="str">
        <f t="shared" si="14"/>
        <v>Mencapai kompetensi dengan baik dalam hal</v>
      </c>
      <c r="AS40" s="113" t="s">
        <v>81</v>
      </c>
      <c r="AT40" s="113" t="s">
        <v>81</v>
      </c>
      <c r="AU40" s="113" t="s">
        <v>81</v>
      </c>
      <c r="AV40" s="23">
        <v>1</v>
      </c>
      <c r="AW40" s="23" t="s">
        <v>82</v>
      </c>
      <c r="AX40" s="18" t="s">
        <v>83</v>
      </c>
      <c r="AY40" s="23" t="s">
        <v>86</v>
      </c>
      <c r="AZ40" s="18" t="str">
        <f t="shared" si="18"/>
        <v>Sangat baik</v>
      </c>
      <c r="BA40" s="23">
        <v>2</v>
      </c>
      <c r="BB40" s="18" t="s">
        <v>236</v>
      </c>
      <c r="BC40" s="18" t="s">
        <v>83</v>
      </c>
      <c r="BD40" s="23" t="s">
        <v>86</v>
      </c>
      <c r="BE40" s="18" t="str">
        <f t="shared" si="19"/>
        <v>Sangat baik</v>
      </c>
      <c r="BF40" s="23"/>
      <c r="BG40" s="23"/>
      <c r="BH40" s="23"/>
      <c r="BI40" s="23"/>
      <c r="BJ40" s="18"/>
    </row>
    <row r="41" spans="1:62" ht="24.95" customHeight="1" x14ac:dyDescent="0.25">
      <c r="A41" s="23">
        <v>40</v>
      </c>
      <c r="B41" s="141">
        <v>2526089</v>
      </c>
      <c r="C41" s="141" t="s">
        <v>1619</v>
      </c>
      <c r="D41" s="142" t="s">
        <v>1620</v>
      </c>
      <c r="E41" s="23" t="s">
        <v>1612</v>
      </c>
      <c r="F41" s="23" t="s">
        <v>1537</v>
      </c>
      <c r="G41" s="141" t="s">
        <v>1613</v>
      </c>
      <c r="H41" s="141" t="s">
        <v>1614</v>
      </c>
      <c r="I41" s="60" t="s">
        <v>76</v>
      </c>
      <c r="J41" s="61" t="s">
        <v>77</v>
      </c>
      <c r="K41" s="61" t="s">
        <v>78</v>
      </c>
      <c r="L41" s="61" t="s">
        <v>79</v>
      </c>
      <c r="M41" s="141">
        <v>77</v>
      </c>
      <c r="N41" s="18" t="str">
        <f t="shared" si="0"/>
        <v>Mencapai kompetensi dengan baik dalam hal</v>
      </c>
      <c r="O41" s="141">
        <v>75</v>
      </c>
      <c r="P41" s="18" t="str">
        <f t="shared" si="1"/>
        <v>Mencapai kompetensi dengan baik dalam hal</v>
      </c>
      <c r="Q41" s="141">
        <v>80</v>
      </c>
      <c r="R41" s="18" t="str">
        <f t="shared" si="2"/>
        <v>Mencapai kompetensi dengan baik dalam hal</v>
      </c>
      <c r="S41" s="141">
        <v>78</v>
      </c>
      <c r="T41" s="18" t="str">
        <f t="shared" si="3"/>
        <v>Mencapai kompetensi dengan baik dalam hal</v>
      </c>
      <c r="U41" s="141">
        <v>80</v>
      </c>
      <c r="V41" s="18" t="str">
        <f t="shared" si="4"/>
        <v>Mencapai kompetensi dengan baik dalam hal</v>
      </c>
      <c r="W41" s="141">
        <v>78</v>
      </c>
      <c r="X41" s="18" t="str">
        <f t="shared" si="5"/>
        <v>Mencapai kompetensi dengan baik dalam hal</v>
      </c>
      <c r="Y41" s="141">
        <v>75</v>
      </c>
      <c r="Z41" s="18" t="str">
        <f t="shared" si="6"/>
        <v>Mencapai kompetensi dengan baik dalam hal</v>
      </c>
      <c r="AA41" s="141">
        <v>75</v>
      </c>
      <c r="AB41" s="18" t="str">
        <f t="shared" si="7"/>
        <v>Mencapai kompetensi dengan baik dalam hal</v>
      </c>
      <c r="AC41" s="141">
        <v>79</v>
      </c>
      <c r="AD41" s="18" t="str">
        <f t="shared" si="8"/>
        <v>Mencapai kompetensi dengan baik dalam hal</v>
      </c>
      <c r="AE41" s="141">
        <v>80</v>
      </c>
      <c r="AF41" s="18" t="str">
        <f t="shared" si="9"/>
        <v>Mencapai kompetensi dengan baik dalam hal</v>
      </c>
      <c r="AG41" s="141">
        <v>80</v>
      </c>
      <c r="AH41" s="18" t="str">
        <f t="shared" si="10"/>
        <v>Mencapai kompetensi dengan baik dalam hal</v>
      </c>
      <c r="AI41" s="141">
        <v>83</v>
      </c>
      <c r="AJ41" s="18" t="str">
        <f t="shared" si="11"/>
        <v>Mencapai kompetensi dengan baik dalam hal</v>
      </c>
      <c r="AK41" s="141">
        <v>84</v>
      </c>
      <c r="AL41" s="18" t="str">
        <f t="shared" si="12"/>
        <v>Mencapai kompetensi dengan baik dalam hal</v>
      </c>
      <c r="AM41" s="18" t="e">
        <f>VLOOKUP(#REF!,grades2,2,TRUE)</f>
        <v>#REF!</v>
      </c>
      <c r="AN41" s="62">
        <f t="shared" si="17"/>
        <v>82.333333333333329</v>
      </c>
      <c r="AO41" s="141">
        <v>79</v>
      </c>
      <c r="AP41" s="18" t="str">
        <f t="shared" si="13"/>
        <v>Mencapai kompetensi dengan baik dalam hal</v>
      </c>
      <c r="AQ41" s="141">
        <v>75</v>
      </c>
      <c r="AR41" s="18" t="str">
        <f t="shared" si="14"/>
        <v>Mencapai kompetensi dengan baik dalam hal</v>
      </c>
      <c r="AS41" s="113">
        <v>1</v>
      </c>
      <c r="AT41" s="113" t="s">
        <v>81</v>
      </c>
      <c r="AU41" s="113" t="s">
        <v>81</v>
      </c>
      <c r="AV41" s="23">
        <v>1</v>
      </c>
      <c r="AW41" s="23" t="s">
        <v>82</v>
      </c>
      <c r="AX41" s="18" t="s">
        <v>83</v>
      </c>
      <c r="AY41" s="23" t="s">
        <v>84</v>
      </c>
      <c r="AZ41" s="18" t="str">
        <f t="shared" si="18"/>
        <v>Baik</v>
      </c>
      <c r="BA41" s="23">
        <v>2</v>
      </c>
      <c r="BB41" s="18" t="s">
        <v>579</v>
      </c>
      <c r="BC41" s="18" t="s">
        <v>83</v>
      </c>
      <c r="BD41" s="23" t="s">
        <v>84</v>
      </c>
      <c r="BE41" s="18" t="str">
        <f t="shared" si="19"/>
        <v>Baik</v>
      </c>
      <c r="BF41" s="23"/>
      <c r="BG41" s="23"/>
      <c r="BH41" s="23"/>
      <c r="BI41" s="23"/>
      <c r="BJ41" s="18"/>
    </row>
    <row r="42" spans="1:62" ht="24.95" customHeight="1" x14ac:dyDescent="0.25">
      <c r="A42" s="23">
        <v>41</v>
      </c>
      <c r="B42" s="141">
        <v>2526090</v>
      </c>
      <c r="C42" s="141" t="s">
        <v>1621</v>
      </c>
      <c r="D42" s="142" t="s">
        <v>1622</v>
      </c>
      <c r="E42" s="23" t="s">
        <v>1612</v>
      </c>
      <c r="F42" s="23" t="s">
        <v>1537</v>
      </c>
      <c r="G42" s="141" t="s">
        <v>1613</v>
      </c>
      <c r="H42" s="141" t="s">
        <v>1614</v>
      </c>
      <c r="I42" s="60" t="s">
        <v>76</v>
      </c>
      <c r="J42" s="61" t="s">
        <v>77</v>
      </c>
      <c r="K42" s="61" t="s">
        <v>78</v>
      </c>
      <c r="L42" s="61" t="s">
        <v>79</v>
      </c>
      <c r="M42" s="141">
        <v>79</v>
      </c>
      <c r="N42" s="18" t="str">
        <f t="shared" si="0"/>
        <v>Mencapai kompetensi dengan baik dalam hal</v>
      </c>
      <c r="O42" s="141">
        <v>79</v>
      </c>
      <c r="P42" s="18" t="str">
        <f t="shared" si="1"/>
        <v>Mencapai kompetensi dengan baik dalam hal</v>
      </c>
      <c r="Q42" s="141">
        <v>83</v>
      </c>
      <c r="R42" s="18" t="str">
        <f t="shared" si="2"/>
        <v>Mencapai kompetensi dengan baik dalam hal</v>
      </c>
      <c r="S42" s="141">
        <v>80</v>
      </c>
      <c r="T42" s="18" t="str">
        <f t="shared" si="3"/>
        <v>Mencapai kompetensi dengan baik dalam hal</v>
      </c>
      <c r="U42" s="141">
        <v>84</v>
      </c>
      <c r="V42" s="18" t="str">
        <f t="shared" si="4"/>
        <v>Mencapai kompetensi dengan baik dalam hal</v>
      </c>
      <c r="W42" s="141">
        <v>83</v>
      </c>
      <c r="X42" s="18" t="str">
        <f t="shared" si="5"/>
        <v>Mencapai kompetensi dengan baik dalam hal</v>
      </c>
      <c r="Y42" s="141">
        <v>76</v>
      </c>
      <c r="Z42" s="18" t="str">
        <f t="shared" si="6"/>
        <v>Mencapai kompetensi dengan baik dalam hal</v>
      </c>
      <c r="AA42" s="141">
        <v>79</v>
      </c>
      <c r="AB42" s="18" t="str">
        <f t="shared" si="7"/>
        <v>Mencapai kompetensi dengan baik dalam hal</v>
      </c>
      <c r="AC42" s="141">
        <v>86</v>
      </c>
      <c r="AD42" s="18" t="str">
        <f t="shared" si="8"/>
        <v>Mencapai kompetensi dengan baik dalam hal</v>
      </c>
      <c r="AE42" s="141">
        <v>84</v>
      </c>
      <c r="AF42" s="18" t="str">
        <f t="shared" si="9"/>
        <v>Mencapai kompetensi dengan baik dalam hal</v>
      </c>
      <c r="AG42" s="141">
        <v>82</v>
      </c>
      <c r="AH42" s="18" t="str">
        <f t="shared" si="10"/>
        <v>Mencapai kompetensi dengan baik dalam hal</v>
      </c>
      <c r="AI42" s="141">
        <v>84</v>
      </c>
      <c r="AJ42" s="18" t="str">
        <f t="shared" si="11"/>
        <v>Mencapai kompetensi dengan baik dalam hal</v>
      </c>
      <c r="AK42" s="141">
        <v>86</v>
      </c>
      <c r="AL42" s="18" t="str">
        <f t="shared" si="12"/>
        <v>Mencapai kompetensi dengan baik dalam hal</v>
      </c>
      <c r="AM42" s="18" t="e">
        <f>VLOOKUP(#REF!,grades2,2,TRUE)</f>
        <v>#REF!</v>
      </c>
      <c r="AN42" s="62">
        <f t="shared" si="17"/>
        <v>84</v>
      </c>
      <c r="AO42" s="141">
        <v>86</v>
      </c>
      <c r="AP42" s="18" t="str">
        <f t="shared" si="13"/>
        <v>Mencapai kompetensi dengan baik dalam hal</v>
      </c>
      <c r="AQ42" s="141">
        <v>75</v>
      </c>
      <c r="AR42" s="18" t="str">
        <f t="shared" si="14"/>
        <v>Mencapai kompetensi dengan baik dalam hal</v>
      </c>
      <c r="AS42" s="113" t="s">
        <v>81</v>
      </c>
      <c r="AT42" s="113" t="s">
        <v>81</v>
      </c>
      <c r="AU42" s="113" t="s">
        <v>81</v>
      </c>
      <c r="AV42" s="23">
        <v>1</v>
      </c>
      <c r="AW42" s="23" t="s">
        <v>82</v>
      </c>
      <c r="AX42" s="18" t="s">
        <v>83</v>
      </c>
      <c r="AY42" s="23" t="s">
        <v>86</v>
      </c>
      <c r="AZ42" s="18" t="str">
        <f t="shared" si="18"/>
        <v>Sangat baik</v>
      </c>
      <c r="BA42" s="23">
        <v>2</v>
      </c>
      <c r="BB42" s="18" t="s">
        <v>99</v>
      </c>
      <c r="BC42" s="18" t="s">
        <v>83</v>
      </c>
      <c r="BD42" s="23" t="s">
        <v>84</v>
      </c>
      <c r="BE42" s="18" t="str">
        <f t="shared" si="19"/>
        <v>Baik</v>
      </c>
      <c r="BF42" s="23"/>
      <c r="BG42" s="23"/>
      <c r="BH42" s="23"/>
      <c r="BI42" s="23"/>
      <c r="BJ42" s="18"/>
    </row>
    <row r="43" spans="1:62" ht="24.95" customHeight="1" x14ac:dyDescent="0.25">
      <c r="A43" s="23">
        <v>42</v>
      </c>
      <c r="B43" s="141">
        <v>2526091</v>
      </c>
      <c r="C43" s="141" t="s">
        <v>1623</v>
      </c>
      <c r="D43" s="142" t="s">
        <v>1624</v>
      </c>
      <c r="E43" s="23" t="s">
        <v>1612</v>
      </c>
      <c r="F43" s="23" t="s">
        <v>1537</v>
      </c>
      <c r="G43" s="141" t="s">
        <v>1613</v>
      </c>
      <c r="H43" s="141" t="s">
        <v>1614</v>
      </c>
      <c r="I43" s="60" t="s">
        <v>76</v>
      </c>
      <c r="J43" s="61" t="s">
        <v>77</v>
      </c>
      <c r="K43" s="61" t="s">
        <v>78</v>
      </c>
      <c r="L43" s="61" t="s">
        <v>79</v>
      </c>
      <c r="M43" s="141">
        <v>81</v>
      </c>
      <c r="N43" s="18" t="str">
        <f t="shared" si="0"/>
        <v>Mencapai kompetensi dengan baik dalam hal</v>
      </c>
      <c r="O43" s="141">
        <v>79</v>
      </c>
      <c r="P43" s="18" t="str">
        <f t="shared" si="1"/>
        <v>Mencapai kompetensi dengan baik dalam hal</v>
      </c>
      <c r="Q43" s="141">
        <v>82</v>
      </c>
      <c r="R43" s="18" t="str">
        <f t="shared" si="2"/>
        <v>Mencapai kompetensi dengan baik dalam hal</v>
      </c>
      <c r="S43" s="141">
        <v>80</v>
      </c>
      <c r="T43" s="18" t="str">
        <f t="shared" si="3"/>
        <v>Mencapai kompetensi dengan baik dalam hal</v>
      </c>
      <c r="U43" s="141">
        <v>86</v>
      </c>
      <c r="V43" s="18" t="str">
        <f t="shared" si="4"/>
        <v>Mencapai kompetensi dengan baik dalam hal</v>
      </c>
      <c r="W43" s="141">
        <v>84</v>
      </c>
      <c r="X43" s="18" t="str">
        <f t="shared" si="5"/>
        <v>Mencapai kompetensi dengan baik dalam hal</v>
      </c>
      <c r="Y43" s="141">
        <v>78</v>
      </c>
      <c r="Z43" s="18" t="str">
        <f t="shared" si="6"/>
        <v>Mencapai kompetensi dengan baik dalam hal</v>
      </c>
      <c r="AA43" s="141">
        <v>80</v>
      </c>
      <c r="AB43" s="18" t="str">
        <f t="shared" si="7"/>
        <v>Mencapai kompetensi dengan baik dalam hal</v>
      </c>
      <c r="AC43" s="141">
        <v>87</v>
      </c>
      <c r="AD43" s="18" t="str">
        <f t="shared" si="8"/>
        <v>Mencapai kompetensi dengan baik dalam hal</v>
      </c>
      <c r="AE43" s="141">
        <v>87</v>
      </c>
      <c r="AF43" s="18" t="str">
        <f t="shared" si="9"/>
        <v>Mencapai kompetensi dengan baik dalam hal</v>
      </c>
      <c r="AG43" s="141">
        <v>86</v>
      </c>
      <c r="AH43" s="18" t="str">
        <f t="shared" si="10"/>
        <v>Mencapai kompetensi dengan baik dalam hal</v>
      </c>
      <c r="AI43" s="141">
        <v>85</v>
      </c>
      <c r="AJ43" s="18" t="str">
        <f t="shared" si="11"/>
        <v>Mencapai kompetensi dengan baik dalam hal</v>
      </c>
      <c r="AK43" s="141">
        <v>90</v>
      </c>
      <c r="AL43" s="18" t="str">
        <f t="shared" si="12"/>
        <v>Mencapai kompetensi dengan sangat baik dalam hal</v>
      </c>
      <c r="AM43" s="18" t="e">
        <f>VLOOKUP(#REF!,grades2,2,TRUE)</f>
        <v>#REF!</v>
      </c>
      <c r="AN43" s="62">
        <f t="shared" si="17"/>
        <v>87</v>
      </c>
      <c r="AO43" s="141">
        <v>87</v>
      </c>
      <c r="AP43" s="18" t="str">
        <f t="shared" si="13"/>
        <v>Mencapai kompetensi dengan baik dalam hal</v>
      </c>
      <c r="AQ43" s="141">
        <v>80</v>
      </c>
      <c r="AR43" s="18" t="str">
        <f t="shared" si="14"/>
        <v>Mencapai kompetensi dengan baik dalam hal</v>
      </c>
      <c r="AS43" s="113" t="s">
        <v>81</v>
      </c>
      <c r="AT43" s="113">
        <v>1</v>
      </c>
      <c r="AU43" s="113" t="s">
        <v>81</v>
      </c>
      <c r="AV43" s="23">
        <v>1</v>
      </c>
      <c r="AW43" s="23" t="s">
        <v>82</v>
      </c>
      <c r="AX43" s="18" t="s">
        <v>83</v>
      </c>
      <c r="AY43" s="23" t="s">
        <v>86</v>
      </c>
      <c r="AZ43" s="18" t="str">
        <f t="shared" si="18"/>
        <v>Sangat baik</v>
      </c>
      <c r="BA43" s="23">
        <v>2</v>
      </c>
      <c r="BB43" s="18" t="s">
        <v>212</v>
      </c>
      <c r="BC43" s="18" t="s">
        <v>83</v>
      </c>
      <c r="BD43" s="23" t="s">
        <v>86</v>
      </c>
      <c r="BE43" s="18" t="str">
        <f t="shared" si="19"/>
        <v>Sangat baik</v>
      </c>
      <c r="BF43" s="23"/>
      <c r="BG43" s="23"/>
      <c r="BH43" s="23"/>
      <c r="BI43" s="23"/>
      <c r="BJ43" s="18"/>
    </row>
    <row r="44" spans="1:62" ht="24.95" customHeight="1" x14ac:dyDescent="0.25">
      <c r="A44" s="23">
        <v>43</v>
      </c>
      <c r="B44" s="141">
        <v>2526092</v>
      </c>
      <c r="C44" s="141" t="s">
        <v>1625</v>
      </c>
      <c r="D44" s="142" t="s">
        <v>1626</v>
      </c>
      <c r="E44" s="23" t="s">
        <v>1612</v>
      </c>
      <c r="F44" s="23" t="s">
        <v>1537</v>
      </c>
      <c r="G44" s="141" t="s">
        <v>1613</v>
      </c>
      <c r="H44" s="141" t="s">
        <v>1614</v>
      </c>
      <c r="I44" s="60" t="s">
        <v>76</v>
      </c>
      <c r="J44" s="61" t="s">
        <v>77</v>
      </c>
      <c r="K44" s="61" t="s">
        <v>78</v>
      </c>
      <c r="L44" s="61" t="s">
        <v>79</v>
      </c>
      <c r="M44" s="141">
        <v>79</v>
      </c>
      <c r="N44" s="18" t="str">
        <f t="shared" si="0"/>
        <v>Mencapai kompetensi dengan baik dalam hal</v>
      </c>
      <c r="O44" s="141">
        <v>80</v>
      </c>
      <c r="P44" s="18" t="str">
        <f t="shared" si="1"/>
        <v>Mencapai kompetensi dengan baik dalam hal</v>
      </c>
      <c r="Q44" s="141">
        <v>82</v>
      </c>
      <c r="R44" s="18" t="str">
        <f t="shared" si="2"/>
        <v>Mencapai kompetensi dengan baik dalam hal</v>
      </c>
      <c r="S44" s="141">
        <v>80</v>
      </c>
      <c r="T44" s="18" t="str">
        <f t="shared" si="3"/>
        <v>Mencapai kompetensi dengan baik dalam hal</v>
      </c>
      <c r="U44" s="141">
        <v>87</v>
      </c>
      <c r="V44" s="18" t="str">
        <f t="shared" si="4"/>
        <v>Mencapai kompetensi dengan baik dalam hal</v>
      </c>
      <c r="W44" s="141">
        <v>85</v>
      </c>
      <c r="X44" s="18" t="str">
        <f t="shared" si="5"/>
        <v>Mencapai kompetensi dengan baik dalam hal</v>
      </c>
      <c r="Y44" s="141">
        <v>78</v>
      </c>
      <c r="Z44" s="18" t="str">
        <f t="shared" si="6"/>
        <v>Mencapai kompetensi dengan baik dalam hal</v>
      </c>
      <c r="AA44" s="141">
        <v>81</v>
      </c>
      <c r="AB44" s="18" t="str">
        <f t="shared" si="7"/>
        <v>Mencapai kompetensi dengan baik dalam hal</v>
      </c>
      <c r="AC44" s="141">
        <v>88</v>
      </c>
      <c r="AD44" s="18" t="str">
        <f t="shared" si="8"/>
        <v>Mencapai kompetensi dengan baik dalam hal</v>
      </c>
      <c r="AE44" s="141">
        <v>86</v>
      </c>
      <c r="AF44" s="18" t="str">
        <f t="shared" si="9"/>
        <v>Mencapai kompetensi dengan baik dalam hal</v>
      </c>
      <c r="AG44" s="141">
        <v>84</v>
      </c>
      <c r="AH44" s="18" t="str">
        <f t="shared" si="10"/>
        <v>Mencapai kompetensi dengan baik dalam hal</v>
      </c>
      <c r="AI44" s="141">
        <v>85</v>
      </c>
      <c r="AJ44" s="18" t="str">
        <f t="shared" si="11"/>
        <v>Mencapai kompetensi dengan baik dalam hal</v>
      </c>
      <c r="AK44" s="141">
        <v>87</v>
      </c>
      <c r="AL44" s="18" t="str">
        <f t="shared" si="12"/>
        <v>Mencapai kompetensi dengan baik dalam hal</v>
      </c>
      <c r="AM44" s="18" t="e">
        <f>VLOOKUP(#REF!,grades2,2,TRUE)</f>
        <v>#REF!</v>
      </c>
      <c r="AN44" s="62">
        <f t="shared" si="17"/>
        <v>85.333333333333329</v>
      </c>
      <c r="AO44" s="141">
        <v>88</v>
      </c>
      <c r="AP44" s="18" t="str">
        <f t="shared" si="13"/>
        <v>Mencapai kompetensi dengan baik dalam hal</v>
      </c>
      <c r="AQ44" s="141">
        <v>82</v>
      </c>
      <c r="AR44" s="18" t="str">
        <f t="shared" si="14"/>
        <v>Mencapai kompetensi dengan baik dalam hal</v>
      </c>
      <c r="AS44" s="113">
        <v>2</v>
      </c>
      <c r="AT44" s="113" t="s">
        <v>81</v>
      </c>
      <c r="AU44" s="113" t="s">
        <v>81</v>
      </c>
      <c r="AV44" s="23">
        <v>1</v>
      </c>
      <c r="AW44" s="23" t="s">
        <v>82</v>
      </c>
      <c r="AX44" s="18" t="s">
        <v>83</v>
      </c>
      <c r="AY44" s="23" t="s">
        <v>86</v>
      </c>
      <c r="AZ44" s="18" t="str">
        <f t="shared" si="18"/>
        <v>Sangat baik</v>
      </c>
      <c r="BA44" s="23">
        <v>2</v>
      </c>
      <c r="BB44" s="18" t="s">
        <v>108</v>
      </c>
      <c r="BC44" s="18" t="s">
        <v>83</v>
      </c>
      <c r="BD44" s="23" t="s">
        <v>86</v>
      </c>
      <c r="BE44" s="18" t="str">
        <f t="shared" si="19"/>
        <v>Sangat baik</v>
      </c>
      <c r="BF44" s="23"/>
      <c r="BG44" s="23"/>
      <c r="BH44" s="23"/>
      <c r="BI44" s="23"/>
      <c r="BJ44" s="18"/>
    </row>
    <row r="45" spans="1:62" ht="24.95" customHeight="1" x14ac:dyDescent="0.25">
      <c r="A45" s="23">
        <v>44</v>
      </c>
      <c r="B45" s="141">
        <v>2526093</v>
      </c>
      <c r="C45" s="141" t="s">
        <v>1627</v>
      </c>
      <c r="D45" s="142" t="s">
        <v>1628</v>
      </c>
      <c r="E45" s="23" t="s">
        <v>1612</v>
      </c>
      <c r="F45" s="23" t="s">
        <v>1537</v>
      </c>
      <c r="G45" s="141" t="s">
        <v>1613</v>
      </c>
      <c r="H45" s="141" t="s">
        <v>1614</v>
      </c>
      <c r="I45" s="60" t="s">
        <v>76</v>
      </c>
      <c r="J45" s="61" t="s">
        <v>77</v>
      </c>
      <c r="K45" s="61" t="s">
        <v>78</v>
      </c>
      <c r="L45" s="61" t="s">
        <v>79</v>
      </c>
      <c r="M45" s="141">
        <v>77</v>
      </c>
      <c r="N45" s="18" t="str">
        <f t="shared" si="0"/>
        <v>Mencapai kompetensi dengan baik dalam hal</v>
      </c>
      <c r="O45" s="141">
        <v>78</v>
      </c>
      <c r="P45" s="18" t="str">
        <f t="shared" si="1"/>
        <v>Mencapai kompetensi dengan baik dalam hal</v>
      </c>
      <c r="Q45" s="141">
        <v>80</v>
      </c>
      <c r="R45" s="18" t="str">
        <f t="shared" si="2"/>
        <v>Mencapai kompetensi dengan baik dalam hal</v>
      </c>
      <c r="S45" s="141">
        <v>80</v>
      </c>
      <c r="T45" s="18" t="str">
        <f t="shared" si="3"/>
        <v>Mencapai kompetensi dengan baik dalam hal</v>
      </c>
      <c r="U45" s="141">
        <v>80</v>
      </c>
      <c r="V45" s="18" t="str">
        <f t="shared" si="4"/>
        <v>Mencapai kompetensi dengan baik dalam hal</v>
      </c>
      <c r="W45" s="141">
        <v>80</v>
      </c>
      <c r="X45" s="18" t="str">
        <f t="shared" si="5"/>
        <v>Mencapai kompetensi dengan baik dalam hal</v>
      </c>
      <c r="Y45" s="141">
        <v>76</v>
      </c>
      <c r="Z45" s="18" t="str">
        <f t="shared" si="6"/>
        <v>Mencapai kompetensi dengan baik dalam hal</v>
      </c>
      <c r="AA45" s="141">
        <v>77</v>
      </c>
      <c r="AB45" s="18" t="str">
        <f t="shared" si="7"/>
        <v>Mencapai kompetensi dengan baik dalam hal</v>
      </c>
      <c r="AC45" s="141">
        <v>78</v>
      </c>
      <c r="AD45" s="18" t="str">
        <f t="shared" si="8"/>
        <v>Mencapai kompetensi dengan baik dalam hal</v>
      </c>
      <c r="AE45" s="141">
        <v>83</v>
      </c>
      <c r="AF45" s="18" t="str">
        <f t="shared" si="9"/>
        <v>Mencapai kompetensi dengan baik dalam hal</v>
      </c>
      <c r="AG45" s="141">
        <v>84</v>
      </c>
      <c r="AH45" s="18" t="str">
        <f t="shared" si="10"/>
        <v>Mencapai kompetensi dengan baik dalam hal</v>
      </c>
      <c r="AI45" s="141">
        <v>85</v>
      </c>
      <c r="AJ45" s="18" t="str">
        <f t="shared" si="11"/>
        <v>Mencapai kompetensi dengan baik dalam hal</v>
      </c>
      <c r="AK45" s="141">
        <v>87</v>
      </c>
      <c r="AL45" s="18" t="str">
        <f t="shared" si="12"/>
        <v>Mencapai kompetensi dengan baik dalam hal</v>
      </c>
      <c r="AM45" s="18" t="e">
        <f>VLOOKUP(#REF!,grades2,2,TRUE)</f>
        <v>#REF!</v>
      </c>
      <c r="AN45" s="62">
        <f t="shared" si="17"/>
        <v>85.333333333333329</v>
      </c>
      <c r="AO45" s="141">
        <v>78</v>
      </c>
      <c r="AP45" s="18" t="str">
        <f t="shared" si="13"/>
        <v>Mencapai kompetensi dengan baik dalam hal</v>
      </c>
      <c r="AQ45" s="141">
        <v>76</v>
      </c>
      <c r="AR45" s="18" t="str">
        <f t="shared" si="14"/>
        <v>Mencapai kompetensi dengan baik dalam hal</v>
      </c>
      <c r="AS45" s="113">
        <v>3</v>
      </c>
      <c r="AT45" s="113" t="s">
        <v>81</v>
      </c>
      <c r="AU45" s="113" t="s">
        <v>81</v>
      </c>
      <c r="AV45" s="23">
        <v>1</v>
      </c>
      <c r="AW45" s="23" t="s">
        <v>82</v>
      </c>
      <c r="AX45" s="18" t="s">
        <v>83</v>
      </c>
      <c r="AY45" s="23" t="s">
        <v>86</v>
      </c>
      <c r="AZ45" s="18" t="str">
        <f t="shared" si="18"/>
        <v>Sangat baik</v>
      </c>
      <c r="BA45" s="23">
        <v>2</v>
      </c>
      <c r="BB45" s="18" t="s">
        <v>108</v>
      </c>
      <c r="BC45" s="18" t="s">
        <v>83</v>
      </c>
      <c r="BD45" s="23" t="s">
        <v>86</v>
      </c>
      <c r="BE45" s="18" t="str">
        <f t="shared" si="19"/>
        <v>Sangat baik</v>
      </c>
      <c r="BF45" s="23"/>
      <c r="BG45" s="23"/>
      <c r="BH45" s="23"/>
      <c r="BI45" s="23"/>
      <c r="BJ45" s="18"/>
    </row>
    <row r="46" spans="1:62" ht="24.95" customHeight="1" x14ac:dyDescent="0.25">
      <c r="A46" s="23">
        <v>45</v>
      </c>
      <c r="B46" s="141">
        <v>2526094</v>
      </c>
      <c r="C46" s="141" t="s">
        <v>1629</v>
      </c>
      <c r="D46" s="142" t="s">
        <v>1630</v>
      </c>
      <c r="E46" s="23" t="s">
        <v>1612</v>
      </c>
      <c r="F46" s="23" t="s">
        <v>1537</v>
      </c>
      <c r="G46" s="141" t="s">
        <v>1613</v>
      </c>
      <c r="H46" s="141" t="s">
        <v>1614</v>
      </c>
      <c r="I46" s="60" t="s">
        <v>76</v>
      </c>
      <c r="J46" s="61" t="s">
        <v>77</v>
      </c>
      <c r="K46" s="61" t="s">
        <v>78</v>
      </c>
      <c r="L46" s="61" t="s">
        <v>79</v>
      </c>
      <c r="M46" s="141">
        <v>77</v>
      </c>
      <c r="N46" s="18" t="str">
        <f t="shared" si="0"/>
        <v>Mencapai kompetensi dengan baik dalam hal</v>
      </c>
      <c r="O46" s="141">
        <v>76</v>
      </c>
      <c r="P46" s="18" t="str">
        <f t="shared" si="1"/>
        <v>Mencapai kompetensi dengan baik dalam hal</v>
      </c>
      <c r="Q46" s="141">
        <v>80</v>
      </c>
      <c r="R46" s="18" t="str">
        <f t="shared" si="2"/>
        <v>Mencapai kompetensi dengan baik dalam hal</v>
      </c>
      <c r="S46" s="141">
        <v>79</v>
      </c>
      <c r="T46" s="18" t="str">
        <f t="shared" si="3"/>
        <v>Mencapai kompetensi dengan baik dalam hal</v>
      </c>
      <c r="U46" s="141">
        <v>83</v>
      </c>
      <c r="V46" s="18" t="str">
        <f t="shared" si="4"/>
        <v>Mencapai kompetensi dengan baik dalam hal</v>
      </c>
      <c r="W46" s="141">
        <v>80</v>
      </c>
      <c r="X46" s="18" t="str">
        <f t="shared" si="5"/>
        <v>Mencapai kompetensi dengan baik dalam hal</v>
      </c>
      <c r="Y46" s="141">
        <v>76</v>
      </c>
      <c r="Z46" s="18" t="str">
        <f t="shared" si="6"/>
        <v>Mencapai kompetensi dengan baik dalam hal</v>
      </c>
      <c r="AA46" s="141">
        <v>81</v>
      </c>
      <c r="AB46" s="18" t="str">
        <f t="shared" si="7"/>
        <v>Mencapai kompetensi dengan baik dalam hal</v>
      </c>
      <c r="AC46" s="141">
        <v>81</v>
      </c>
      <c r="AD46" s="18" t="str">
        <f t="shared" si="8"/>
        <v>Mencapai kompetensi dengan baik dalam hal</v>
      </c>
      <c r="AE46" s="141">
        <v>80</v>
      </c>
      <c r="AF46" s="18" t="str">
        <f t="shared" si="9"/>
        <v>Mencapai kompetensi dengan baik dalam hal</v>
      </c>
      <c r="AG46" s="141">
        <v>80</v>
      </c>
      <c r="AH46" s="18" t="str">
        <f t="shared" si="10"/>
        <v>Mencapai kompetensi dengan baik dalam hal</v>
      </c>
      <c r="AI46" s="141">
        <v>82</v>
      </c>
      <c r="AJ46" s="18" t="str">
        <f t="shared" si="11"/>
        <v>Mencapai kompetensi dengan baik dalam hal</v>
      </c>
      <c r="AK46" s="141">
        <v>86</v>
      </c>
      <c r="AL46" s="18" t="str">
        <f t="shared" si="12"/>
        <v>Mencapai kompetensi dengan baik dalam hal</v>
      </c>
      <c r="AM46" s="18" t="e">
        <f>VLOOKUP(#REF!,grades2,2,TRUE)</f>
        <v>#REF!</v>
      </c>
      <c r="AN46" s="62">
        <f t="shared" si="17"/>
        <v>82.666666666666671</v>
      </c>
      <c r="AO46" s="141">
        <v>81</v>
      </c>
      <c r="AP46" s="18" t="str">
        <f t="shared" si="13"/>
        <v>Mencapai kompetensi dengan baik dalam hal</v>
      </c>
      <c r="AQ46" s="141">
        <v>77</v>
      </c>
      <c r="AR46" s="18" t="str">
        <f t="shared" si="14"/>
        <v>Mencapai kompetensi dengan baik dalam hal</v>
      </c>
      <c r="AS46" s="113" t="s">
        <v>81</v>
      </c>
      <c r="AT46" s="113" t="s">
        <v>81</v>
      </c>
      <c r="AU46" s="113" t="s">
        <v>81</v>
      </c>
      <c r="AV46" s="23">
        <v>1</v>
      </c>
      <c r="AW46" s="23" t="s">
        <v>82</v>
      </c>
      <c r="AX46" s="18" t="s">
        <v>83</v>
      </c>
      <c r="AY46" s="23" t="s">
        <v>84</v>
      </c>
      <c r="AZ46" s="18" t="str">
        <f t="shared" si="18"/>
        <v>Baik</v>
      </c>
      <c r="BA46" s="23">
        <v>2</v>
      </c>
      <c r="BB46" s="18" t="s">
        <v>227</v>
      </c>
      <c r="BC46" s="18" t="s">
        <v>83</v>
      </c>
      <c r="BD46" s="23" t="s">
        <v>84</v>
      </c>
      <c r="BE46" s="18" t="str">
        <f t="shared" si="19"/>
        <v>Baik</v>
      </c>
      <c r="BF46" s="23"/>
      <c r="BG46" s="23"/>
      <c r="BH46" s="23"/>
      <c r="BI46" s="23"/>
      <c r="BJ46" s="18"/>
    </row>
    <row r="47" spans="1:62" ht="24.95" customHeight="1" x14ac:dyDescent="0.25">
      <c r="A47" s="23">
        <v>46</v>
      </c>
      <c r="B47" s="141">
        <v>2526095</v>
      </c>
      <c r="C47" s="141" t="s">
        <v>1631</v>
      </c>
      <c r="D47" s="142" t="s">
        <v>1632</v>
      </c>
      <c r="E47" s="23" t="s">
        <v>1612</v>
      </c>
      <c r="F47" s="23" t="s">
        <v>1537</v>
      </c>
      <c r="G47" s="141" t="s">
        <v>1613</v>
      </c>
      <c r="H47" s="141" t="s">
        <v>1614</v>
      </c>
      <c r="I47" s="60" t="s">
        <v>76</v>
      </c>
      <c r="J47" s="61" t="s">
        <v>77</v>
      </c>
      <c r="K47" s="61" t="s">
        <v>78</v>
      </c>
      <c r="L47" s="61" t="s">
        <v>79</v>
      </c>
      <c r="M47" s="141">
        <v>77</v>
      </c>
      <c r="N47" s="18" t="str">
        <f t="shared" si="0"/>
        <v>Mencapai kompetensi dengan baik dalam hal</v>
      </c>
      <c r="O47" s="141">
        <v>75</v>
      </c>
      <c r="P47" s="18" t="str">
        <f t="shared" si="1"/>
        <v>Mencapai kompetensi dengan baik dalam hal</v>
      </c>
      <c r="Q47" s="141">
        <v>79</v>
      </c>
      <c r="R47" s="18" t="str">
        <f t="shared" si="2"/>
        <v>Mencapai kompetensi dengan baik dalam hal</v>
      </c>
      <c r="S47" s="141">
        <v>79</v>
      </c>
      <c r="T47" s="18" t="str">
        <f t="shared" si="3"/>
        <v>Mencapai kompetensi dengan baik dalam hal</v>
      </c>
      <c r="U47" s="141">
        <v>75</v>
      </c>
      <c r="V47" s="18" t="str">
        <f t="shared" si="4"/>
        <v>Mencapai kompetensi dengan baik dalam hal</v>
      </c>
      <c r="W47" s="141">
        <v>78</v>
      </c>
      <c r="X47" s="18" t="str">
        <f t="shared" si="5"/>
        <v>Mencapai kompetensi dengan baik dalam hal</v>
      </c>
      <c r="Y47" s="141">
        <v>70</v>
      </c>
      <c r="Z47" s="18" t="str">
        <f t="shared" si="6"/>
        <v>Perlu peningkatan dalam hal</v>
      </c>
      <c r="AA47" s="141">
        <v>79</v>
      </c>
      <c r="AB47" s="18" t="str">
        <f t="shared" si="7"/>
        <v>Mencapai kompetensi dengan baik dalam hal</v>
      </c>
      <c r="AC47" s="141">
        <v>84</v>
      </c>
      <c r="AD47" s="18" t="str">
        <f t="shared" si="8"/>
        <v>Mencapai kompetensi dengan baik dalam hal</v>
      </c>
      <c r="AE47" s="141">
        <v>83</v>
      </c>
      <c r="AF47" s="18" t="str">
        <f t="shared" si="9"/>
        <v>Mencapai kompetensi dengan baik dalam hal</v>
      </c>
      <c r="AG47" s="141">
        <v>80</v>
      </c>
      <c r="AH47" s="18" t="str">
        <f t="shared" si="10"/>
        <v>Mencapai kompetensi dengan baik dalam hal</v>
      </c>
      <c r="AI47" s="141">
        <v>81</v>
      </c>
      <c r="AJ47" s="18" t="str">
        <f t="shared" si="11"/>
        <v>Mencapai kompetensi dengan baik dalam hal</v>
      </c>
      <c r="AK47" s="141">
        <v>85</v>
      </c>
      <c r="AL47" s="18" t="str">
        <f t="shared" si="12"/>
        <v>Mencapai kompetensi dengan baik dalam hal</v>
      </c>
      <c r="AM47" s="18" t="e">
        <f>VLOOKUP(#REF!,grades2,2,TRUE)</f>
        <v>#REF!</v>
      </c>
      <c r="AN47" s="62">
        <f t="shared" si="17"/>
        <v>82</v>
      </c>
      <c r="AO47" s="141">
        <v>84</v>
      </c>
      <c r="AP47" s="18" t="str">
        <f t="shared" si="13"/>
        <v>Mencapai kompetensi dengan baik dalam hal</v>
      </c>
      <c r="AQ47" s="141">
        <v>75</v>
      </c>
      <c r="AR47" s="18" t="str">
        <f t="shared" si="14"/>
        <v>Mencapai kompetensi dengan baik dalam hal</v>
      </c>
      <c r="AS47" s="113">
        <v>9</v>
      </c>
      <c r="AT47" s="113" t="s">
        <v>81</v>
      </c>
      <c r="AU47" s="113" t="s">
        <v>81</v>
      </c>
      <c r="AV47" s="23">
        <v>1</v>
      </c>
      <c r="AW47" s="23" t="s">
        <v>82</v>
      </c>
      <c r="AX47" s="18" t="s">
        <v>83</v>
      </c>
      <c r="AY47" s="23" t="s">
        <v>86</v>
      </c>
      <c r="AZ47" s="18" t="str">
        <f t="shared" si="18"/>
        <v>Sangat baik</v>
      </c>
      <c r="BA47" s="23">
        <v>2</v>
      </c>
      <c r="BB47" s="18" t="s">
        <v>116</v>
      </c>
      <c r="BC47" s="18" t="s">
        <v>83</v>
      </c>
      <c r="BD47" s="23" t="s">
        <v>86</v>
      </c>
      <c r="BE47" s="18" t="str">
        <f t="shared" si="19"/>
        <v>Sangat baik</v>
      </c>
      <c r="BF47" s="23"/>
      <c r="BG47" s="23"/>
      <c r="BH47" s="23"/>
      <c r="BI47" s="23"/>
      <c r="BJ47" s="18"/>
    </row>
    <row r="48" spans="1:62" ht="24.95" customHeight="1" x14ac:dyDescent="0.25">
      <c r="A48" s="23">
        <v>47</v>
      </c>
      <c r="B48" s="141">
        <v>2526096</v>
      </c>
      <c r="C48" s="141" t="s">
        <v>1633</v>
      </c>
      <c r="D48" s="142" t="s">
        <v>1634</v>
      </c>
      <c r="E48" s="23" t="s">
        <v>1612</v>
      </c>
      <c r="F48" s="23" t="s">
        <v>1537</v>
      </c>
      <c r="G48" s="141" t="s">
        <v>1613</v>
      </c>
      <c r="H48" s="141" t="s">
        <v>1614</v>
      </c>
      <c r="I48" s="60" t="s">
        <v>76</v>
      </c>
      <c r="J48" s="61" t="s">
        <v>77</v>
      </c>
      <c r="K48" s="61" t="s">
        <v>78</v>
      </c>
      <c r="L48" s="61" t="s">
        <v>79</v>
      </c>
      <c r="M48" s="141">
        <v>78</v>
      </c>
      <c r="N48" s="18" t="str">
        <f t="shared" si="0"/>
        <v>Mencapai kompetensi dengan baik dalam hal</v>
      </c>
      <c r="O48" s="141">
        <v>77</v>
      </c>
      <c r="P48" s="18" t="str">
        <f t="shared" si="1"/>
        <v>Mencapai kompetensi dengan baik dalam hal</v>
      </c>
      <c r="Q48" s="141">
        <v>81</v>
      </c>
      <c r="R48" s="18" t="str">
        <f t="shared" si="2"/>
        <v>Mencapai kompetensi dengan baik dalam hal</v>
      </c>
      <c r="S48" s="141">
        <v>79</v>
      </c>
      <c r="T48" s="18" t="str">
        <f t="shared" si="3"/>
        <v>Mencapai kompetensi dengan baik dalam hal</v>
      </c>
      <c r="U48" s="141">
        <v>85</v>
      </c>
      <c r="V48" s="18" t="str">
        <f t="shared" si="4"/>
        <v>Mencapai kompetensi dengan baik dalam hal</v>
      </c>
      <c r="W48" s="141">
        <v>85</v>
      </c>
      <c r="X48" s="18" t="str">
        <f t="shared" si="5"/>
        <v>Mencapai kompetensi dengan baik dalam hal</v>
      </c>
      <c r="Y48" s="141">
        <v>75</v>
      </c>
      <c r="Z48" s="18" t="str">
        <f t="shared" si="6"/>
        <v>Mencapai kompetensi dengan baik dalam hal</v>
      </c>
      <c r="AA48" s="141">
        <v>79</v>
      </c>
      <c r="AB48" s="18" t="str">
        <f t="shared" si="7"/>
        <v>Mencapai kompetensi dengan baik dalam hal</v>
      </c>
      <c r="AC48" s="141">
        <v>84</v>
      </c>
      <c r="AD48" s="18" t="str">
        <f t="shared" si="8"/>
        <v>Mencapai kompetensi dengan baik dalam hal</v>
      </c>
      <c r="AE48" s="141">
        <v>89</v>
      </c>
      <c r="AF48" s="18" t="str">
        <f t="shared" si="9"/>
        <v>Mencapai kompetensi dengan baik dalam hal</v>
      </c>
      <c r="AG48" s="141">
        <v>86</v>
      </c>
      <c r="AH48" s="18" t="str">
        <f t="shared" si="10"/>
        <v>Mencapai kompetensi dengan baik dalam hal</v>
      </c>
      <c r="AI48" s="141">
        <v>86</v>
      </c>
      <c r="AJ48" s="18" t="str">
        <f t="shared" si="11"/>
        <v>Mencapai kompetensi dengan baik dalam hal</v>
      </c>
      <c r="AK48" s="141">
        <v>90</v>
      </c>
      <c r="AL48" s="18" t="str">
        <f t="shared" si="12"/>
        <v>Mencapai kompetensi dengan sangat baik dalam hal</v>
      </c>
      <c r="AM48" s="18" t="e">
        <f>VLOOKUP(#REF!,grades2,2,TRUE)</f>
        <v>#REF!</v>
      </c>
      <c r="AN48" s="62">
        <f t="shared" si="17"/>
        <v>87.333333333333329</v>
      </c>
      <c r="AO48" s="141">
        <v>84</v>
      </c>
      <c r="AP48" s="18" t="str">
        <f t="shared" si="13"/>
        <v>Mencapai kompetensi dengan baik dalam hal</v>
      </c>
      <c r="AQ48" s="141">
        <v>78</v>
      </c>
      <c r="AR48" s="18" t="str">
        <f t="shared" si="14"/>
        <v>Mencapai kompetensi dengan baik dalam hal</v>
      </c>
      <c r="AS48" s="113">
        <v>4</v>
      </c>
      <c r="AT48" s="113" t="s">
        <v>81</v>
      </c>
      <c r="AU48" s="113" t="s">
        <v>81</v>
      </c>
      <c r="AV48" s="23">
        <v>1</v>
      </c>
      <c r="AW48" s="23" t="s">
        <v>82</v>
      </c>
      <c r="AX48" s="18" t="s">
        <v>83</v>
      </c>
      <c r="AY48" s="23" t="s">
        <v>84</v>
      </c>
      <c r="AZ48" s="18" t="str">
        <f t="shared" si="18"/>
        <v>Baik</v>
      </c>
      <c r="BA48" s="23">
        <v>2</v>
      </c>
      <c r="BB48" s="18" t="s">
        <v>579</v>
      </c>
      <c r="BC48" s="18" t="s">
        <v>83</v>
      </c>
      <c r="BD48" s="23" t="s">
        <v>84</v>
      </c>
      <c r="BE48" s="18" t="str">
        <f t="shared" si="19"/>
        <v>Baik</v>
      </c>
      <c r="BF48" s="23"/>
      <c r="BG48" s="23"/>
      <c r="BH48" s="23"/>
      <c r="BI48" s="23"/>
      <c r="BJ48" s="18"/>
    </row>
    <row r="49" spans="1:62" ht="24.95" customHeight="1" x14ac:dyDescent="0.25">
      <c r="A49" s="23">
        <v>48</v>
      </c>
      <c r="B49" s="141">
        <v>2526097</v>
      </c>
      <c r="C49" s="141" t="s">
        <v>1635</v>
      </c>
      <c r="D49" s="142" t="s">
        <v>1636</v>
      </c>
      <c r="E49" s="23" t="s">
        <v>1612</v>
      </c>
      <c r="F49" s="23" t="s">
        <v>1537</v>
      </c>
      <c r="G49" s="141" t="s">
        <v>1613</v>
      </c>
      <c r="H49" s="141" t="s">
        <v>1614</v>
      </c>
      <c r="I49" s="60" t="s">
        <v>76</v>
      </c>
      <c r="J49" s="61" t="s">
        <v>77</v>
      </c>
      <c r="K49" s="61" t="s">
        <v>78</v>
      </c>
      <c r="L49" s="61" t="s">
        <v>79</v>
      </c>
      <c r="M49" s="141">
        <v>77</v>
      </c>
      <c r="N49" s="18" t="str">
        <f t="shared" si="0"/>
        <v>Mencapai kompetensi dengan baik dalam hal</v>
      </c>
      <c r="O49" s="141">
        <v>75</v>
      </c>
      <c r="P49" s="18" t="str">
        <f t="shared" si="1"/>
        <v>Mencapai kompetensi dengan baik dalam hal</v>
      </c>
      <c r="Q49" s="141">
        <v>80</v>
      </c>
      <c r="R49" s="18" t="str">
        <f t="shared" si="2"/>
        <v>Mencapai kompetensi dengan baik dalam hal</v>
      </c>
      <c r="S49" s="141">
        <v>79</v>
      </c>
      <c r="T49" s="18" t="str">
        <f t="shared" si="3"/>
        <v>Mencapai kompetensi dengan baik dalam hal</v>
      </c>
      <c r="U49" s="141">
        <v>81</v>
      </c>
      <c r="V49" s="18" t="str">
        <f t="shared" si="4"/>
        <v>Mencapai kompetensi dengan baik dalam hal</v>
      </c>
      <c r="W49" s="141">
        <v>80</v>
      </c>
      <c r="X49" s="18" t="str">
        <f t="shared" si="5"/>
        <v>Mencapai kompetensi dengan baik dalam hal</v>
      </c>
      <c r="Y49" s="141">
        <v>75</v>
      </c>
      <c r="Z49" s="18" t="str">
        <f t="shared" si="6"/>
        <v>Mencapai kompetensi dengan baik dalam hal</v>
      </c>
      <c r="AA49" s="141">
        <v>79</v>
      </c>
      <c r="AB49" s="18" t="str">
        <f t="shared" si="7"/>
        <v>Mencapai kompetensi dengan baik dalam hal</v>
      </c>
      <c r="AC49" s="141">
        <v>81</v>
      </c>
      <c r="AD49" s="18" t="str">
        <f t="shared" si="8"/>
        <v>Mencapai kompetensi dengan baik dalam hal</v>
      </c>
      <c r="AE49" s="141">
        <v>88</v>
      </c>
      <c r="AF49" s="18" t="str">
        <f t="shared" si="9"/>
        <v>Mencapai kompetensi dengan baik dalam hal</v>
      </c>
      <c r="AG49" s="141">
        <v>85</v>
      </c>
      <c r="AH49" s="18" t="str">
        <f t="shared" si="10"/>
        <v>Mencapai kompetensi dengan baik dalam hal</v>
      </c>
      <c r="AI49" s="141">
        <v>85</v>
      </c>
      <c r="AJ49" s="18" t="str">
        <f t="shared" si="11"/>
        <v>Mencapai kompetensi dengan baik dalam hal</v>
      </c>
      <c r="AK49" s="141">
        <v>87</v>
      </c>
      <c r="AL49" s="18" t="str">
        <f t="shared" si="12"/>
        <v>Mencapai kompetensi dengan baik dalam hal</v>
      </c>
      <c r="AM49" s="18" t="e">
        <f>VLOOKUP(#REF!,grades2,2,TRUE)</f>
        <v>#REF!</v>
      </c>
      <c r="AN49" s="62">
        <f t="shared" si="17"/>
        <v>85.666666666666671</v>
      </c>
      <c r="AO49" s="141">
        <v>81</v>
      </c>
      <c r="AP49" s="18" t="str">
        <f t="shared" si="13"/>
        <v>Mencapai kompetensi dengan baik dalam hal</v>
      </c>
      <c r="AQ49" s="141">
        <v>78</v>
      </c>
      <c r="AR49" s="18" t="str">
        <f t="shared" si="14"/>
        <v>Mencapai kompetensi dengan baik dalam hal</v>
      </c>
      <c r="AS49" s="113" t="s">
        <v>81</v>
      </c>
      <c r="AT49" s="113" t="s">
        <v>81</v>
      </c>
      <c r="AU49" s="113" t="s">
        <v>81</v>
      </c>
      <c r="AV49" s="23">
        <v>1</v>
      </c>
      <c r="AW49" s="23" t="s">
        <v>82</v>
      </c>
      <c r="AX49" s="18" t="s">
        <v>83</v>
      </c>
      <c r="AY49" s="23" t="s">
        <v>84</v>
      </c>
      <c r="AZ49" s="18" t="str">
        <f t="shared" si="18"/>
        <v>Baik</v>
      </c>
      <c r="BA49" s="23">
        <v>2</v>
      </c>
      <c r="BB49" s="18" t="s">
        <v>227</v>
      </c>
      <c r="BC49" s="18" t="s">
        <v>83</v>
      </c>
      <c r="BD49" s="23" t="s">
        <v>104</v>
      </c>
      <c r="BE49" s="18" t="str">
        <f t="shared" si="19"/>
        <v>Cukup</v>
      </c>
      <c r="BF49" s="23"/>
      <c r="BG49" s="23"/>
      <c r="BH49" s="23"/>
      <c r="BI49" s="23"/>
      <c r="BJ49" s="18"/>
    </row>
    <row r="50" spans="1:62" ht="24.95" customHeight="1" x14ac:dyDescent="0.25">
      <c r="A50" s="23">
        <v>49</v>
      </c>
      <c r="B50" s="141">
        <v>2526098</v>
      </c>
      <c r="C50" s="141" t="s">
        <v>1637</v>
      </c>
      <c r="D50" s="142" t="s">
        <v>1638</v>
      </c>
      <c r="E50" s="23" t="s">
        <v>1612</v>
      </c>
      <c r="F50" s="23" t="s">
        <v>1537</v>
      </c>
      <c r="G50" s="141" t="s">
        <v>1613</v>
      </c>
      <c r="H50" s="141" t="s">
        <v>1614</v>
      </c>
      <c r="I50" s="60" t="s">
        <v>76</v>
      </c>
      <c r="J50" s="61" t="s">
        <v>77</v>
      </c>
      <c r="K50" s="61" t="s">
        <v>78</v>
      </c>
      <c r="L50" s="61" t="s">
        <v>79</v>
      </c>
      <c r="M50" s="141">
        <v>78</v>
      </c>
      <c r="N50" s="18" t="str">
        <f t="shared" si="0"/>
        <v>Mencapai kompetensi dengan baik dalam hal</v>
      </c>
      <c r="O50" s="141">
        <v>80</v>
      </c>
      <c r="P50" s="18" t="str">
        <f t="shared" si="1"/>
        <v>Mencapai kompetensi dengan baik dalam hal</v>
      </c>
      <c r="Q50" s="141">
        <v>80</v>
      </c>
      <c r="R50" s="18" t="str">
        <f t="shared" si="2"/>
        <v>Mencapai kompetensi dengan baik dalam hal</v>
      </c>
      <c r="S50" s="141">
        <v>80</v>
      </c>
      <c r="T50" s="18" t="str">
        <f t="shared" si="3"/>
        <v>Mencapai kompetensi dengan baik dalam hal</v>
      </c>
      <c r="U50" s="141">
        <v>83</v>
      </c>
      <c r="V50" s="18" t="str">
        <f t="shared" si="4"/>
        <v>Mencapai kompetensi dengan baik dalam hal</v>
      </c>
      <c r="W50" s="141">
        <v>80</v>
      </c>
      <c r="X50" s="18" t="str">
        <f t="shared" si="5"/>
        <v>Mencapai kompetensi dengan baik dalam hal</v>
      </c>
      <c r="Y50" s="141">
        <v>75</v>
      </c>
      <c r="Z50" s="18" t="str">
        <f t="shared" si="6"/>
        <v>Mencapai kompetensi dengan baik dalam hal</v>
      </c>
      <c r="AA50" s="141">
        <v>78</v>
      </c>
      <c r="AB50" s="18" t="str">
        <f t="shared" si="7"/>
        <v>Mencapai kompetensi dengan baik dalam hal</v>
      </c>
      <c r="AC50" s="141">
        <v>81</v>
      </c>
      <c r="AD50" s="18" t="str">
        <f t="shared" si="8"/>
        <v>Mencapai kompetensi dengan baik dalam hal</v>
      </c>
      <c r="AE50" s="141">
        <v>85</v>
      </c>
      <c r="AF50" s="18" t="str">
        <f t="shared" si="9"/>
        <v>Mencapai kompetensi dengan baik dalam hal</v>
      </c>
      <c r="AG50" s="141">
        <v>84</v>
      </c>
      <c r="AH50" s="18" t="str">
        <f t="shared" si="10"/>
        <v>Mencapai kompetensi dengan baik dalam hal</v>
      </c>
      <c r="AI50" s="141">
        <v>82</v>
      </c>
      <c r="AJ50" s="18" t="str">
        <f t="shared" si="11"/>
        <v>Mencapai kompetensi dengan baik dalam hal</v>
      </c>
      <c r="AK50" s="141">
        <v>85</v>
      </c>
      <c r="AL50" s="18" t="str">
        <f t="shared" si="12"/>
        <v>Mencapai kompetensi dengan baik dalam hal</v>
      </c>
      <c r="AM50" s="18" t="e">
        <f>VLOOKUP(#REF!,grades2,2,TRUE)</f>
        <v>#REF!</v>
      </c>
      <c r="AN50" s="62">
        <f t="shared" si="17"/>
        <v>83.666666666666671</v>
      </c>
      <c r="AO50" s="141">
        <v>81</v>
      </c>
      <c r="AP50" s="18" t="str">
        <f t="shared" si="13"/>
        <v>Mencapai kompetensi dengan baik dalam hal</v>
      </c>
      <c r="AQ50" s="141">
        <v>76</v>
      </c>
      <c r="AR50" s="18" t="str">
        <f t="shared" si="14"/>
        <v>Mencapai kompetensi dengan baik dalam hal</v>
      </c>
      <c r="AS50" s="113" t="s">
        <v>81</v>
      </c>
      <c r="AT50" s="113" t="s">
        <v>81</v>
      </c>
      <c r="AU50" s="113" t="s">
        <v>81</v>
      </c>
      <c r="AV50" s="23">
        <v>1</v>
      </c>
      <c r="AW50" s="23" t="s">
        <v>82</v>
      </c>
      <c r="AX50" s="18" t="s">
        <v>83</v>
      </c>
      <c r="AY50" s="23" t="s">
        <v>84</v>
      </c>
      <c r="AZ50" s="18" t="str">
        <f t="shared" si="18"/>
        <v>Baik</v>
      </c>
      <c r="BA50" s="23">
        <v>2</v>
      </c>
      <c r="BB50" s="18" t="s">
        <v>579</v>
      </c>
      <c r="BC50" s="18" t="s">
        <v>83</v>
      </c>
      <c r="BD50" s="23" t="s">
        <v>84</v>
      </c>
      <c r="BE50" s="18" t="str">
        <f t="shared" si="19"/>
        <v>Baik</v>
      </c>
      <c r="BF50" s="23"/>
      <c r="BG50" s="23"/>
      <c r="BH50" s="23"/>
      <c r="BI50" s="23"/>
      <c r="BJ50" s="18"/>
    </row>
    <row r="51" spans="1:62" ht="24.95" customHeight="1" x14ac:dyDescent="0.25">
      <c r="A51" s="23">
        <v>50</v>
      </c>
      <c r="B51" s="141">
        <v>2526099</v>
      </c>
      <c r="C51" s="141" t="s">
        <v>1639</v>
      </c>
      <c r="D51" s="142" t="s">
        <v>1640</v>
      </c>
      <c r="E51" s="23" t="s">
        <v>1612</v>
      </c>
      <c r="F51" s="23" t="s">
        <v>1537</v>
      </c>
      <c r="G51" s="141" t="s">
        <v>1613</v>
      </c>
      <c r="H51" s="141" t="s">
        <v>1614</v>
      </c>
      <c r="I51" s="60" t="s">
        <v>76</v>
      </c>
      <c r="J51" s="61" t="s">
        <v>77</v>
      </c>
      <c r="K51" s="61" t="s">
        <v>78</v>
      </c>
      <c r="L51" s="61" t="s">
        <v>79</v>
      </c>
      <c r="M51" s="141">
        <v>77</v>
      </c>
      <c r="N51" s="18" t="str">
        <f t="shared" si="0"/>
        <v>Mencapai kompetensi dengan baik dalam hal</v>
      </c>
      <c r="O51" s="141">
        <v>75</v>
      </c>
      <c r="P51" s="18" t="str">
        <f t="shared" si="1"/>
        <v>Mencapai kompetensi dengan baik dalam hal</v>
      </c>
      <c r="Q51" s="141">
        <v>80</v>
      </c>
      <c r="R51" s="18" t="str">
        <f t="shared" si="2"/>
        <v>Mencapai kompetensi dengan baik dalam hal</v>
      </c>
      <c r="S51" s="141">
        <v>79</v>
      </c>
      <c r="T51" s="18" t="str">
        <f t="shared" si="3"/>
        <v>Mencapai kompetensi dengan baik dalam hal</v>
      </c>
      <c r="U51" s="141">
        <v>83</v>
      </c>
      <c r="V51" s="18" t="str">
        <f t="shared" si="4"/>
        <v>Mencapai kompetensi dengan baik dalam hal</v>
      </c>
      <c r="W51" s="141">
        <v>79</v>
      </c>
      <c r="X51" s="18" t="str">
        <f t="shared" si="5"/>
        <v>Mencapai kompetensi dengan baik dalam hal</v>
      </c>
      <c r="Y51" s="141">
        <v>75</v>
      </c>
      <c r="Z51" s="18" t="str">
        <f t="shared" si="6"/>
        <v>Mencapai kompetensi dengan baik dalam hal</v>
      </c>
      <c r="AA51" s="141">
        <v>75</v>
      </c>
      <c r="AB51" s="18" t="str">
        <f t="shared" si="7"/>
        <v>Mencapai kompetensi dengan baik dalam hal</v>
      </c>
      <c r="AC51" s="141">
        <v>78</v>
      </c>
      <c r="AD51" s="18" t="str">
        <f t="shared" si="8"/>
        <v>Mencapai kompetensi dengan baik dalam hal</v>
      </c>
      <c r="AE51" s="141">
        <v>82</v>
      </c>
      <c r="AF51" s="18" t="str">
        <f t="shared" si="9"/>
        <v>Mencapai kompetensi dengan baik dalam hal</v>
      </c>
      <c r="AG51" s="141">
        <v>83</v>
      </c>
      <c r="AH51" s="18" t="str">
        <f t="shared" si="10"/>
        <v>Mencapai kompetensi dengan baik dalam hal</v>
      </c>
      <c r="AI51" s="141">
        <v>84</v>
      </c>
      <c r="AJ51" s="18" t="str">
        <f t="shared" si="11"/>
        <v>Mencapai kompetensi dengan baik dalam hal</v>
      </c>
      <c r="AK51" s="141">
        <v>84</v>
      </c>
      <c r="AL51" s="18" t="str">
        <f t="shared" si="12"/>
        <v>Mencapai kompetensi dengan baik dalam hal</v>
      </c>
      <c r="AM51" s="18" t="e">
        <f>VLOOKUP(#REF!,grades2,2,TRUE)</f>
        <v>#REF!</v>
      </c>
      <c r="AN51" s="62">
        <f t="shared" si="17"/>
        <v>83.666666666666671</v>
      </c>
      <c r="AO51" s="141">
        <v>78</v>
      </c>
      <c r="AP51" s="18" t="str">
        <f t="shared" si="13"/>
        <v>Mencapai kompetensi dengan baik dalam hal</v>
      </c>
      <c r="AQ51" s="141">
        <v>75</v>
      </c>
      <c r="AR51" s="18" t="str">
        <f t="shared" si="14"/>
        <v>Mencapai kompetensi dengan baik dalam hal</v>
      </c>
      <c r="AS51" s="113">
        <v>4</v>
      </c>
      <c r="AT51" s="113" t="s">
        <v>81</v>
      </c>
      <c r="AU51" s="113" t="s">
        <v>81</v>
      </c>
      <c r="AV51" s="23">
        <v>1</v>
      </c>
      <c r="AW51" s="23" t="s">
        <v>82</v>
      </c>
      <c r="AX51" s="18" t="s">
        <v>83</v>
      </c>
      <c r="AY51" s="23" t="s">
        <v>86</v>
      </c>
      <c r="AZ51" s="18" t="str">
        <f t="shared" si="18"/>
        <v>Sangat baik</v>
      </c>
      <c r="BA51" s="23">
        <v>2</v>
      </c>
      <c r="BB51" s="18" t="s">
        <v>1073</v>
      </c>
      <c r="BC51" s="18" t="s">
        <v>83</v>
      </c>
      <c r="BD51" s="23" t="s">
        <v>86</v>
      </c>
      <c r="BE51" s="18" t="str">
        <f t="shared" si="19"/>
        <v>Sangat baik</v>
      </c>
      <c r="BF51" s="23"/>
      <c r="BG51" s="23"/>
      <c r="BH51" s="23"/>
      <c r="BI51" s="23"/>
      <c r="BJ51" s="18"/>
    </row>
    <row r="52" spans="1:62" ht="24.95" customHeight="1" x14ac:dyDescent="0.25">
      <c r="A52" s="23">
        <v>51</v>
      </c>
      <c r="B52" s="141">
        <v>2526100</v>
      </c>
      <c r="C52" s="141" t="s">
        <v>1641</v>
      </c>
      <c r="D52" s="142" t="s">
        <v>1642</v>
      </c>
      <c r="E52" s="23" t="s">
        <v>1612</v>
      </c>
      <c r="F52" s="23" t="s">
        <v>1537</v>
      </c>
      <c r="G52" s="141" t="s">
        <v>1613</v>
      </c>
      <c r="H52" s="141" t="s">
        <v>1614</v>
      </c>
      <c r="I52" s="60" t="s">
        <v>76</v>
      </c>
      <c r="J52" s="61" t="s">
        <v>77</v>
      </c>
      <c r="K52" s="61" t="s">
        <v>78</v>
      </c>
      <c r="L52" s="61" t="s">
        <v>79</v>
      </c>
      <c r="M52" s="141">
        <v>80</v>
      </c>
      <c r="N52" s="18" t="str">
        <f t="shared" si="0"/>
        <v>Mencapai kompetensi dengan baik dalam hal</v>
      </c>
      <c r="O52" s="141">
        <v>79</v>
      </c>
      <c r="P52" s="18" t="str">
        <f t="shared" si="1"/>
        <v>Mencapai kompetensi dengan baik dalam hal</v>
      </c>
      <c r="Q52" s="141">
        <v>82</v>
      </c>
      <c r="R52" s="18" t="str">
        <f t="shared" si="2"/>
        <v>Mencapai kompetensi dengan baik dalam hal</v>
      </c>
      <c r="S52" s="141">
        <v>78</v>
      </c>
      <c r="T52" s="18" t="str">
        <f t="shared" si="3"/>
        <v>Mencapai kompetensi dengan baik dalam hal</v>
      </c>
      <c r="U52" s="141">
        <v>88</v>
      </c>
      <c r="V52" s="18" t="str">
        <f t="shared" si="4"/>
        <v>Mencapai kompetensi dengan baik dalam hal</v>
      </c>
      <c r="W52" s="141">
        <v>80</v>
      </c>
      <c r="X52" s="18" t="str">
        <f t="shared" si="5"/>
        <v>Mencapai kompetensi dengan baik dalam hal</v>
      </c>
      <c r="Y52" s="141">
        <v>80</v>
      </c>
      <c r="Z52" s="18" t="str">
        <f t="shared" si="6"/>
        <v>Mencapai kompetensi dengan baik dalam hal</v>
      </c>
      <c r="AA52" s="141">
        <v>77</v>
      </c>
      <c r="AB52" s="18" t="str">
        <f t="shared" si="7"/>
        <v>Mencapai kompetensi dengan baik dalam hal</v>
      </c>
      <c r="AC52" s="141">
        <v>81</v>
      </c>
      <c r="AD52" s="18" t="str">
        <f t="shared" si="8"/>
        <v>Mencapai kompetensi dengan baik dalam hal</v>
      </c>
      <c r="AE52" s="141">
        <v>87</v>
      </c>
      <c r="AF52" s="18" t="str">
        <f t="shared" si="9"/>
        <v>Mencapai kompetensi dengan baik dalam hal</v>
      </c>
      <c r="AG52" s="141">
        <v>84</v>
      </c>
      <c r="AH52" s="18" t="str">
        <f t="shared" si="10"/>
        <v>Mencapai kompetensi dengan baik dalam hal</v>
      </c>
      <c r="AI52" s="141">
        <v>84</v>
      </c>
      <c r="AJ52" s="18" t="str">
        <f t="shared" si="11"/>
        <v>Mencapai kompetensi dengan baik dalam hal</v>
      </c>
      <c r="AK52" s="141">
        <v>86</v>
      </c>
      <c r="AL52" s="18" t="str">
        <f t="shared" si="12"/>
        <v>Mencapai kompetensi dengan baik dalam hal</v>
      </c>
      <c r="AM52" s="18" t="e">
        <f>VLOOKUP(#REF!,grades2,2,TRUE)</f>
        <v>#REF!</v>
      </c>
      <c r="AN52" s="62">
        <f t="shared" si="17"/>
        <v>84.666666666666671</v>
      </c>
      <c r="AO52" s="141">
        <v>81</v>
      </c>
      <c r="AP52" s="18" t="str">
        <f t="shared" si="13"/>
        <v>Mencapai kompetensi dengan baik dalam hal</v>
      </c>
      <c r="AQ52" s="141">
        <v>78</v>
      </c>
      <c r="AR52" s="18" t="str">
        <f t="shared" si="14"/>
        <v>Mencapai kompetensi dengan baik dalam hal</v>
      </c>
      <c r="AS52" s="113">
        <v>1</v>
      </c>
      <c r="AT52" s="113" t="s">
        <v>81</v>
      </c>
      <c r="AU52" s="113" t="s">
        <v>81</v>
      </c>
      <c r="AV52" s="23">
        <v>1</v>
      </c>
      <c r="AW52" s="23" t="s">
        <v>82</v>
      </c>
      <c r="AX52" s="18" t="s">
        <v>83</v>
      </c>
      <c r="AY52" s="23" t="s">
        <v>84</v>
      </c>
      <c r="AZ52" s="18" t="str">
        <f t="shared" si="18"/>
        <v>Baik</v>
      </c>
      <c r="BA52" s="23">
        <v>2</v>
      </c>
      <c r="BB52" s="18" t="s">
        <v>116</v>
      </c>
      <c r="BC52" s="18" t="s">
        <v>83</v>
      </c>
      <c r="BD52" s="23" t="s">
        <v>86</v>
      </c>
      <c r="BE52" s="18" t="str">
        <f t="shared" si="19"/>
        <v>Sangat baik</v>
      </c>
      <c r="BF52" s="23"/>
      <c r="BG52" s="23"/>
      <c r="BH52" s="23"/>
      <c r="BI52" s="23"/>
      <c r="BJ52" s="18"/>
    </row>
    <row r="53" spans="1:62" ht="24.95" customHeight="1" x14ac:dyDescent="0.25">
      <c r="A53" s="23">
        <v>52</v>
      </c>
      <c r="B53" s="141">
        <v>2526101</v>
      </c>
      <c r="C53" s="141" t="s">
        <v>1643</v>
      </c>
      <c r="D53" s="142" t="s">
        <v>1644</v>
      </c>
      <c r="E53" s="23" t="s">
        <v>1612</v>
      </c>
      <c r="F53" s="23" t="s">
        <v>1537</v>
      </c>
      <c r="G53" s="141" t="s">
        <v>1613</v>
      </c>
      <c r="H53" s="141" t="s">
        <v>1614</v>
      </c>
      <c r="I53" s="60" t="s">
        <v>76</v>
      </c>
      <c r="J53" s="61" t="s">
        <v>77</v>
      </c>
      <c r="K53" s="61" t="s">
        <v>78</v>
      </c>
      <c r="L53" s="61" t="s">
        <v>79</v>
      </c>
      <c r="M53" s="141">
        <v>77</v>
      </c>
      <c r="N53" s="18" t="str">
        <f t="shared" si="0"/>
        <v>Mencapai kompetensi dengan baik dalam hal</v>
      </c>
      <c r="O53" s="141">
        <v>79</v>
      </c>
      <c r="P53" s="18" t="str">
        <f t="shared" si="1"/>
        <v>Mencapai kompetensi dengan baik dalam hal</v>
      </c>
      <c r="Q53" s="141">
        <v>80</v>
      </c>
      <c r="R53" s="18" t="str">
        <f t="shared" si="2"/>
        <v>Mencapai kompetensi dengan baik dalam hal</v>
      </c>
      <c r="S53" s="141">
        <v>79</v>
      </c>
      <c r="T53" s="18" t="str">
        <f t="shared" si="3"/>
        <v>Mencapai kompetensi dengan baik dalam hal</v>
      </c>
      <c r="U53" s="141">
        <v>82</v>
      </c>
      <c r="V53" s="18" t="str">
        <f t="shared" si="4"/>
        <v>Mencapai kompetensi dengan baik dalam hal</v>
      </c>
      <c r="W53" s="141">
        <v>83</v>
      </c>
      <c r="X53" s="18" t="str">
        <f t="shared" si="5"/>
        <v>Mencapai kompetensi dengan baik dalam hal</v>
      </c>
      <c r="Y53" s="141">
        <v>75</v>
      </c>
      <c r="Z53" s="18" t="str">
        <f t="shared" si="6"/>
        <v>Mencapai kompetensi dengan baik dalam hal</v>
      </c>
      <c r="AA53" s="141">
        <v>78</v>
      </c>
      <c r="AB53" s="18" t="str">
        <f t="shared" si="7"/>
        <v>Mencapai kompetensi dengan baik dalam hal</v>
      </c>
      <c r="AC53" s="141">
        <v>81</v>
      </c>
      <c r="AD53" s="18" t="str">
        <f t="shared" si="8"/>
        <v>Mencapai kompetensi dengan baik dalam hal</v>
      </c>
      <c r="AE53" s="141">
        <v>82</v>
      </c>
      <c r="AF53" s="18" t="str">
        <f t="shared" si="9"/>
        <v>Mencapai kompetensi dengan baik dalam hal</v>
      </c>
      <c r="AG53" s="141">
        <v>84</v>
      </c>
      <c r="AH53" s="18" t="str">
        <f t="shared" si="10"/>
        <v>Mencapai kompetensi dengan baik dalam hal</v>
      </c>
      <c r="AI53" s="141">
        <v>87</v>
      </c>
      <c r="AJ53" s="18" t="str">
        <f t="shared" si="11"/>
        <v>Mencapai kompetensi dengan baik dalam hal</v>
      </c>
      <c r="AK53" s="141">
        <v>90</v>
      </c>
      <c r="AL53" s="18" t="str">
        <f t="shared" si="12"/>
        <v>Mencapai kompetensi dengan sangat baik dalam hal</v>
      </c>
      <c r="AM53" s="18" t="e">
        <f>VLOOKUP(#REF!,grades2,2,TRUE)</f>
        <v>#REF!</v>
      </c>
      <c r="AN53" s="62">
        <f t="shared" si="17"/>
        <v>87</v>
      </c>
      <c r="AO53" s="141">
        <v>81</v>
      </c>
      <c r="AP53" s="18" t="str">
        <f t="shared" si="13"/>
        <v>Mencapai kompetensi dengan baik dalam hal</v>
      </c>
      <c r="AQ53" s="141">
        <v>75</v>
      </c>
      <c r="AR53" s="18" t="str">
        <f t="shared" si="14"/>
        <v>Mencapai kompetensi dengan baik dalam hal</v>
      </c>
      <c r="AS53" s="113" t="s">
        <v>81</v>
      </c>
      <c r="AT53" s="113" t="s">
        <v>81</v>
      </c>
      <c r="AU53" s="113" t="s">
        <v>81</v>
      </c>
      <c r="AV53" s="23">
        <v>1</v>
      </c>
      <c r="AW53" s="23" t="s">
        <v>82</v>
      </c>
      <c r="AX53" s="18" t="s">
        <v>83</v>
      </c>
      <c r="AY53" s="23" t="s">
        <v>84</v>
      </c>
      <c r="AZ53" s="18" t="str">
        <f t="shared" si="18"/>
        <v>Baik</v>
      </c>
      <c r="BA53" s="23">
        <v>2</v>
      </c>
      <c r="BB53" s="18" t="s">
        <v>108</v>
      </c>
      <c r="BC53" s="18" t="s">
        <v>83</v>
      </c>
      <c r="BD53" s="23" t="s">
        <v>86</v>
      </c>
      <c r="BE53" s="18" t="str">
        <f t="shared" si="19"/>
        <v>Sangat baik</v>
      </c>
      <c r="BF53" s="23"/>
      <c r="BG53" s="23"/>
      <c r="BH53" s="23"/>
      <c r="BI53" s="23"/>
      <c r="BJ53" s="18"/>
    </row>
    <row r="54" spans="1:62" ht="24.95" customHeight="1" x14ac:dyDescent="0.25">
      <c r="A54" s="23">
        <v>53</v>
      </c>
      <c r="B54" s="141">
        <v>2526102</v>
      </c>
      <c r="C54" s="141" t="s">
        <v>1645</v>
      </c>
      <c r="D54" s="142" t="s">
        <v>1646</v>
      </c>
      <c r="E54" s="23" t="s">
        <v>1612</v>
      </c>
      <c r="F54" s="23" t="s">
        <v>1537</v>
      </c>
      <c r="G54" s="141" t="s">
        <v>1613</v>
      </c>
      <c r="H54" s="141" t="s">
        <v>1614</v>
      </c>
      <c r="I54" s="60" t="s">
        <v>76</v>
      </c>
      <c r="J54" s="61" t="s">
        <v>77</v>
      </c>
      <c r="K54" s="61" t="s">
        <v>78</v>
      </c>
      <c r="L54" s="61" t="s">
        <v>79</v>
      </c>
      <c r="M54" s="141">
        <v>80</v>
      </c>
      <c r="N54" s="18" t="str">
        <f t="shared" si="0"/>
        <v>Mencapai kompetensi dengan baik dalam hal</v>
      </c>
      <c r="O54" s="141">
        <v>79</v>
      </c>
      <c r="P54" s="18" t="str">
        <f t="shared" si="1"/>
        <v>Mencapai kompetensi dengan baik dalam hal</v>
      </c>
      <c r="Q54" s="141">
        <v>80</v>
      </c>
      <c r="R54" s="18" t="str">
        <f t="shared" si="2"/>
        <v>Mencapai kompetensi dengan baik dalam hal</v>
      </c>
      <c r="S54" s="141">
        <v>79</v>
      </c>
      <c r="T54" s="18" t="str">
        <f t="shared" si="3"/>
        <v>Mencapai kompetensi dengan baik dalam hal</v>
      </c>
      <c r="U54" s="141">
        <v>86</v>
      </c>
      <c r="V54" s="18" t="str">
        <f t="shared" si="4"/>
        <v>Mencapai kompetensi dengan baik dalam hal</v>
      </c>
      <c r="W54" s="141">
        <v>86</v>
      </c>
      <c r="X54" s="18" t="str">
        <f t="shared" si="5"/>
        <v>Mencapai kompetensi dengan baik dalam hal</v>
      </c>
      <c r="Y54" s="141">
        <v>82</v>
      </c>
      <c r="Z54" s="18" t="str">
        <f t="shared" si="6"/>
        <v>Mencapai kompetensi dengan baik dalam hal</v>
      </c>
      <c r="AA54" s="141">
        <v>85</v>
      </c>
      <c r="AB54" s="18" t="str">
        <f t="shared" si="7"/>
        <v>Mencapai kompetensi dengan baik dalam hal</v>
      </c>
      <c r="AC54" s="141">
        <v>88</v>
      </c>
      <c r="AD54" s="18" t="str">
        <f t="shared" si="8"/>
        <v>Mencapai kompetensi dengan baik dalam hal</v>
      </c>
      <c r="AE54" s="141">
        <v>85</v>
      </c>
      <c r="AF54" s="18" t="str">
        <f t="shared" si="9"/>
        <v>Mencapai kompetensi dengan baik dalam hal</v>
      </c>
      <c r="AG54" s="141">
        <v>88</v>
      </c>
      <c r="AH54" s="18" t="str">
        <f t="shared" si="10"/>
        <v>Mencapai kompetensi dengan baik dalam hal</v>
      </c>
      <c r="AI54" s="141">
        <v>87</v>
      </c>
      <c r="AJ54" s="18" t="str">
        <f t="shared" si="11"/>
        <v>Mencapai kompetensi dengan baik dalam hal</v>
      </c>
      <c r="AK54" s="141">
        <v>90</v>
      </c>
      <c r="AL54" s="18" t="str">
        <f t="shared" si="12"/>
        <v>Mencapai kompetensi dengan sangat baik dalam hal</v>
      </c>
      <c r="AM54" s="18" t="e">
        <f>VLOOKUP(#REF!,grades2,2,TRUE)</f>
        <v>#REF!</v>
      </c>
      <c r="AN54" s="62">
        <f t="shared" si="17"/>
        <v>88.333333333333329</v>
      </c>
      <c r="AO54" s="141">
        <v>88</v>
      </c>
      <c r="AP54" s="18" t="str">
        <f t="shared" si="13"/>
        <v>Mencapai kompetensi dengan baik dalam hal</v>
      </c>
      <c r="AQ54" s="141">
        <v>80</v>
      </c>
      <c r="AR54" s="18" t="str">
        <f t="shared" si="14"/>
        <v>Mencapai kompetensi dengan baik dalam hal</v>
      </c>
      <c r="AS54" s="113" t="s">
        <v>81</v>
      </c>
      <c r="AT54" s="113" t="s">
        <v>81</v>
      </c>
      <c r="AU54" s="113" t="s">
        <v>81</v>
      </c>
      <c r="AV54" s="23">
        <v>1</v>
      </c>
      <c r="AW54" s="23" t="s">
        <v>82</v>
      </c>
      <c r="AX54" s="18" t="s">
        <v>83</v>
      </c>
      <c r="AY54" s="23" t="s">
        <v>84</v>
      </c>
      <c r="AZ54" s="18" t="str">
        <f t="shared" si="18"/>
        <v>Baik</v>
      </c>
      <c r="BA54" s="23">
        <v>2</v>
      </c>
      <c r="BB54" s="18" t="s">
        <v>162</v>
      </c>
      <c r="BC54" s="18" t="s">
        <v>83</v>
      </c>
      <c r="BD54" s="23" t="s">
        <v>84</v>
      </c>
      <c r="BE54" s="18" t="str">
        <f t="shared" si="19"/>
        <v>Baik</v>
      </c>
      <c r="BF54" s="23">
        <v>3</v>
      </c>
      <c r="BG54" s="23" t="s">
        <v>87</v>
      </c>
      <c r="BH54" s="23" t="s">
        <v>83</v>
      </c>
      <c r="BI54" s="23" t="s">
        <v>84</v>
      </c>
      <c r="BJ54" s="18" t="str">
        <f>VLOOKUP(BI54,grades4,2,TRUE)</f>
        <v>Baik</v>
      </c>
    </row>
    <row r="55" spans="1:62" ht="24.95" customHeight="1" x14ac:dyDescent="0.25">
      <c r="A55" s="23">
        <v>54</v>
      </c>
      <c r="B55" s="141">
        <v>2526103</v>
      </c>
      <c r="C55" s="141" t="s">
        <v>1647</v>
      </c>
      <c r="D55" s="142" t="s">
        <v>1648</v>
      </c>
      <c r="E55" s="23" t="s">
        <v>1612</v>
      </c>
      <c r="F55" s="23" t="s">
        <v>1537</v>
      </c>
      <c r="G55" s="141" t="s">
        <v>1613</v>
      </c>
      <c r="H55" s="141" t="s">
        <v>1614</v>
      </c>
      <c r="I55" s="60" t="s">
        <v>76</v>
      </c>
      <c r="J55" s="61" t="s">
        <v>77</v>
      </c>
      <c r="K55" s="61" t="s">
        <v>78</v>
      </c>
      <c r="L55" s="61" t="s">
        <v>79</v>
      </c>
      <c r="M55" s="141">
        <v>80</v>
      </c>
      <c r="N55" s="18" t="str">
        <f t="shared" si="0"/>
        <v>Mencapai kompetensi dengan baik dalam hal</v>
      </c>
      <c r="O55" s="141">
        <v>80</v>
      </c>
      <c r="P55" s="18" t="str">
        <f t="shared" si="1"/>
        <v>Mencapai kompetensi dengan baik dalam hal</v>
      </c>
      <c r="Q55" s="141">
        <v>82</v>
      </c>
      <c r="R55" s="18" t="str">
        <f t="shared" si="2"/>
        <v>Mencapai kompetensi dengan baik dalam hal</v>
      </c>
      <c r="S55" s="141">
        <v>78</v>
      </c>
      <c r="T55" s="18" t="str">
        <f t="shared" si="3"/>
        <v>Mencapai kompetensi dengan baik dalam hal</v>
      </c>
      <c r="U55" s="141">
        <v>87</v>
      </c>
      <c r="V55" s="18" t="str">
        <f t="shared" si="4"/>
        <v>Mencapai kompetensi dengan baik dalam hal</v>
      </c>
      <c r="W55" s="141">
        <v>82</v>
      </c>
      <c r="X55" s="18" t="str">
        <f t="shared" si="5"/>
        <v>Mencapai kompetensi dengan baik dalam hal</v>
      </c>
      <c r="Y55" s="141">
        <v>80</v>
      </c>
      <c r="Z55" s="18" t="str">
        <f t="shared" si="6"/>
        <v>Mencapai kompetensi dengan baik dalam hal</v>
      </c>
      <c r="AA55" s="141">
        <v>80</v>
      </c>
      <c r="AB55" s="18" t="str">
        <f t="shared" si="7"/>
        <v>Mencapai kompetensi dengan baik dalam hal</v>
      </c>
      <c r="AC55" s="141">
        <v>88</v>
      </c>
      <c r="AD55" s="18" t="str">
        <f t="shared" si="8"/>
        <v>Mencapai kompetensi dengan baik dalam hal</v>
      </c>
      <c r="AE55" s="141">
        <v>82</v>
      </c>
      <c r="AF55" s="18" t="str">
        <f t="shared" si="9"/>
        <v>Mencapai kompetensi dengan baik dalam hal</v>
      </c>
      <c r="AG55" s="141">
        <v>85</v>
      </c>
      <c r="AH55" s="18" t="str">
        <f t="shared" si="10"/>
        <v>Mencapai kompetensi dengan baik dalam hal</v>
      </c>
      <c r="AI55" s="141">
        <v>85</v>
      </c>
      <c r="AJ55" s="18" t="str">
        <f t="shared" si="11"/>
        <v>Mencapai kompetensi dengan baik dalam hal</v>
      </c>
      <c r="AK55" s="141">
        <v>87</v>
      </c>
      <c r="AL55" s="18" t="str">
        <f t="shared" si="12"/>
        <v>Mencapai kompetensi dengan baik dalam hal</v>
      </c>
      <c r="AM55" s="18" t="e">
        <f>VLOOKUP(#REF!,grades2,2,TRUE)</f>
        <v>#REF!</v>
      </c>
      <c r="AN55" s="62">
        <f t="shared" si="17"/>
        <v>85.666666666666671</v>
      </c>
      <c r="AO55" s="141">
        <v>88</v>
      </c>
      <c r="AP55" s="18" t="str">
        <f t="shared" si="13"/>
        <v>Mencapai kompetensi dengan baik dalam hal</v>
      </c>
      <c r="AQ55" s="141">
        <v>82</v>
      </c>
      <c r="AR55" s="18" t="str">
        <f t="shared" si="14"/>
        <v>Mencapai kompetensi dengan baik dalam hal</v>
      </c>
      <c r="AS55" s="113" t="s">
        <v>81</v>
      </c>
      <c r="AT55" s="113" t="s">
        <v>81</v>
      </c>
      <c r="AU55" s="113" t="s">
        <v>81</v>
      </c>
      <c r="AV55" s="23">
        <v>1</v>
      </c>
      <c r="AW55" s="23" t="s">
        <v>82</v>
      </c>
      <c r="AX55" s="18" t="s">
        <v>83</v>
      </c>
      <c r="AY55" s="23" t="s">
        <v>86</v>
      </c>
      <c r="AZ55" s="18" t="str">
        <f t="shared" si="18"/>
        <v>Sangat baik</v>
      </c>
      <c r="BA55" s="23">
        <v>2</v>
      </c>
      <c r="BB55" s="18" t="s">
        <v>85</v>
      </c>
      <c r="BC55" s="18" t="s">
        <v>83</v>
      </c>
      <c r="BD55" s="23" t="s">
        <v>86</v>
      </c>
      <c r="BE55" s="18" t="str">
        <f t="shared" si="19"/>
        <v>Sangat baik</v>
      </c>
      <c r="BF55" s="23"/>
      <c r="BG55" s="23"/>
      <c r="BH55" s="23"/>
      <c r="BI55" s="23"/>
      <c r="BJ55" s="18"/>
    </row>
    <row r="56" spans="1:62" ht="24.95" customHeight="1" x14ac:dyDescent="0.25">
      <c r="A56" s="23">
        <v>55</v>
      </c>
      <c r="B56" s="141">
        <v>2526104</v>
      </c>
      <c r="C56" s="141" t="s">
        <v>1649</v>
      </c>
      <c r="D56" s="142" t="s">
        <v>1650</v>
      </c>
      <c r="E56" s="23" t="s">
        <v>1612</v>
      </c>
      <c r="F56" s="23" t="s">
        <v>1537</v>
      </c>
      <c r="G56" s="141" t="s">
        <v>1613</v>
      </c>
      <c r="H56" s="141" t="s">
        <v>1614</v>
      </c>
      <c r="I56" s="60" t="s">
        <v>76</v>
      </c>
      <c r="J56" s="61" t="s">
        <v>77</v>
      </c>
      <c r="K56" s="61" t="s">
        <v>78</v>
      </c>
      <c r="L56" s="61" t="s">
        <v>79</v>
      </c>
      <c r="M56" s="141">
        <v>76</v>
      </c>
      <c r="N56" s="18" t="str">
        <f t="shared" si="0"/>
        <v>Mencapai kompetensi dengan baik dalam hal</v>
      </c>
      <c r="O56" s="141">
        <v>75</v>
      </c>
      <c r="P56" s="18" t="str">
        <f t="shared" si="1"/>
        <v>Mencapai kompetensi dengan baik dalam hal</v>
      </c>
      <c r="Q56" s="141">
        <v>79</v>
      </c>
      <c r="R56" s="18" t="str">
        <f t="shared" si="2"/>
        <v>Mencapai kompetensi dengan baik dalam hal</v>
      </c>
      <c r="S56" s="141">
        <v>80</v>
      </c>
      <c r="T56" s="18" t="str">
        <f t="shared" si="3"/>
        <v>Mencapai kompetensi dengan baik dalam hal</v>
      </c>
      <c r="U56" s="141">
        <v>68</v>
      </c>
      <c r="V56" s="18" t="str">
        <f t="shared" si="4"/>
        <v>Perlu peningkatan dalam hal</v>
      </c>
      <c r="W56" s="141">
        <v>77</v>
      </c>
      <c r="X56" s="18" t="str">
        <f t="shared" si="5"/>
        <v>Mencapai kompetensi dengan baik dalam hal</v>
      </c>
      <c r="Y56" s="141">
        <v>70</v>
      </c>
      <c r="Z56" s="18" t="str">
        <f t="shared" si="6"/>
        <v>Perlu peningkatan dalam hal</v>
      </c>
      <c r="AA56" s="141">
        <v>75</v>
      </c>
      <c r="AB56" s="18" t="str">
        <f t="shared" si="7"/>
        <v>Mencapai kompetensi dengan baik dalam hal</v>
      </c>
      <c r="AC56" s="141">
        <v>76</v>
      </c>
      <c r="AD56" s="18" t="str">
        <f t="shared" si="8"/>
        <v>Mencapai kompetensi dengan baik dalam hal</v>
      </c>
      <c r="AE56" s="141">
        <v>82</v>
      </c>
      <c r="AF56" s="18" t="str">
        <f t="shared" si="9"/>
        <v>Mencapai kompetensi dengan baik dalam hal</v>
      </c>
      <c r="AG56" s="141">
        <v>80</v>
      </c>
      <c r="AH56" s="18" t="str">
        <f t="shared" si="10"/>
        <v>Mencapai kompetensi dengan baik dalam hal</v>
      </c>
      <c r="AI56" s="141">
        <v>81</v>
      </c>
      <c r="AJ56" s="18" t="str">
        <f t="shared" si="11"/>
        <v>Mencapai kompetensi dengan baik dalam hal</v>
      </c>
      <c r="AK56" s="141">
        <v>78</v>
      </c>
      <c r="AL56" s="18" t="str">
        <f t="shared" si="12"/>
        <v>Mencapai kompetensi dengan baik dalam hal</v>
      </c>
      <c r="AM56" s="18" t="e">
        <f>VLOOKUP(#REF!,grades2,2,TRUE)</f>
        <v>#REF!</v>
      </c>
      <c r="AN56" s="62">
        <f t="shared" si="17"/>
        <v>79.666666666666671</v>
      </c>
      <c r="AO56" s="141">
        <v>76</v>
      </c>
      <c r="AP56" s="18" t="str">
        <f t="shared" si="13"/>
        <v>Perlu peningkatan dalam hal</v>
      </c>
      <c r="AQ56" s="141">
        <v>75</v>
      </c>
      <c r="AR56" s="18" t="str">
        <f t="shared" si="14"/>
        <v>Mencapai kompetensi dengan baik dalam hal</v>
      </c>
      <c r="AS56" s="113" t="s">
        <v>81</v>
      </c>
      <c r="AT56" s="113" t="s">
        <v>81</v>
      </c>
      <c r="AU56" s="113" t="s">
        <v>81</v>
      </c>
      <c r="AV56" s="23">
        <v>1</v>
      </c>
      <c r="AW56" s="23" t="s">
        <v>82</v>
      </c>
      <c r="AX56" s="18" t="s">
        <v>83</v>
      </c>
      <c r="AY56" s="23" t="s">
        <v>110</v>
      </c>
      <c r="AZ56" s="18" t="str">
        <f t="shared" si="18"/>
        <v>Kurang</v>
      </c>
      <c r="BA56" s="23">
        <v>2</v>
      </c>
      <c r="BB56" s="18" t="s">
        <v>108</v>
      </c>
      <c r="BC56" s="18" t="s">
        <v>83</v>
      </c>
      <c r="BD56" s="23" t="s">
        <v>84</v>
      </c>
      <c r="BE56" s="18" t="str">
        <f t="shared" si="19"/>
        <v>Baik</v>
      </c>
      <c r="BF56" s="23"/>
      <c r="BG56" s="23"/>
      <c r="BH56" s="23"/>
      <c r="BI56" s="23"/>
      <c r="BJ56" s="18"/>
    </row>
    <row r="57" spans="1:62" ht="24.95" customHeight="1" x14ac:dyDescent="0.25">
      <c r="A57" s="23">
        <v>56</v>
      </c>
      <c r="B57" s="141">
        <v>2526105</v>
      </c>
      <c r="C57" s="141" t="s">
        <v>1651</v>
      </c>
      <c r="D57" s="142" t="s">
        <v>1652</v>
      </c>
      <c r="E57" s="23" t="s">
        <v>1612</v>
      </c>
      <c r="F57" s="23" t="s">
        <v>1537</v>
      </c>
      <c r="G57" s="141" t="s">
        <v>1613</v>
      </c>
      <c r="H57" s="141" t="s">
        <v>1614</v>
      </c>
      <c r="I57" s="60" t="s">
        <v>76</v>
      </c>
      <c r="J57" s="61" t="s">
        <v>77</v>
      </c>
      <c r="K57" s="61" t="s">
        <v>78</v>
      </c>
      <c r="L57" s="61" t="s">
        <v>79</v>
      </c>
      <c r="M57" s="141">
        <v>80</v>
      </c>
      <c r="N57" s="18" t="str">
        <f t="shared" si="0"/>
        <v>Mencapai kompetensi dengan baik dalam hal</v>
      </c>
      <c r="O57" s="141">
        <v>82</v>
      </c>
      <c r="P57" s="18" t="str">
        <f t="shared" si="1"/>
        <v>Mencapai kompetensi dengan baik dalam hal</v>
      </c>
      <c r="Q57" s="141">
        <v>83</v>
      </c>
      <c r="R57" s="18" t="str">
        <f t="shared" si="2"/>
        <v>Mencapai kompetensi dengan baik dalam hal</v>
      </c>
      <c r="S57" s="141">
        <v>79</v>
      </c>
      <c r="T57" s="18" t="str">
        <f t="shared" si="3"/>
        <v>Mencapai kompetensi dengan baik dalam hal</v>
      </c>
      <c r="U57" s="141">
        <v>78</v>
      </c>
      <c r="V57" s="18" t="str">
        <f t="shared" si="4"/>
        <v>Mencapai kompetensi dengan baik dalam hal</v>
      </c>
      <c r="W57" s="141">
        <v>85</v>
      </c>
      <c r="X57" s="18" t="str">
        <f t="shared" si="5"/>
        <v>Mencapai kompetensi dengan baik dalam hal</v>
      </c>
      <c r="Y57" s="141">
        <v>87</v>
      </c>
      <c r="Z57" s="18" t="str">
        <f t="shared" si="6"/>
        <v>Mencapai kompetensi dengan baik dalam hal</v>
      </c>
      <c r="AA57" s="141">
        <v>83</v>
      </c>
      <c r="AB57" s="18" t="str">
        <f t="shared" si="7"/>
        <v>Mencapai kompetensi dengan baik dalam hal</v>
      </c>
      <c r="AC57" s="141">
        <v>88</v>
      </c>
      <c r="AD57" s="18" t="str">
        <f t="shared" si="8"/>
        <v>Mencapai kompetensi dengan baik dalam hal</v>
      </c>
      <c r="AE57" s="141">
        <v>90</v>
      </c>
      <c r="AF57" s="18" t="str">
        <f t="shared" si="9"/>
        <v>Mencapai kompetensi dengan sangat baik dalam hal</v>
      </c>
      <c r="AG57" s="141">
        <v>86</v>
      </c>
      <c r="AH57" s="18" t="str">
        <f t="shared" si="10"/>
        <v>Mencapai kompetensi dengan baik dalam hal</v>
      </c>
      <c r="AI57" s="141">
        <v>87</v>
      </c>
      <c r="AJ57" s="18" t="str">
        <f t="shared" si="11"/>
        <v>Mencapai kompetensi dengan baik dalam hal</v>
      </c>
      <c r="AK57" s="141">
        <v>90</v>
      </c>
      <c r="AL57" s="18" t="str">
        <f t="shared" si="12"/>
        <v>Mencapai kompetensi dengan sangat baik dalam hal</v>
      </c>
      <c r="AM57" s="18" t="e">
        <f>VLOOKUP(#REF!,grades2,2,TRUE)</f>
        <v>#REF!</v>
      </c>
      <c r="AN57" s="62">
        <f t="shared" si="17"/>
        <v>87.666666666666671</v>
      </c>
      <c r="AO57" s="141">
        <v>88</v>
      </c>
      <c r="AP57" s="18" t="str">
        <f t="shared" si="13"/>
        <v>Mencapai kompetensi dengan baik dalam hal</v>
      </c>
      <c r="AQ57" s="141">
        <v>82</v>
      </c>
      <c r="AR57" s="18" t="str">
        <f t="shared" si="14"/>
        <v>Mencapai kompetensi dengan baik dalam hal</v>
      </c>
      <c r="AS57" s="113">
        <v>3</v>
      </c>
      <c r="AT57" s="113" t="s">
        <v>81</v>
      </c>
      <c r="AU57" s="113" t="s">
        <v>81</v>
      </c>
      <c r="AV57" s="23">
        <v>1</v>
      </c>
      <c r="AW57" s="23" t="s">
        <v>82</v>
      </c>
      <c r="AX57" s="18" t="s">
        <v>83</v>
      </c>
      <c r="AY57" s="23" t="s">
        <v>86</v>
      </c>
      <c r="AZ57" s="18" t="str">
        <f t="shared" si="18"/>
        <v>Sangat baik</v>
      </c>
      <c r="BA57" s="23">
        <v>2</v>
      </c>
      <c r="BB57" s="18" t="s">
        <v>162</v>
      </c>
      <c r="BC57" s="18" t="s">
        <v>83</v>
      </c>
      <c r="BD57" s="23" t="s">
        <v>86</v>
      </c>
      <c r="BE57" s="18" t="str">
        <f t="shared" si="19"/>
        <v>Sangat baik</v>
      </c>
      <c r="BF57" s="23"/>
      <c r="BG57" s="23"/>
      <c r="BH57" s="23"/>
      <c r="BI57" s="23"/>
      <c r="BJ57" s="18"/>
    </row>
    <row r="58" spans="1:62" ht="24.95" customHeight="1" x14ac:dyDescent="0.25">
      <c r="A58" s="23">
        <v>57</v>
      </c>
      <c r="B58" s="141">
        <v>2526106</v>
      </c>
      <c r="C58" s="141" t="s">
        <v>1653</v>
      </c>
      <c r="D58" s="142" t="s">
        <v>1654</v>
      </c>
      <c r="E58" s="23" t="s">
        <v>1612</v>
      </c>
      <c r="F58" s="23" t="s">
        <v>1537</v>
      </c>
      <c r="G58" s="141" t="s">
        <v>1613</v>
      </c>
      <c r="H58" s="141" t="s">
        <v>1614</v>
      </c>
      <c r="I58" s="60" t="s">
        <v>76</v>
      </c>
      <c r="J58" s="61" t="s">
        <v>77</v>
      </c>
      <c r="K58" s="61" t="s">
        <v>78</v>
      </c>
      <c r="L58" s="61" t="s">
        <v>79</v>
      </c>
      <c r="M58" s="141">
        <v>80</v>
      </c>
      <c r="N58" s="18" t="str">
        <f t="shared" si="0"/>
        <v>Mencapai kompetensi dengan baik dalam hal</v>
      </c>
      <c r="O58" s="141">
        <v>78</v>
      </c>
      <c r="P58" s="18" t="str">
        <f t="shared" si="1"/>
        <v>Mencapai kompetensi dengan baik dalam hal</v>
      </c>
      <c r="Q58" s="141">
        <v>80</v>
      </c>
      <c r="R58" s="18" t="str">
        <f t="shared" si="2"/>
        <v>Mencapai kompetensi dengan baik dalam hal</v>
      </c>
      <c r="S58" s="141">
        <v>79</v>
      </c>
      <c r="T58" s="18" t="str">
        <f t="shared" si="3"/>
        <v>Mencapai kompetensi dengan baik dalam hal</v>
      </c>
      <c r="U58" s="141">
        <v>83</v>
      </c>
      <c r="V58" s="18" t="str">
        <f t="shared" si="4"/>
        <v>Mencapai kompetensi dengan baik dalam hal</v>
      </c>
      <c r="W58" s="141">
        <v>80</v>
      </c>
      <c r="X58" s="18" t="str">
        <f t="shared" si="5"/>
        <v>Mencapai kompetensi dengan baik dalam hal</v>
      </c>
      <c r="Y58" s="141">
        <v>87</v>
      </c>
      <c r="Z58" s="18" t="str">
        <f t="shared" si="6"/>
        <v>Mencapai kompetensi dengan baik dalam hal</v>
      </c>
      <c r="AA58" s="141">
        <v>80</v>
      </c>
      <c r="AB58" s="18" t="str">
        <f t="shared" si="7"/>
        <v>Mencapai kompetensi dengan baik dalam hal</v>
      </c>
      <c r="AC58" s="141">
        <v>84</v>
      </c>
      <c r="AD58" s="18" t="str">
        <f t="shared" si="8"/>
        <v>Mencapai kompetensi dengan baik dalam hal</v>
      </c>
      <c r="AE58" s="141">
        <v>87</v>
      </c>
      <c r="AF58" s="18" t="str">
        <f t="shared" si="9"/>
        <v>Mencapai kompetensi dengan baik dalam hal</v>
      </c>
      <c r="AG58" s="141">
        <v>90</v>
      </c>
      <c r="AH58" s="18" t="str">
        <f t="shared" si="10"/>
        <v>Mencapai kompetensi dengan sangat baik dalam hal</v>
      </c>
      <c r="AI58" s="141">
        <v>85</v>
      </c>
      <c r="AJ58" s="18" t="str">
        <f t="shared" si="11"/>
        <v>Mencapai kompetensi dengan baik dalam hal</v>
      </c>
      <c r="AK58" s="141">
        <v>85</v>
      </c>
      <c r="AL58" s="18" t="str">
        <f t="shared" si="12"/>
        <v>Mencapai kompetensi dengan baik dalam hal</v>
      </c>
      <c r="AM58" s="18" t="e">
        <f>VLOOKUP(#REF!,grades2,2,TRUE)</f>
        <v>#REF!</v>
      </c>
      <c r="AN58" s="62">
        <f t="shared" si="17"/>
        <v>86.666666666666671</v>
      </c>
      <c r="AO58" s="141">
        <v>84</v>
      </c>
      <c r="AP58" s="18" t="str">
        <f t="shared" si="13"/>
        <v>Mencapai kompetensi dengan baik dalam hal</v>
      </c>
      <c r="AQ58" s="141">
        <v>81</v>
      </c>
      <c r="AR58" s="18" t="str">
        <f t="shared" si="14"/>
        <v>Mencapai kompetensi dengan baik dalam hal</v>
      </c>
      <c r="AS58" s="113">
        <v>4</v>
      </c>
      <c r="AT58" s="113" t="s">
        <v>81</v>
      </c>
      <c r="AU58" s="113" t="s">
        <v>81</v>
      </c>
      <c r="AV58" s="23">
        <v>1</v>
      </c>
      <c r="AW58" s="23" t="s">
        <v>82</v>
      </c>
      <c r="AX58" s="18" t="s">
        <v>83</v>
      </c>
      <c r="AY58" s="23" t="s">
        <v>86</v>
      </c>
      <c r="AZ58" s="18" t="str">
        <f t="shared" si="18"/>
        <v>Sangat baik</v>
      </c>
      <c r="BA58" s="23">
        <v>2</v>
      </c>
      <c r="BB58" s="18" t="s">
        <v>579</v>
      </c>
      <c r="BC58" s="18" t="s">
        <v>83</v>
      </c>
      <c r="BD58" s="23" t="s">
        <v>86</v>
      </c>
      <c r="BE58" s="18" t="str">
        <f t="shared" si="19"/>
        <v>Sangat baik</v>
      </c>
      <c r="BF58" s="23"/>
      <c r="BG58" s="23"/>
      <c r="BH58" s="23"/>
      <c r="BI58" s="23"/>
      <c r="BJ58" s="18"/>
    </row>
    <row r="59" spans="1:62" ht="24.95" customHeight="1" x14ac:dyDescent="0.25">
      <c r="A59" s="23">
        <v>58</v>
      </c>
      <c r="B59" s="141">
        <v>2526107</v>
      </c>
      <c r="C59" s="141" t="s">
        <v>1655</v>
      </c>
      <c r="D59" s="142" t="s">
        <v>1656</v>
      </c>
      <c r="E59" s="23" t="s">
        <v>1612</v>
      </c>
      <c r="F59" s="23" t="s">
        <v>1537</v>
      </c>
      <c r="G59" s="141" t="s">
        <v>1613</v>
      </c>
      <c r="H59" s="141" t="s">
        <v>1614</v>
      </c>
      <c r="I59" s="60" t="s">
        <v>76</v>
      </c>
      <c r="J59" s="61" t="s">
        <v>77</v>
      </c>
      <c r="K59" s="61" t="s">
        <v>78</v>
      </c>
      <c r="L59" s="61" t="s">
        <v>79</v>
      </c>
      <c r="M59" s="141">
        <v>77</v>
      </c>
      <c r="N59" s="18" t="str">
        <f t="shared" si="0"/>
        <v>Mencapai kompetensi dengan baik dalam hal</v>
      </c>
      <c r="O59" s="141">
        <v>75</v>
      </c>
      <c r="P59" s="18" t="str">
        <f t="shared" si="1"/>
        <v>Mencapai kompetensi dengan baik dalam hal</v>
      </c>
      <c r="Q59" s="141">
        <v>80</v>
      </c>
      <c r="R59" s="18" t="str">
        <f t="shared" si="2"/>
        <v>Mencapai kompetensi dengan baik dalam hal</v>
      </c>
      <c r="S59" s="141">
        <v>80</v>
      </c>
      <c r="T59" s="18" t="str">
        <f t="shared" si="3"/>
        <v>Mencapai kompetensi dengan baik dalam hal</v>
      </c>
      <c r="U59" s="141">
        <v>75</v>
      </c>
      <c r="V59" s="18" t="str">
        <f t="shared" si="4"/>
        <v>Mencapai kompetensi dengan baik dalam hal</v>
      </c>
      <c r="W59" s="141">
        <v>78</v>
      </c>
      <c r="X59" s="18" t="str">
        <f t="shared" si="5"/>
        <v>Mencapai kompetensi dengan baik dalam hal</v>
      </c>
      <c r="Y59" s="141">
        <v>75</v>
      </c>
      <c r="Z59" s="18" t="str">
        <f t="shared" si="6"/>
        <v>Mencapai kompetensi dengan baik dalam hal</v>
      </c>
      <c r="AA59" s="141">
        <v>76</v>
      </c>
      <c r="AB59" s="18" t="str">
        <f t="shared" si="7"/>
        <v>Mencapai kompetensi dengan baik dalam hal</v>
      </c>
      <c r="AC59" s="141">
        <v>76</v>
      </c>
      <c r="AD59" s="18" t="str">
        <f t="shared" si="8"/>
        <v>Mencapai kompetensi dengan baik dalam hal</v>
      </c>
      <c r="AE59" s="141">
        <v>82</v>
      </c>
      <c r="AF59" s="18" t="str">
        <f t="shared" si="9"/>
        <v>Mencapai kompetensi dengan baik dalam hal</v>
      </c>
      <c r="AG59" s="141">
        <v>80</v>
      </c>
      <c r="AH59" s="18" t="str">
        <f t="shared" si="10"/>
        <v>Mencapai kompetensi dengan baik dalam hal</v>
      </c>
      <c r="AI59" s="141">
        <v>81</v>
      </c>
      <c r="AJ59" s="18" t="str">
        <f t="shared" si="11"/>
        <v>Mencapai kompetensi dengan baik dalam hal</v>
      </c>
      <c r="AK59" s="141">
        <v>78</v>
      </c>
      <c r="AL59" s="18" t="str">
        <f t="shared" si="12"/>
        <v>Mencapai kompetensi dengan baik dalam hal</v>
      </c>
      <c r="AM59" s="18" t="e">
        <f>VLOOKUP(#REF!,grades2,2,TRUE)</f>
        <v>#REF!</v>
      </c>
      <c r="AN59" s="62">
        <f t="shared" si="17"/>
        <v>79.666666666666671</v>
      </c>
      <c r="AO59" s="141">
        <v>76</v>
      </c>
      <c r="AP59" s="18" t="str">
        <f t="shared" si="13"/>
        <v>Perlu peningkatan dalam hal</v>
      </c>
      <c r="AQ59" s="141">
        <v>75</v>
      </c>
      <c r="AR59" s="18" t="str">
        <f t="shared" si="14"/>
        <v>Mencapai kompetensi dengan baik dalam hal</v>
      </c>
      <c r="AS59" s="113">
        <v>6</v>
      </c>
      <c r="AT59" s="113" t="s">
        <v>81</v>
      </c>
      <c r="AU59" s="113" t="s">
        <v>81</v>
      </c>
      <c r="AV59" s="23">
        <v>1</v>
      </c>
      <c r="AW59" s="23" t="s">
        <v>82</v>
      </c>
      <c r="AX59" s="18" t="s">
        <v>83</v>
      </c>
      <c r="AY59" s="23" t="s">
        <v>84</v>
      </c>
      <c r="AZ59" s="18" t="str">
        <f t="shared" si="18"/>
        <v>Baik</v>
      </c>
      <c r="BA59" s="23">
        <v>2</v>
      </c>
      <c r="BB59" s="18" t="s">
        <v>103</v>
      </c>
      <c r="BC59" s="18" t="s">
        <v>83</v>
      </c>
      <c r="BD59" s="23" t="s">
        <v>104</v>
      </c>
      <c r="BE59" s="18" t="str">
        <f t="shared" si="19"/>
        <v>Cukup</v>
      </c>
      <c r="BF59" s="23"/>
      <c r="BG59" s="23"/>
      <c r="BH59" s="23"/>
      <c r="BI59" s="23"/>
      <c r="BJ59" s="18"/>
    </row>
    <row r="60" spans="1:62" ht="24.95" customHeight="1" x14ac:dyDescent="0.25">
      <c r="A60" s="23">
        <v>59</v>
      </c>
      <c r="B60" s="141">
        <v>2526108</v>
      </c>
      <c r="C60" s="141" t="s">
        <v>1657</v>
      </c>
      <c r="D60" s="142" t="s">
        <v>1658</v>
      </c>
      <c r="E60" s="23" t="s">
        <v>1612</v>
      </c>
      <c r="F60" s="23" t="s">
        <v>1537</v>
      </c>
      <c r="G60" s="141" t="s">
        <v>1613</v>
      </c>
      <c r="H60" s="141" t="s">
        <v>1614</v>
      </c>
      <c r="I60" s="60" t="s">
        <v>76</v>
      </c>
      <c r="J60" s="61" t="s">
        <v>77</v>
      </c>
      <c r="K60" s="61" t="s">
        <v>78</v>
      </c>
      <c r="L60" s="61" t="s">
        <v>79</v>
      </c>
      <c r="M60" s="141">
        <v>77</v>
      </c>
      <c r="N60" s="18" t="str">
        <f t="shared" si="0"/>
        <v>Mencapai kompetensi dengan baik dalam hal</v>
      </c>
      <c r="O60" s="141">
        <v>75</v>
      </c>
      <c r="P60" s="18" t="str">
        <f t="shared" si="1"/>
        <v>Mencapai kompetensi dengan baik dalam hal</v>
      </c>
      <c r="Q60" s="141">
        <v>80</v>
      </c>
      <c r="R60" s="18" t="str">
        <f t="shared" si="2"/>
        <v>Mencapai kompetensi dengan baik dalam hal</v>
      </c>
      <c r="S60" s="141">
        <v>79</v>
      </c>
      <c r="T60" s="18" t="str">
        <f t="shared" si="3"/>
        <v>Mencapai kompetensi dengan baik dalam hal</v>
      </c>
      <c r="U60" s="141">
        <v>77</v>
      </c>
      <c r="V60" s="18" t="str">
        <f t="shared" si="4"/>
        <v>Mencapai kompetensi dengan baik dalam hal</v>
      </c>
      <c r="W60" s="141">
        <v>80</v>
      </c>
      <c r="X60" s="18" t="str">
        <f t="shared" si="5"/>
        <v>Mencapai kompetensi dengan baik dalam hal</v>
      </c>
      <c r="Y60" s="141">
        <v>75</v>
      </c>
      <c r="Z60" s="18" t="str">
        <f t="shared" si="6"/>
        <v>Mencapai kompetensi dengan baik dalam hal</v>
      </c>
      <c r="AA60" s="141">
        <v>77</v>
      </c>
      <c r="AB60" s="18" t="str">
        <f t="shared" si="7"/>
        <v>Mencapai kompetensi dengan baik dalam hal</v>
      </c>
      <c r="AC60" s="141">
        <v>77</v>
      </c>
      <c r="AD60" s="18" t="str">
        <f t="shared" si="8"/>
        <v>Mencapai kompetensi dengan baik dalam hal</v>
      </c>
      <c r="AE60" s="141">
        <v>82</v>
      </c>
      <c r="AF60" s="18" t="str">
        <f t="shared" si="9"/>
        <v>Mencapai kompetensi dengan baik dalam hal</v>
      </c>
      <c r="AG60" s="141">
        <v>80</v>
      </c>
      <c r="AH60" s="18" t="str">
        <f t="shared" si="10"/>
        <v>Mencapai kompetensi dengan baik dalam hal</v>
      </c>
      <c r="AI60" s="141">
        <v>81</v>
      </c>
      <c r="AJ60" s="18" t="str">
        <f t="shared" si="11"/>
        <v>Mencapai kompetensi dengan baik dalam hal</v>
      </c>
      <c r="AK60" s="141">
        <v>83</v>
      </c>
      <c r="AL60" s="18" t="str">
        <f t="shared" si="12"/>
        <v>Mencapai kompetensi dengan baik dalam hal</v>
      </c>
      <c r="AM60" s="18" t="e">
        <f>VLOOKUP(#REF!,grades2,2,TRUE)</f>
        <v>#REF!</v>
      </c>
      <c r="AN60" s="62">
        <f t="shared" si="17"/>
        <v>81.333333333333329</v>
      </c>
      <c r="AO60" s="141">
        <v>77</v>
      </c>
      <c r="AP60" s="18" t="str">
        <f t="shared" si="13"/>
        <v>Perlu peningkatan dalam hal</v>
      </c>
      <c r="AQ60" s="141">
        <v>75</v>
      </c>
      <c r="AR60" s="18" t="str">
        <f t="shared" si="14"/>
        <v>Mencapai kompetensi dengan baik dalam hal</v>
      </c>
      <c r="AS60" s="113">
        <v>8</v>
      </c>
      <c r="AT60" s="113" t="s">
        <v>81</v>
      </c>
      <c r="AU60" s="113" t="s">
        <v>81</v>
      </c>
      <c r="AV60" s="23">
        <v>1</v>
      </c>
      <c r="AW60" s="23" t="s">
        <v>82</v>
      </c>
      <c r="AX60" s="18" t="s">
        <v>83</v>
      </c>
      <c r="AY60" s="23" t="s">
        <v>84</v>
      </c>
      <c r="AZ60" s="18" t="str">
        <f t="shared" si="18"/>
        <v>Baik</v>
      </c>
      <c r="BA60" s="23">
        <v>2</v>
      </c>
      <c r="BB60" s="18" t="s">
        <v>108</v>
      </c>
      <c r="BC60" s="18" t="s">
        <v>83</v>
      </c>
      <c r="BD60" s="23" t="s">
        <v>84</v>
      </c>
      <c r="BE60" s="18" t="str">
        <f t="shared" si="19"/>
        <v>Baik</v>
      </c>
      <c r="BF60" s="23"/>
      <c r="BG60" s="23"/>
      <c r="BH60" s="23"/>
      <c r="BI60" s="23"/>
      <c r="BJ60" s="18"/>
    </row>
    <row r="61" spans="1:62" ht="24.95" customHeight="1" x14ac:dyDescent="0.25">
      <c r="A61" s="23">
        <v>60</v>
      </c>
      <c r="B61" s="141">
        <v>2526109</v>
      </c>
      <c r="C61" s="141" t="s">
        <v>1659</v>
      </c>
      <c r="D61" s="142" t="s">
        <v>1660</v>
      </c>
      <c r="E61" s="23" t="s">
        <v>1612</v>
      </c>
      <c r="F61" s="23" t="s">
        <v>1537</v>
      </c>
      <c r="G61" s="141" t="s">
        <v>1613</v>
      </c>
      <c r="H61" s="141" t="s">
        <v>1614</v>
      </c>
      <c r="I61" s="60" t="s">
        <v>76</v>
      </c>
      <c r="J61" s="61" t="s">
        <v>77</v>
      </c>
      <c r="K61" s="61" t="s">
        <v>78</v>
      </c>
      <c r="L61" s="61" t="s">
        <v>79</v>
      </c>
      <c r="M61" s="141">
        <v>78</v>
      </c>
      <c r="N61" s="18" t="str">
        <f t="shared" si="0"/>
        <v>Mencapai kompetensi dengan baik dalam hal</v>
      </c>
      <c r="O61" s="141">
        <v>82</v>
      </c>
      <c r="P61" s="18" t="str">
        <f t="shared" si="1"/>
        <v>Mencapai kompetensi dengan baik dalam hal</v>
      </c>
      <c r="Q61" s="141">
        <v>83</v>
      </c>
      <c r="R61" s="18" t="str">
        <f t="shared" si="2"/>
        <v>Mencapai kompetensi dengan baik dalam hal</v>
      </c>
      <c r="S61" s="141">
        <v>79</v>
      </c>
      <c r="T61" s="18" t="str">
        <f t="shared" si="3"/>
        <v>Mencapai kompetensi dengan baik dalam hal</v>
      </c>
      <c r="U61" s="141">
        <v>86</v>
      </c>
      <c r="V61" s="18" t="str">
        <f t="shared" si="4"/>
        <v>Mencapai kompetensi dengan baik dalam hal</v>
      </c>
      <c r="W61" s="141">
        <v>83</v>
      </c>
      <c r="X61" s="18" t="str">
        <f t="shared" si="5"/>
        <v>Mencapai kompetensi dengan baik dalam hal</v>
      </c>
      <c r="Y61" s="141">
        <v>78</v>
      </c>
      <c r="Z61" s="18" t="str">
        <f t="shared" si="6"/>
        <v>Mencapai kompetensi dengan baik dalam hal</v>
      </c>
      <c r="AA61" s="141">
        <v>81</v>
      </c>
      <c r="AB61" s="18" t="str">
        <f t="shared" si="7"/>
        <v>Mencapai kompetensi dengan baik dalam hal</v>
      </c>
      <c r="AC61" s="141">
        <v>88</v>
      </c>
      <c r="AD61" s="18" t="str">
        <f t="shared" si="8"/>
        <v>Mencapai kompetensi dengan baik dalam hal</v>
      </c>
      <c r="AE61" s="141">
        <v>86</v>
      </c>
      <c r="AF61" s="18" t="str">
        <f t="shared" si="9"/>
        <v>Mencapai kompetensi dengan baik dalam hal</v>
      </c>
      <c r="AG61" s="141">
        <v>86</v>
      </c>
      <c r="AH61" s="18" t="str">
        <f t="shared" si="10"/>
        <v>Mencapai kompetensi dengan baik dalam hal</v>
      </c>
      <c r="AI61" s="141">
        <v>86</v>
      </c>
      <c r="AJ61" s="18" t="str">
        <f t="shared" si="11"/>
        <v>Mencapai kompetensi dengan baik dalam hal</v>
      </c>
      <c r="AK61" s="141">
        <v>90</v>
      </c>
      <c r="AL61" s="18" t="str">
        <f t="shared" si="12"/>
        <v>Mencapai kompetensi dengan sangat baik dalam hal</v>
      </c>
      <c r="AM61" s="18" t="e">
        <f>VLOOKUP(#REF!,grades2,2,TRUE)</f>
        <v>#REF!</v>
      </c>
      <c r="AN61" s="62">
        <f t="shared" si="17"/>
        <v>87.333333333333329</v>
      </c>
      <c r="AO61" s="141">
        <v>88</v>
      </c>
      <c r="AP61" s="18" t="str">
        <f t="shared" si="13"/>
        <v>Mencapai kompetensi dengan baik dalam hal</v>
      </c>
      <c r="AQ61" s="141">
        <v>82</v>
      </c>
      <c r="AR61" s="18" t="str">
        <f t="shared" si="14"/>
        <v>Mencapai kompetensi dengan baik dalam hal</v>
      </c>
      <c r="AS61" s="113">
        <v>1</v>
      </c>
      <c r="AT61" s="113" t="s">
        <v>81</v>
      </c>
      <c r="AU61" s="113" t="s">
        <v>81</v>
      </c>
      <c r="AV61" s="23">
        <v>1</v>
      </c>
      <c r="AW61" s="23" t="s">
        <v>82</v>
      </c>
      <c r="AX61" s="18" t="s">
        <v>83</v>
      </c>
      <c r="AY61" s="23" t="s">
        <v>86</v>
      </c>
      <c r="AZ61" s="18" t="str">
        <f t="shared" si="18"/>
        <v>Sangat baik</v>
      </c>
      <c r="BA61" s="23">
        <v>2</v>
      </c>
      <c r="BB61" s="18" t="s">
        <v>162</v>
      </c>
      <c r="BC61" s="18" t="s">
        <v>83</v>
      </c>
      <c r="BD61" s="23" t="s">
        <v>86</v>
      </c>
      <c r="BE61" s="18" t="str">
        <f t="shared" si="19"/>
        <v>Sangat baik</v>
      </c>
      <c r="BF61" s="23"/>
      <c r="BG61" s="23"/>
      <c r="BH61" s="23"/>
      <c r="BI61" s="23"/>
      <c r="BJ61" s="18"/>
    </row>
    <row r="62" spans="1:62" ht="24.95" customHeight="1" x14ac:dyDescent="0.25">
      <c r="A62" s="23">
        <v>61</v>
      </c>
      <c r="B62" s="141">
        <v>2526110</v>
      </c>
      <c r="C62" s="141" t="s">
        <v>1661</v>
      </c>
      <c r="D62" s="142" t="s">
        <v>1662</v>
      </c>
      <c r="E62" s="23" t="s">
        <v>1612</v>
      </c>
      <c r="F62" s="23" t="s">
        <v>1537</v>
      </c>
      <c r="G62" s="141" t="s">
        <v>1613</v>
      </c>
      <c r="H62" s="141" t="s">
        <v>1614</v>
      </c>
      <c r="I62" s="60" t="s">
        <v>76</v>
      </c>
      <c r="J62" s="61" t="s">
        <v>77</v>
      </c>
      <c r="K62" s="61" t="s">
        <v>78</v>
      </c>
      <c r="L62" s="61" t="s">
        <v>79</v>
      </c>
      <c r="M62" s="141">
        <v>79</v>
      </c>
      <c r="N62" s="18" t="str">
        <f t="shared" si="0"/>
        <v>Mencapai kompetensi dengan baik dalam hal</v>
      </c>
      <c r="O62" s="141">
        <v>77</v>
      </c>
      <c r="P62" s="18" t="str">
        <f t="shared" si="1"/>
        <v>Mencapai kompetensi dengan baik dalam hal</v>
      </c>
      <c r="Q62" s="141">
        <v>80</v>
      </c>
      <c r="R62" s="18" t="str">
        <f t="shared" si="2"/>
        <v>Mencapai kompetensi dengan baik dalam hal</v>
      </c>
      <c r="S62" s="141">
        <v>79</v>
      </c>
      <c r="T62" s="18" t="str">
        <f t="shared" si="3"/>
        <v>Mencapai kompetensi dengan baik dalam hal</v>
      </c>
      <c r="U62" s="141">
        <v>87</v>
      </c>
      <c r="V62" s="18" t="str">
        <f t="shared" si="4"/>
        <v>Mencapai kompetensi dengan baik dalam hal</v>
      </c>
      <c r="W62" s="141">
        <v>80</v>
      </c>
      <c r="X62" s="18" t="str">
        <f t="shared" si="5"/>
        <v>Mencapai kompetensi dengan baik dalam hal</v>
      </c>
      <c r="Y62" s="141">
        <v>77</v>
      </c>
      <c r="Z62" s="18" t="str">
        <f t="shared" si="6"/>
        <v>Mencapai kompetensi dengan baik dalam hal</v>
      </c>
      <c r="AA62" s="141">
        <v>79</v>
      </c>
      <c r="AB62" s="18" t="str">
        <f t="shared" si="7"/>
        <v>Mencapai kompetensi dengan baik dalam hal</v>
      </c>
      <c r="AC62" s="141">
        <v>81</v>
      </c>
      <c r="AD62" s="18" t="str">
        <f t="shared" si="8"/>
        <v>Mencapai kompetensi dengan baik dalam hal</v>
      </c>
      <c r="AE62" s="141">
        <v>85</v>
      </c>
      <c r="AF62" s="18" t="str">
        <f t="shared" si="9"/>
        <v>Mencapai kompetensi dengan baik dalam hal</v>
      </c>
      <c r="AG62" s="141">
        <v>84</v>
      </c>
      <c r="AH62" s="18" t="str">
        <f t="shared" si="10"/>
        <v>Mencapai kompetensi dengan baik dalam hal</v>
      </c>
      <c r="AI62" s="141">
        <v>85</v>
      </c>
      <c r="AJ62" s="18" t="str">
        <f t="shared" si="11"/>
        <v>Mencapai kompetensi dengan baik dalam hal</v>
      </c>
      <c r="AK62" s="141">
        <v>86</v>
      </c>
      <c r="AL62" s="18" t="str">
        <f t="shared" si="12"/>
        <v>Mencapai kompetensi dengan baik dalam hal</v>
      </c>
      <c r="AM62" s="18" t="e">
        <f>VLOOKUP(#REF!,grades2,2,TRUE)</f>
        <v>#REF!</v>
      </c>
      <c r="AN62" s="62">
        <f t="shared" si="17"/>
        <v>85</v>
      </c>
      <c r="AO62" s="141">
        <v>81</v>
      </c>
      <c r="AP62" s="18" t="str">
        <f t="shared" si="13"/>
        <v>Mencapai kompetensi dengan baik dalam hal</v>
      </c>
      <c r="AQ62" s="141">
        <v>81</v>
      </c>
      <c r="AR62" s="18" t="str">
        <f t="shared" si="14"/>
        <v>Mencapai kompetensi dengan baik dalam hal</v>
      </c>
      <c r="AS62" s="113" t="s">
        <v>81</v>
      </c>
      <c r="AT62" s="113" t="s">
        <v>81</v>
      </c>
      <c r="AU62" s="113" t="s">
        <v>81</v>
      </c>
      <c r="AV62" s="23">
        <v>1</v>
      </c>
      <c r="AW62" s="23" t="s">
        <v>82</v>
      </c>
      <c r="AX62" s="18" t="s">
        <v>83</v>
      </c>
      <c r="AY62" s="23" t="s">
        <v>86</v>
      </c>
      <c r="AZ62" s="18" t="str">
        <f t="shared" si="18"/>
        <v>Sangat baik</v>
      </c>
      <c r="BA62" s="23">
        <v>2</v>
      </c>
      <c r="BB62" s="18" t="s">
        <v>298</v>
      </c>
      <c r="BC62" s="18" t="s">
        <v>83</v>
      </c>
      <c r="BD62" s="23" t="s">
        <v>86</v>
      </c>
      <c r="BE62" s="18" t="str">
        <f t="shared" si="19"/>
        <v>Sangat baik</v>
      </c>
      <c r="BF62" s="23"/>
      <c r="BG62" s="23"/>
      <c r="BH62" s="23"/>
      <c r="BI62" s="23"/>
      <c r="BJ62" s="18"/>
    </row>
    <row r="63" spans="1:62" ht="24.95" customHeight="1" x14ac:dyDescent="0.25">
      <c r="A63" s="23">
        <v>62</v>
      </c>
      <c r="B63" s="141">
        <v>2526111</v>
      </c>
      <c r="C63" s="141" t="s">
        <v>1663</v>
      </c>
      <c r="D63" s="142" t="s">
        <v>1664</v>
      </c>
      <c r="E63" s="23" t="s">
        <v>1612</v>
      </c>
      <c r="F63" s="23" t="s">
        <v>1537</v>
      </c>
      <c r="G63" s="141" t="s">
        <v>1613</v>
      </c>
      <c r="H63" s="141" t="s">
        <v>1614</v>
      </c>
      <c r="I63" s="60" t="s">
        <v>76</v>
      </c>
      <c r="J63" s="61" t="s">
        <v>77</v>
      </c>
      <c r="K63" s="61" t="s">
        <v>78</v>
      </c>
      <c r="L63" s="61" t="s">
        <v>79</v>
      </c>
      <c r="M63" s="141">
        <v>77</v>
      </c>
      <c r="N63" s="18" t="str">
        <f t="shared" si="0"/>
        <v>Mencapai kompetensi dengan baik dalam hal</v>
      </c>
      <c r="O63" s="141">
        <v>77</v>
      </c>
      <c r="P63" s="18" t="str">
        <f t="shared" si="1"/>
        <v>Mencapai kompetensi dengan baik dalam hal</v>
      </c>
      <c r="Q63" s="141">
        <v>81</v>
      </c>
      <c r="R63" s="18" t="str">
        <f t="shared" si="2"/>
        <v>Mencapai kompetensi dengan baik dalam hal</v>
      </c>
      <c r="S63" s="141">
        <v>80</v>
      </c>
      <c r="T63" s="18" t="str">
        <f t="shared" si="3"/>
        <v>Mencapai kompetensi dengan baik dalam hal</v>
      </c>
      <c r="U63" s="141">
        <v>80</v>
      </c>
      <c r="V63" s="18" t="str">
        <f t="shared" si="4"/>
        <v>Mencapai kompetensi dengan baik dalam hal</v>
      </c>
      <c r="W63" s="141">
        <v>79</v>
      </c>
      <c r="X63" s="18" t="str">
        <f t="shared" si="5"/>
        <v>Mencapai kompetensi dengan baik dalam hal</v>
      </c>
      <c r="Y63" s="141">
        <v>75</v>
      </c>
      <c r="Z63" s="18" t="str">
        <f t="shared" si="6"/>
        <v>Mencapai kompetensi dengan baik dalam hal</v>
      </c>
      <c r="AA63" s="141">
        <v>76</v>
      </c>
      <c r="AB63" s="18" t="str">
        <f t="shared" si="7"/>
        <v>Mencapai kompetensi dengan baik dalam hal</v>
      </c>
      <c r="AC63" s="141">
        <v>81</v>
      </c>
      <c r="AD63" s="18" t="str">
        <f t="shared" si="8"/>
        <v>Mencapai kompetensi dengan baik dalam hal</v>
      </c>
      <c r="AE63" s="141">
        <v>85</v>
      </c>
      <c r="AF63" s="18" t="str">
        <f t="shared" si="9"/>
        <v>Mencapai kompetensi dengan baik dalam hal</v>
      </c>
      <c r="AG63" s="141">
        <v>84</v>
      </c>
      <c r="AH63" s="18" t="str">
        <f t="shared" si="10"/>
        <v>Mencapai kompetensi dengan baik dalam hal</v>
      </c>
      <c r="AI63" s="141">
        <v>85</v>
      </c>
      <c r="AJ63" s="18" t="str">
        <f t="shared" si="11"/>
        <v>Mencapai kompetensi dengan baik dalam hal</v>
      </c>
      <c r="AK63" s="141">
        <v>86</v>
      </c>
      <c r="AL63" s="18" t="str">
        <f t="shared" si="12"/>
        <v>Mencapai kompetensi dengan baik dalam hal</v>
      </c>
      <c r="AM63" s="18" t="e">
        <f>VLOOKUP(#REF!,grades2,2,TRUE)</f>
        <v>#REF!</v>
      </c>
      <c r="AN63" s="62">
        <f t="shared" si="17"/>
        <v>85</v>
      </c>
      <c r="AO63" s="141">
        <v>81</v>
      </c>
      <c r="AP63" s="18" t="str">
        <f t="shared" si="13"/>
        <v>Mencapai kompetensi dengan baik dalam hal</v>
      </c>
      <c r="AQ63" s="141">
        <v>76</v>
      </c>
      <c r="AR63" s="18" t="str">
        <f t="shared" si="14"/>
        <v>Mencapai kompetensi dengan baik dalam hal</v>
      </c>
      <c r="AS63" s="113">
        <v>1</v>
      </c>
      <c r="AT63" s="113" t="s">
        <v>81</v>
      </c>
      <c r="AU63" s="113" t="s">
        <v>81</v>
      </c>
      <c r="AV63" s="23">
        <v>1</v>
      </c>
      <c r="AW63" s="23" t="s">
        <v>82</v>
      </c>
      <c r="AX63" s="18" t="s">
        <v>83</v>
      </c>
      <c r="AY63" s="23" t="s">
        <v>86</v>
      </c>
      <c r="AZ63" s="18" t="str">
        <f t="shared" si="18"/>
        <v>Sangat baik</v>
      </c>
      <c r="BA63" s="23">
        <v>2</v>
      </c>
      <c r="BB63" s="18" t="s">
        <v>170</v>
      </c>
      <c r="BC63" s="18" t="s">
        <v>83</v>
      </c>
      <c r="BD63" s="23" t="s">
        <v>84</v>
      </c>
      <c r="BE63" s="18" t="str">
        <f t="shared" si="19"/>
        <v>Baik</v>
      </c>
      <c r="BF63" s="23"/>
      <c r="BG63" s="23"/>
      <c r="BH63" s="23"/>
      <c r="BI63" s="23"/>
      <c r="BJ63" s="18"/>
    </row>
    <row r="64" spans="1:62" ht="24.95" customHeight="1" x14ac:dyDescent="0.25">
      <c r="A64" s="23">
        <v>63</v>
      </c>
      <c r="B64" s="141">
        <v>2526112</v>
      </c>
      <c r="C64" s="141" t="s">
        <v>1665</v>
      </c>
      <c r="D64" s="142" t="s">
        <v>1666</v>
      </c>
      <c r="E64" s="23" t="s">
        <v>1612</v>
      </c>
      <c r="F64" s="23" t="s">
        <v>1537</v>
      </c>
      <c r="G64" s="141" t="s">
        <v>1613</v>
      </c>
      <c r="H64" s="141" t="s">
        <v>1614</v>
      </c>
      <c r="I64" s="60" t="s">
        <v>76</v>
      </c>
      <c r="J64" s="61" t="s">
        <v>77</v>
      </c>
      <c r="K64" s="61" t="s">
        <v>78</v>
      </c>
      <c r="L64" s="61" t="s">
        <v>79</v>
      </c>
      <c r="M64" s="141">
        <v>79</v>
      </c>
      <c r="N64" s="18" t="str">
        <f t="shared" si="0"/>
        <v>Mencapai kompetensi dengan baik dalam hal</v>
      </c>
      <c r="O64" s="141">
        <v>77</v>
      </c>
      <c r="P64" s="18" t="str">
        <f t="shared" si="1"/>
        <v>Mencapai kompetensi dengan baik dalam hal</v>
      </c>
      <c r="Q64" s="141">
        <v>80</v>
      </c>
      <c r="R64" s="18" t="str">
        <f t="shared" si="2"/>
        <v>Mencapai kompetensi dengan baik dalam hal</v>
      </c>
      <c r="S64" s="141">
        <v>78</v>
      </c>
      <c r="T64" s="18" t="str">
        <f t="shared" si="3"/>
        <v>Mencapai kompetensi dengan baik dalam hal</v>
      </c>
      <c r="U64" s="141">
        <v>81</v>
      </c>
      <c r="V64" s="18" t="str">
        <f t="shared" si="4"/>
        <v>Mencapai kompetensi dengan baik dalam hal</v>
      </c>
      <c r="W64" s="141">
        <v>80</v>
      </c>
      <c r="X64" s="18" t="str">
        <f t="shared" si="5"/>
        <v>Mencapai kompetensi dengan baik dalam hal</v>
      </c>
      <c r="Y64" s="141">
        <v>75</v>
      </c>
      <c r="Z64" s="18" t="str">
        <f t="shared" si="6"/>
        <v>Mencapai kompetensi dengan baik dalam hal</v>
      </c>
      <c r="AA64" s="141">
        <v>77</v>
      </c>
      <c r="AB64" s="18" t="str">
        <f t="shared" si="7"/>
        <v>Mencapai kompetensi dengan baik dalam hal</v>
      </c>
      <c r="AC64" s="141">
        <v>78</v>
      </c>
      <c r="AD64" s="18" t="str">
        <f t="shared" si="8"/>
        <v>Mencapai kompetensi dengan baik dalam hal</v>
      </c>
      <c r="AE64" s="141">
        <v>82</v>
      </c>
      <c r="AF64" s="18" t="str">
        <f t="shared" si="9"/>
        <v>Mencapai kompetensi dengan baik dalam hal</v>
      </c>
      <c r="AG64" s="141">
        <v>84</v>
      </c>
      <c r="AH64" s="18" t="str">
        <f t="shared" ref="AH64:AH68" si="20">VLOOKUP(AG64,grades2,2,TRUE)</f>
        <v>Mencapai kompetensi dengan baik dalam hal</v>
      </c>
      <c r="AI64" s="141">
        <v>85</v>
      </c>
      <c r="AJ64" s="18" t="str">
        <f t="shared" ref="AJ64:AJ68" si="21">VLOOKUP(AI64,grades2,2,TRUE)</f>
        <v>Mencapai kompetensi dengan baik dalam hal</v>
      </c>
      <c r="AK64" s="141">
        <v>88</v>
      </c>
      <c r="AL64" s="18" t="str">
        <f t="shared" ref="AL64:AL68" si="22">VLOOKUP(AK64,grades2,2,TRUE)</f>
        <v>Mencapai kompetensi dengan baik dalam hal</v>
      </c>
      <c r="AM64" s="18" t="e">
        <f>VLOOKUP(#REF!,grades2,2,TRUE)</f>
        <v>#REF!</v>
      </c>
      <c r="AN64" s="62">
        <f t="shared" si="17"/>
        <v>85.666666666666671</v>
      </c>
      <c r="AO64" s="141">
        <v>78</v>
      </c>
      <c r="AP64" s="18" t="str">
        <f t="shared" si="13"/>
        <v>Mencapai kompetensi dengan baik dalam hal</v>
      </c>
      <c r="AQ64" s="141">
        <v>76</v>
      </c>
      <c r="AR64" s="18" t="str">
        <f t="shared" si="14"/>
        <v>Mencapai kompetensi dengan baik dalam hal</v>
      </c>
      <c r="AS64" s="113" t="s">
        <v>81</v>
      </c>
      <c r="AT64" s="113">
        <v>1</v>
      </c>
      <c r="AU64" s="113" t="s">
        <v>81</v>
      </c>
      <c r="AV64" s="23">
        <v>1</v>
      </c>
      <c r="AW64" s="23" t="s">
        <v>82</v>
      </c>
      <c r="AX64" s="18" t="s">
        <v>83</v>
      </c>
      <c r="AY64" s="23" t="s">
        <v>86</v>
      </c>
      <c r="AZ64" s="18" t="str">
        <f t="shared" si="18"/>
        <v>Sangat baik</v>
      </c>
      <c r="BA64" s="23">
        <v>2</v>
      </c>
      <c r="BB64" s="18" t="s">
        <v>108</v>
      </c>
      <c r="BC64" s="18" t="s">
        <v>83</v>
      </c>
      <c r="BD64" s="23" t="s">
        <v>86</v>
      </c>
      <c r="BE64" s="18" t="str">
        <f t="shared" si="19"/>
        <v>Sangat baik</v>
      </c>
      <c r="BF64" s="23"/>
      <c r="BG64" s="23"/>
      <c r="BH64" s="23"/>
      <c r="BI64" s="23"/>
      <c r="BJ64" s="18"/>
    </row>
    <row r="65" spans="1:62" ht="24.95" customHeight="1" x14ac:dyDescent="0.25">
      <c r="A65" s="23">
        <v>64</v>
      </c>
      <c r="B65" s="141">
        <v>2526113</v>
      </c>
      <c r="C65" s="141" t="s">
        <v>1667</v>
      </c>
      <c r="D65" s="142" t="s">
        <v>1668</v>
      </c>
      <c r="E65" s="23" t="s">
        <v>1612</v>
      </c>
      <c r="F65" s="23" t="s">
        <v>1537</v>
      </c>
      <c r="G65" s="141" t="s">
        <v>1613</v>
      </c>
      <c r="H65" s="141" t="s">
        <v>1614</v>
      </c>
      <c r="I65" s="60" t="s">
        <v>76</v>
      </c>
      <c r="J65" s="61" t="s">
        <v>77</v>
      </c>
      <c r="K65" s="61" t="s">
        <v>78</v>
      </c>
      <c r="L65" s="61" t="s">
        <v>79</v>
      </c>
      <c r="M65" s="141">
        <v>80</v>
      </c>
      <c r="N65" s="18" t="str">
        <f t="shared" si="0"/>
        <v>Mencapai kompetensi dengan baik dalam hal</v>
      </c>
      <c r="O65" s="141">
        <v>77</v>
      </c>
      <c r="P65" s="18" t="str">
        <f t="shared" si="1"/>
        <v>Mencapai kompetensi dengan baik dalam hal</v>
      </c>
      <c r="Q65" s="141">
        <v>80</v>
      </c>
      <c r="R65" s="18" t="str">
        <f t="shared" si="2"/>
        <v>Mencapai kompetensi dengan baik dalam hal</v>
      </c>
      <c r="S65" s="141">
        <v>79</v>
      </c>
      <c r="T65" s="18" t="str">
        <f t="shared" si="3"/>
        <v>Mencapai kompetensi dengan baik dalam hal</v>
      </c>
      <c r="U65" s="141">
        <v>86</v>
      </c>
      <c r="V65" s="18" t="str">
        <f t="shared" si="4"/>
        <v>Mencapai kompetensi dengan baik dalam hal</v>
      </c>
      <c r="W65" s="141">
        <v>80</v>
      </c>
      <c r="X65" s="18" t="str">
        <f t="shared" si="5"/>
        <v>Mencapai kompetensi dengan baik dalam hal</v>
      </c>
      <c r="Y65" s="141">
        <v>77</v>
      </c>
      <c r="Z65" s="18" t="str">
        <f t="shared" si="6"/>
        <v>Mencapai kompetensi dengan baik dalam hal</v>
      </c>
      <c r="AA65" s="141">
        <v>80</v>
      </c>
      <c r="AB65" s="18" t="str">
        <f t="shared" si="7"/>
        <v>Mencapai kompetensi dengan baik dalam hal</v>
      </c>
      <c r="AC65" s="141">
        <v>81</v>
      </c>
      <c r="AD65" s="18" t="str">
        <f t="shared" si="8"/>
        <v>Mencapai kompetensi dengan baik dalam hal</v>
      </c>
      <c r="AE65" s="141">
        <v>88</v>
      </c>
      <c r="AF65" s="18" t="str">
        <f t="shared" si="9"/>
        <v>Mencapai kompetensi dengan baik dalam hal</v>
      </c>
      <c r="AG65" s="141">
        <v>84</v>
      </c>
      <c r="AH65" s="18" t="str">
        <f t="shared" si="20"/>
        <v>Mencapai kompetensi dengan baik dalam hal</v>
      </c>
      <c r="AI65" s="141">
        <v>86</v>
      </c>
      <c r="AJ65" s="18" t="str">
        <f t="shared" si="21"/>
        <v>Mencapai kompetensi dengan baik dalam hal</v>
      </c>
      <c r="AK65" s="141">
        <v>85</v>
      </c>
      <c r="AL65" s="18" t="str">
        <f t="shared" si="22"/>
        <v>Mencapai kompetensi dengan baik dalam hal</v>
      </c>
      <c r="AM65" s="18" t="e">
        <f>VLOOKUP(#REF!,grades2,2,TRUE)</f>
        <v>#REF!</v>
      </c>
      <c r="AN65" s="62">
        <f t="shared" si="17"/>
        <v>85</v>
      </c>
      <c r="AO65" s="141">
        <v>81</v>
      </c>
      <c r="AP65" s="18" t="str">
        <f t="shared" si="13"/>
        <v>Mencapai kompetensi dengan baik dalam hal</v>
      </c>
      <c r="AQ65" s="141">
        <v>76</v>
      </c>
      <c r="AR65" s="18" t="str">
        <f t="shared" si="14"/>
        <v>Mencapai kompetensi dengan baik dalam hal</v>
      </c>
      <c r="AS65" s="113" t="s">
        <v>81</v>
      </c>
      <c r="AT65" s="113">
        <v>1</v>
      </c>
      <c r="AU65" s="113" t="s">
        <v>81</v>
      </c>
      <c r="AV65" s="23">
        <v>1</v>
      </c>
      <c r="AW65" s="23" t="s">
        <v>82</v>
      </c>
      <c r="AX65" s="18" t="s">
        <v>83</v>
      </c>
      <c r="AY65" s="23" t="s">
        <v>86</v>
      </c>
      <c r="AZ65" s="18" t="str">
        <f t="shared" si="18"/>
        <v>Sangat baik</v>
      </c>
      <c r="BA65" s="23">
        <v>2</v>
      </c>
      <c r="BB65" s="18" t="s">
        <v>162</v>
      </c>
      <c r="BC65" s="18" t="s">
        <v>83</v>
      </c>
      <c r="BD65" s="23" t="s">
        <v>84</v>
      </c>
      <c r="BE65" s="18" t="str">
        <f t="shared" si="19"/>
        <v>Baik</v>
      </c>
      <c r="BF65" s="23"/>
      <c r="BG65" s="23"/>
      <c r="BH65" s="23"/>
      <c r="BI65" s="23"/>
      <c r="BJ65" s="18"/>
    </row>
    <row r="66" spans="1:62" ht="24.95" customHeight="1" x14ac:dyDescent="0.25">
      <c r="A66" s="23">
        <v>65</v>
      </c>
      <c r="B66" s="141">
        <v>2526114</v>
      </c>
      <c r="C66" s="141" t="s">
        <v>1669</v>
      </c>
      <c r="D66" s="142" t="s">
        <v>1670</v>
      </c>
      <c r="E66" s="23" t="s">
        <v>1612</v>
      </c>
      <c r="F66" s="23" t="s">
        <v>1537</v>
      </c>
      <c r="G66" s="141" t="s">
        <v>1613</v>
      </c>
      <c r="H66" s="141" t="s">
        <v>1614</v>
      </c>
      <c r="I66" s="60" t="s">
        <v>76</v>
      </c>
      <c r="J66" s="61" t="s">
        <v>77</v>
      </c>
      <c r="K66" s="61" t="s">
        <v>78</v>
      </c>
      <c r="L66" s="61" t="s">
        <v>79</v>
      </c>
      <c r="M66" s="141">
        <v>77</v>
      </c>
      <c r="N66" s="18" t="str">
        <f t="shared" si="0"/>
        <v>Mencapai kompetensi dengan baik dalam hal</v>
      </c>
      <c r="O66" s="141">
        <v>78</v>
      </c>
      <c r="P66" s="18" t="str">
        <f t="shared" si="1"/>
        <v>Mencapai kompetensi dengan baik dalam hal</v>
      </c>
      <c r="Q66" s="141">
        <v>81</v>
      </c>
      <c r="R66" s="18" t="str">
        <f t="shared" si="2"/>
        <v>Mencapai kompetensi dengan baik dalam hal</v>
      </c>
      <c r="S66" s="141">
        <v>79</v>
      </c>
      <c r="T66" s="18" t="str">
        <f t="shared" si="3"/>
        <v>Mencapai kompetensi dengan baik dalam hal</v>
      </c>
      <c r="U66" s="141">
        <v>87</v>
      </c>
      <c r="V66" s="18" t="str">
        <f t="shared" si="4"/>
        <v>Mencapai kompetensi dengan baik dalam hal</v>
      </c>
      <c r="W66" s="141">
        <v>82</v>
      </c>
      <c r="X66" s="18" t="str">
        <f t="shared" si="5"/>
        <v>Mencapai kompetensi dengan baik dalam hal</v>
      </c>
      <c r="Y66" s="141">
        <v>75</v>
      </c>
      <c r="Z66" s="18" t="str">
        <f t="shared" si="6"/>
        <v>Mencapai kompetensi dengan baik dalam hal</v>
      </c>
      <c r="AA66" s="141">
        <v>79</v>
      </c>
      <c r="AB66" s="18" t="str">
        <f t="shared" si="7"/>
        <v>Mencapai kompetensi dengan baik dalam hal</v>
      </c>
      <c r="AC66" s="141">
        <v>86</v>
      </c>
      <c r="AD66" s="18" t="str">
        <f t="shared" si="8"/>
        <v>Mencapai kompetensi dengan baik dalam hal</v>
      </c>
      <c r="AE66" s="141">
        <v>83</v>
      </c>
      <c r="AF66" s="18" t="str">
        <f t="shared" si="9"/>
        <v>Mencapai kompetensi dengan baik dalam hal</v>
      </c>
      <c r="AG66" s="141">
        <v>84</v>
      </c>
      <c r="AH66" s="18" t="str">
        <f t="shared" si="20"/>
        <v>Mencapai kompetensi dengan baik dalam hal</v>
      </c>
      <c r="AI66" s="141">
        <v>87</v>
      </c>
      <c r="AJ66" s="18" t="str">
        <f t="shared" si="21"/>
        <v>Mencapai kompetensi dengan baik dalam hal</v>
      </c>
      <c r="AK66" s="141">
        <v>88</v>
      </c>
      <c r="AL66" s="18" t="str">
        <f t="shared" si="22"/>
        <v>Mencapai kompetensi dengan baik dalam hal</v>
      </c>
      <c r="AM66" s="18" t="e">
        <f>VLOOKUP(#REF!,grades2,2,TRUE)</f>
        <v>#REF!</v>
      </c>
      <c r="AN66" s="62">
        <f t="shared" si="17"/>
        <v>86.333333333333329</v>
      </c>
      <c r="AO66" s="141">
        <v>86</v>
      </c>
      <c r="AP66" s="18" t="str">
        <f t="shared" ref="AP66:AP73" si="23">VLOOKUP(AO66,grades2,2,TRUE)</f>
        <v>Mencapai kompetensi dengan baik dalam hal</v>
      </c>
      <c r="AQ66" s="141">
        <v>76</v>
      </c>
      <c r="AR66" s="18" t="str">
        <f t="shared" si="14"/>
        <v>Mencapai kompetensi dengan baik dalam hal</v>
      </c>
      <c r="AS66" s="113" t="s">
        <v>81</v>
      </c>
      <c r="AT66" s="113" t="s">
        <v>81</v>
      </c>
      <c r="AU66" s="113" t="s">
        <v>81</v>
      </c>
      <c r="AV66" s="23">
        <v>1</v>
      </c>
      <c r="AW66" s="23" t="s">
        <v>82</v>
      </c>
      <c r="AX66" s="18" t="s">
        <v>83</v>
      </c>
      <c r="AY66" s="23" t="s">
        <v>86</v>
      </c>
      <c r="AZ66" s="18" t="str">
        <f t="shared" ref="AZ66:AZ73" si="24">VLOOKUP(AY66,grades4,2,TRUE)</f>
        <v>Sangat baik</v>
      </c>
      <c r="BA66" s="23">
        <v>2</v>
      </c>
      <c r="BB66" s="18" t="s">
        <v>108</v>
      </c>
      <c r="BC66" s="18" t="s">
        <v>83</v>
      </c>
      <c r="BD66" s="23" t="s">
        <v>86</v>
      </c>
      <c r="BE66" s="18" t="str">
        <f t="shared" ref="BE66:BE73" si="25">VLOOKUP(BD66,grades4,2,TRUE)</f>
        <v>Sangat baik</v>
      </c>
      <c r="BF66" s="23"/>
      <c r="BG66" s="23"/>
      <c r="BH66" s="23"/>
      <c r="BI66" s="23"/>
      <c r="BJ66" s="18"/>
    </row>
    <row r="67" spans="1:62" ht="24.95" customHeight="1" x14ac:dyDescent="0.25">
      <c r="A67" s="23">
        <v>66</v>
      </c>
      <c r="B67" s="141">
        <v>2526115</v>
      </c>
      <c r="C67" s="141" t="s">
        <v>1671</v>
      </c>
      <c r="D67" s="142" t="s">
        <v>1672</v>
      </c>
      <c r="E67" s="23" t="s">
        <v>1612</v>
      </c>
      <c r="F67" s="23" t="s">
        <v>1537</v>
      </c>
      <c r="G67" s="141" t="s">
        <v>1613</v>
      </c>
      <c r="H67" s="141" t="s">
        <v>1614</v>
      </c>
      <c r="I67" s="60" t="s">
        <v>76</v>
      </c>
      <c r="J67" s="61" t="s">
        <v>77</v>
      </c>
      <c r="K67" s="61" t="s">
        <v>78</v>
      </c>
      <c r="L67" s="61" t="s">
        <v>79</v>
      </c>
      <c r="M67" s="141">
        <v>78</v>
      </c>
      <c r="N67" s="18" t="str">
        <f t="shared" si="0"/>
        <v>Mencapai kompetensi dengan baik dalam hal</v>
      </c>
      <c r="O67" s="141">
        <v>76</v>
      </c>
      <c r="P67" s="18" t="str">
        <f t="shared" si="1"/>
        <v>Mencapai kompetensi dengan baik dalam hal</v>
      </c>
      <c r="Q67" s="141">
        <v>80</v>
      </c>
      <c r="R67" s="18" t="str">
        <f t="shared" si="2"/>
        <v>Mencapai kompetensi dengan baik dalam hal</v>
      </c>
      <c r="S67" s="141">
        <v>78</v>
      </c>
      <c r="T67" s="18" t="str">
        <f t="shared" si="3"/>
        <v>Mencapai kompetensi dengan baik dalam hal</v>
      </c>
      <c r="U67" s="141">
        <v>76</v>
      </c>
      <c r="V67" s="18" t="str">
        <f t="shared" si="4"/>
        <v>Mencapai kompetensi dengan baik dalam hal</v>
      </c>
      <c r="W67" s="141">
        <v>80</v>
      </c>
      <c r="X67" s="18" t="str">
        <f t="shared" si="5"/>
        <v>Mencapai kompetensi dengan baik dalam hal</v>
      </c>
      <c r="Y67" s="141">
        <v>79</v>
      </c>
      <c r="Z67" s="18" t="str">
        <f t="shared" si="6"/>
        <v>Mencapai kompetensi dengan baik dalam hal</v>
      </c>
      <c r="AA67" s="141">
        <v>81</v>
      </c>
      <c r="AB67" s="18" t="str">
        <f t="shared" si="7"/>
        <v>Mencapai kompetensi dengan baik dalam hal</v>
      </c>
      <c r="AC67" s="141">
        <v>80</v>
      </c>
      <c r="AD67" s="18" t="str">
        <f t="shared" si="8"/>
        <v>Mencapai kompetensi dengan baik dalam hal</v>
      </c>
      <c r="AE67" s="141">
        <v>85</v>
      </c>
      <c r="AF67" s="18" t="str">
        <f t="shared" si="9"/>
        <v>Mencapai kompetensi dengan baik dalam hal</v>
      </c>
      <c r="AG67" s="141">
        <v>83</v>
      </c>
      <c r="AH67" s="18" t="str">
        <f t="shared" si="20"/>
        <v>Mencapai kompetensi dengan baik dalam hal</v>
      </c>
      <c r="AI67" s="141">
        <v>84</v>
      </c>
      <c r="AJ67" s="18" t="str">
        <f t="shared" si="21"/>
        <v>Mencapai kompetensi dengan baik dalam hal</v>
      </c>
      <c r="AK67" s="141">
        <v>84</v>
      </c>
      <c r="AL67" s="18" t="str">
        <f t="shared" si="22"/>
        <v>Mencapai kompetensi dengan baik dalam hal</v>
      </c>
      <c r="AM67" s="18" t="e">
        <f>VLOOKUP(#REF!,grades2,2,TRUE)</f>
        <v>#REF!</v>
      </c>
      <c r="AN67" s="62">
        <f t="shared" ref="AN67:AN73" si="26">AVERAGE(AK67,AI67,AG67)</f>
        <v>83.666666666666671</v>
      </c>
      <c r="AO67" s="141">
        <v>80</v>
      </c>
      <c r="AP67" s="18" t="str">
        <f t="shared" si="23"/>
        <v>Mencapai kompetensi dengan baik dalam hal</v>
      </c>
      <c r="AQ67" s="141">
        <v>76</v>
      </c>
      <c r="AR67" s="18" t="str">
        <f t="shared" si="14"/>
        <v>Mencapai kompetensi dengan baik dalam hal</v>
      </c>
      <c r="AS67" s="113">
        <v>1</v>
      </c>
      <c r="AT67" s="113" t="s">
        <v>81</v>
      </c>
      <c r="AU67" s="113" t="s">
        <v>81</v>
      </c>
      <c r="AV67" s="23">
        <v>1</v>
      </c>
      <c r="AW67" s="23" t="s">
        <v>82</v>
      </c>
      <c r="AX67" s="18" t="s">
        <v>83</v>
      </c>
      <c r="AY67" s="23" t="s">
        <v>84</v>
      </c>
      <c r="AZ67" s="18" t="str">
        <f t="shared" si="24"/>
        <v>Baik</v>
      </c>
      <c r="BA67" s="23">
        <v>2</v>
      </c>
      <c r="BB67" s="18" t="s">
        <v>227</v>
      </c>
      <c r="BC67" s="18" t="s">
        <v>83</v>
      </c>
      <c r="BD67" s="23" t="s">
        <v>84</v>
      </c>
      <c r="BE67" s="18" t="str">
        <f t="shared" si="25"/>
        <v>Baik</v>
      </c>
      <c r="BF67" s="23"/>
      <c r="BG67" s="23"/>
      <c r="BH67" s="23"/>
      <c r="BI67" s="23"/>
      <c r="BJ67" s="18"/>
    </row>
    <row r="68" spans="1:62" ht="24.95" customHeight="1" x14ac:dyDescent="0.25">
      <c r="A68" s="23">
        <v>67</v>
      </c>
      <c r="B68" s="141">
        <v>2526116</v>
      </c>
      <c r="C68" s="141" t="s">
        <v>1673</v>
      </c>
      <c r="D68" s="142" t="s">
        <v>1674</v>
      </c>
      <c r="E68" s="23" t="s">
        <v>1612</v>
      </c>
      <c r="F68" s="23" t="s">
        <v>1537</v>
      </c>
      <c r="G68" s="141" t="s">
        <v>1613</v>
      </c>
      <c r="H68" s="141" t="s">
        <v>1614</v>
      </c>
      <c r="I68" s="60" t="s">
        <v>76</v>
      </c>
      <c r="J68" s="61" t="s">
        <v>77</v>
      </c>
      <c r="K68" s="61" t="s">
        <v>78</v>
      </c>
      <c r="L68" s="61" t="s">
        <v>79</v>
      </c>
      <c r="M68" s="141">
        <v>78</v>
      </c>
      <c r="N68" s="18" t="str">
        <f t="shared" si="0"/>
        <v>Mencapai kompetensi dengan baik dalam hal</v>
      </c>
      <c r="O68" s="141">
        <v>78</v>
      </c>
      <c r="P68" s="18" t="str">
        <f t="shared" si="1"/>
        <v>Mencapai kompetensi dengan baik dalam hal</v>
      </c>
      <c r="Q68" s="141">
        <v>80</v>
      </c>
      <c r="R68" s="18" t="str">
        <f t="shared" si="2"/>
        <v>Mencapai kompetensi dengan baik dalam hal</v>
      </c>
      <c r="S68" s="141">
        <v>80</v>
      </c>
      <c r="T68" s="18" t="str">
        <f t="shared" si="3"/>
        <v>Mencapai kompetensi dengan baik dalam hal</v>
      </c>
      <c r="U68" s="141">
        <v>87</v>
      </c>
      <c r="V68" s="18" t="str">
        <f t="shared" si="4"/>
        <v>Mencapai kompetensi dengan baik dalam hal</v>
      </c>
      <c r="W68" s="141">
        <v>83</v>
      </c>
      <c r="X68" s="18" t="str">
        <f t="shared" si="5"/>
        <v>Mencapai kompetensi dengan baik dalam hal</v>
      </c>
      <c r="Y68" s="141">
        <v>76</v>
      </c>
      <c r="Z68" s="18" t="str">
        <f t="shared" si="6"/>
        <v>Mencapai kompetensi dengan baik dalam hal</v>
      </c>
      <c r="AA68" s="141">
        <v>78</v>
      </c>
      <c r="AB68" s="18" t="str">
        <f t="shared" si="7"/>
        <v>Mencapai kompetensi dengan baik dalam hal</v>
      </c>
      <c r="AC68" s="141">
        <v>88</v>
      </c>
      <c r="AD68" s="18" t="str">
        <f t="shared" si="8"/>
        <v>Mencapai kompetensi dengan baik dalam hal</v>
      </c>
      <c r="AE68" s="141">
        <v>85</v>
      </c>
      <c r="AF68" s="18" t="str">
        <f t="shared" si="9"/>
        <v>Mencapai kompetensi dengan baik dalam hal</v>
      </c>
      <c r="AG68" s="141">
        <v>83</v>
      </c>
      <c r="AH68" s="18" t="str">
        <f t="shared" si="20"/>
        <v>Mencapai kompetensi dengan baik dalam hal</v>
      </c>
      <c r="AI68" s="141">
        <v>85</v>
      </c>
      <c r="AJ68" s="18" t="str">
        <f t="shared" si="21"/>
        <v>Mencapai kompetensi dengan baik dalam hal</v>
      </c>
      <c r="AK68" s="141">
        <v>86</v>
      </c>
      <c r="AL68" s="18" t="str">
        <f t="shared" si="22"/>
        <v>Mencapai kompetensi dengan baik dalam hal</v>
      </c>
      <c r="AM68" s="18" t="e">
        <f>VLOOKUP(#REF!,grades2,2,TRUE)</f>
        <v>#REF!</v>
      </c>
      <c r="AN68" s="62">
        <f t="shared" si="26"/>
        <v>84.666666666666671</v>
      </c>
      <c r="AO68" s="141">
        <v>88</v>
      </c>
      <c r="AP68" s="18" t="str">
        <f t="shared" si="23"/>
        <v>Mencapai kompetensi dengan baik dalam hal</v>
      </c>
      <c r="AQ68" s="141">
        <v>78</v>
      </c>
      <c r="AR68" s="18" t="str">
        <f t="shared" si="14"/>
        <v>Mencapai kompetensi dengan baik dalam hal</v>
      </c>
      <c r="AS68" s="113">
        <v>1</v>
      </c>
      <c r="AT68" s="113" t="s">
        <v>81</v>
      </c>
      <c r="AU68" s="113" t="s">
        <v>81</v>
      </c>
      <c r="AV68" s="23">
        <v>1</v>
      </c>
      <c r="AW68" s="23" t="s">
        <v>82</v>
      </c>
      <c r="AX68" s="18" t="s">
        <v>83</v>
      </c>
      <c r="AY68" s="23" t="s">
        <v>86</v>
      </c>
      <c r="AZ68" s="18" t="str">
        <f t="shared" si="24"/>
        <v>Sangat baik</v>
      </c>
      <c r="BA68" s="23">
        <v>2</v>
      </c>
      <c r="BB68" s="18" t="s">
        <v>429</v>
      </c>
      <c r="BC68" s="18" t="s">
        <v>83</v>
      </c>
      <c r="BD68" s="23" t="s">
        <v>86</v>
      </c>
      <c r="BE68" s="18" t="str">
        <f t="shared" si="25"/>
        <v>Sangat baik</v>
      </c>
      <c r="BF68" s="23"/>
      <c r="BG68" s="23"/>
      <c r="BH68" s="23"/>
      <c r="BI68" s="23"/>
      <c r="BJ68" s="18"/>
    </row>
    <row r="69" spans="1:62" ht="24.95" customHeight="1" x14ac:dyDescent="0.25">
      <c r="A69" s="23">
        <v>68</v>
      </c>
      <c r="B69" s="141">
        <v>2526117</v>
      </c>
      <c r="C69" s="141" t="s">
        <v>1675</v>
      </c>
      <c r="D69" s="142" t="s">
        <v>1676</v>
      </c>
      <c r="E69" s="23" t="s">
        <v>1612</v>
      </c>
      <c r="F69" s="23" t="s">
        <v>1537</v>
      </c>
      <c r="G69" s="141" t="s">
        <v>1613</v>
      </c>
      <c r="H69" s="141" t="s">
        <v>1614</v>
      </c>
      <c r="I69" s="60" t="s">
        <v>76</v>
      </c>
      <c r="J69" s="61" t="s">
        <v>77</v>
      </c>
      <c r="K69" s="61" t="s">
        <v>78</v>
      </c>
      <c r="L69" s="61" t="s">
        <v>79</v>
      </c>
      <c r="M69" s="141">
        <v>78</v>
      </c>
      <c r="N69" s="18" t="str">
        <f t="shared" ref="N69:N73" si="27">VLOOKUP(M69,grades1,2,TRUE)</f>
        <v>Mencapai kompetensi dengan baik dalam hal</v>
      </c>
      <c r="O69" s="141">
        <v>81</v>
      </c>
      <c r="P69" s="18" t="str">
        <f t="shared" ref="P69:P73" si="28">VLOOKUP(O69,grades1,2,TRUE)</f>
        <v>Mencapai kompetensi dengan baik dalam hal</v>
      </c>
      <c r="Q69" s="141">
        <v>80</v>
      </c>
      <c r="R69" s="18" t="str">
        <f t="shared" ref="R69:R73" si="29">VLOOKUP(Q69,grades1,2,TRUE)</f>
        <v>Mencapai kompetensi dengan baik dalam hal</v>
      </c>
      <c r="S69" s="141">
        <v>78</v>
      </c>
      <c r="T69" s="18" t="str">
        <f t="shared" ref="T69:T73" si="30">VLOOKUP(S69,grades1,2,TRUE)</f>
        <v>Mencapai kompetensi dengan baik dalam hal</v>
      </c>
      <c r="U69" s="141">
        <v>79</v>
      </c>
      <c r="V69" s="18" t="str">
        <f t="shared" ref="V69:V73" si="31">VLOOKUP(U69,grades1,2,TRUE)</f>
        <v>Mencapai kompetensi dengan baik dalam hal</v>
      </c>
      <c r="W69" s="141">
        <v>83</v>
      </c>
      <c r="X69" s="18" t="str">
        <f t="shared" ref="X69:X73" si="32">VLOOKUP(W69,grades1,2,TRUE)</f>
        <v>Mencapai kompetensi dengan baik dalam hal</v>
      </c>
      <c r="Y69" s="141">
        <v>75</v>
      </c>
      <c r="Z69" s="18" t="str">
        <f t="shared" ref="Z69:Z73" si="33">VLOOKUP(Y69,grades1,2,TRUE)</f>
        <v>Mencapai kompetensi dengan baik dalam hal</v>
      </c>
      <c r="AA69" s="141">
        <v>81</v>
      </c>
      <c r="AB69" s="18" t="str">
        <f t="shared" ref="AB69:AB73" si="34">VLOOKUP(AA69,grades1,2,TRUE)</f>
        <v>Mencapai kompetensi dengan baik dalam hal</v>
      </c>
      <c r="AC69" s="141">
        <v>88</v>
      </c>
      <c r="AD69" s="18" t="str">
        <f t="shared" ref="AD69:AD73" si="35">VLOOKUP(AC69,grades1,2,TRUE)</f>
        <v>Mencapai kompetensi dengan baik dalam hal</v>
      </c>
      <c r="AE69" s="141">
        <v>90</v>
      </c>
      <c r="AF69" s="18" t="str">
        <f t="shared" ref="AF69:AF73" si="36">VLOOKUP(AE69,grades1,2,TRUE)</f>
        <v>Mencapai kompetensi dengan sangat baik dalam hal</v>
      </c>
      <c r="AG69" s="141">
        <v>83</v>
      </c>
      <c r="AH69" s="18" t="str">
        <f t="shared" ref="AH69:AH73" si="37">VLOOKUP(AG69,grades2,2,TRUE)</f>
        <v>Mencapai kompetensi dengan baik dalam hal</v>
      </c>
      <c r="AI69" s="141">
        <v>85</v>
      </c>
      <c r="AJ69" s="18" t="str">
        <f t="shared" ref="AJ69:AJ73" si="38">VLOOKUP(AI69,grades2,2,TRUE)</f>
        <v>Mencapai kompetensi dengan baik dalam hal</v>
      </c>
      <c r="AK69" s="141">
        <v>85</v>
      </c>
      <c r="AL69" s="18" t="str">
        <f t="shared" ref="AL69:AL73" si="39">VLOOKUP(AK69,grades2,2,TRUE)</f>
        <v>Mencapai kompetensi dengan baik dalam hal</v>
      </c>
      <c r="AM69" s="18" t="e">
        <f>VLOOKUP(#REF!,grades2,2,TRUE)</f>
        <v>#REF!</v>
      </c>
      <c r="AN69" s="62">
        <f t="shared" si="26"/>
        <v>84.333333333333329</v>
      </c>
      <c r="AO69" s="141">
        <v>88</v>
      </c>
      <c r="AP69" s="18" t="str">
        <f t="shared" si="23"/>
        <v>Mencapai kompetensi dengan baik dalam hal</v>
      </c>
      <c r="AQ69" s="141">
        <v>76</v>
      </c>
      <c r="AR69" s="18" t="str">
        <f t="shared" ref="AR69:AR73" si="40">VLOOKUP(AQ69,grades1,2,TRUE)</f>
        <v>Mencapai kompetensi dengan baik dalam hal</v>
      </c>
      <c r="AS69" s="113">
        <v>1</v>
      </c>
      <c r="AT69" s="113" t="s">
        <v>81</v>
      </c>
      <c r="AU69" s="113" t="s">
        <v>81</v>
      </c>
      <c r="AV69" s="23">
        <v>1</v>
      </c>
      <c r="AW69" s="23" t="s">
        <v>82</v>
      </c>
      <c r="AX69" s="18" t="s">
        <v>83</v>
      </c>
      <c r="AY69" s="23" t="s">
        <v>84</v>
      </c>
      <c r="AZ69" s="18" t="str">
        <f t="shared" si="24"/>
        <v>Baik</v>
      </c>
      <c r="BA69" s="23">
        <v>2</v>
      </c>
      <c r="BB69" s="18" t="s">
        <v>134</v>
      </c>
      <c r="BC69" s="18" t="s">
        <v>83</v>
      </c>
      <c r="BD69" s="23" t="s">
        <v>84</v>
      </c>
      <c r="BE69" s="18" t="str">
        <f t="shared" si="25"/>
        <v>Baik</v>
      </c>
      <c r="BF69" s="23"/>
      <c r="BG69" s="23"/>
      <c r="BH69" s="23"/>
      <c r="BI69" s="23"/>
      <c r="BJ69" s="18"/>
    </row>
    <row r="70" spans="1:62" ht="24.95" customHeight="1" x14ac:dyDescent="0.25">
      <c r="A70" s="23">
        <v>69</v>
      </c>
      <c r="B70" s="141">
        <v>2526118</v>
      </c>
      <c r="C70" s="141" t="s">
        <v>1677</v>
      </c>
      <c r="D70" s="142" t="s">
        <v>1678</v>
      </c>
      <c r="E70" s="23" t="s">
        <v>1612</v>
      </c>
      <c r="F70" s="23" t="s">
        <v>1537</v>
      </c>
      <c r="G70" s="141" t="s">
        <v>1613</v>
      </c>
      <c r="H70" s="141" t="s">
        <v>1614</v>
      </c>
      <c r="I70" s="60" t="s">
        <v>76</v>
      </c>
      <c r="J70" s="61" t="s">
        <v>77</v>
      </c>
      <c r="K70" s="61" t="s">
        <v>78</v>
      </c>
      <c r="L70" s="61" t="s">
        <v>79</v>
      </c>
      <c r="M70" s="141">
        <v>80</v>
      </c>
      <c r="N70" s="18" t="str">
        <f t="shared" si="27"/>
        <v>Mencapai kompetensi dengan baik dalam hal</v>
      </c>
      <c r="O70" s="141">
        <v>79</v>
      </c>
      <c r="P70" s="18" t="str">
        <f t="shared" si="28"/>
        <v>Mencapai kompetensi dengan baik dalam hal</v>
      </c>
      <c r="Q70" s="141">
        <v>83</v>
      </c>
      <c r="R70" s="18" t="str">
        <f t="shared" si="29"/>
        <v>Mencapai kompetensi dengan baik dalam hal</v>
      </c>
      <c r="S70" s="141">
        <v>78</v>
      </c>
      <c r="T70" s="18" t="str">
        <f t="shared" si="30"/>
        <v>Mencapai kompetensi dengan baik dalam hal</v>
      </c>
      <c r="U70" s="141">
        <v>87</v>
      </c>
      <c r="V70" s="18" t="str">
        <f t="shared" si="31"/>
        <v>Mencapai kompetensi dengan baik dalam hal</v>
      </c>
      <c r="W70" s="141">
        <v>82</v>
      </c>
      <c r="X70" s="18" t="str">
        <f t="shared" si="32"/>
        <v>Mencapai kompetensi dengan baik dalam hal</v>
      </c>
      <c r="Y70" s="141">
        <v>78</v>
      </c>
      <c r="Z70" s="18" t="str">
        <f t="shared" si="33"/>
        <v>Mencapai kompetensi dengan baik dalam hal</v>
      </c>
      <c r="AA70" s="141">
        <v>79</v>
      </c>
      <c r="AB70" s="18" t="str">
        <f t="shared" si="34"/>
        <v>Mencapai kompetensi dengan baik dalam hal</v>
      </c>
      <c r="AC70" s="141">
        <v>88</v>
      </c>
      <c r="AD70" s="18" t="str">
        <f t="shared" si="35"/>
        <v>Mencapai kompetensi dengan baik dalam hal</v>
      </c>
      <c r="AE70" s="141">
        <v>89</v>
      </c>
      <c r="AF70" s="18" t="str">
        <f t="shared" si="36"/>
        <v>Mencapai kompetensi dengan baik dalam hal</v>
      </c>
      <c r="AG70" s="141">
        <v>83</v>
      </c>
      <c r="AH70" s="18" t="str">
        <f t="shared" si="37"/>
        <v>Mencapai kompetensi dengan baik dalam hal</v>
      </c>
      <c r="AI70" s="141">
        <v>87</v>
      </c>
      <c r="AJ70" s="18" t="str">
        <f t="shared" si="38"/>
        <v>Mencapai kompetensi dengan baik dalam hal</v>
      </c>
      <c r="AK70" s="141">
        <v>85</v>
      </c>
      <c r="AL70" s="18" t="str">
        <f t="shared" si="39"/>
        <v>Mencapai kompetensi dengan baik dalam hal</v>
      </c>
      <c r="AM70" s="18" t="e">
        <f>VLOOKUP(#REF!,grades2,2,TRUE)</f>
        <v>#REF!</v>
      </c>
      <c r="AN70" s="62">
        <f t="shared" si="26"/>
        <v>85</v>
      </c>
      <c r="AO70" s="141">
        <v>88</v>
      </c>
      <c r="AP70" s="18" t="str">
        <f t="shared" si="23"/>
        <v>Mencapai kompetensi dengan baik dalam hal</v>
      </c>
      <c r="AQ70" s="141">
        <v>76</v>
      </c>
      <c r="AR70" s="18" t="str">
        <f t="shared" si="40"/>
        <v>Mencapai kompetensi dengan baik dalam hal</v>
      </c>
      <c r="AS70" s="113">
        <v>2</v>
      </c>
      <c r="AT70" s="113" t="s">
        <v>81</v>
      </c>
      <c r="AU70" s="113" t="s">
        <v>81</v>
      </c>
      <c r="AV70" s="23">
        <v>1</v>
      </c>
      <c r="AW70" s="23" t="s">
        <v>82</v>
      </c>
      <c r="AX70" s="18" t="s">
        <v>83</v>
      </c>
      <c r="AY70" s="23" t="s">
        <v>86</v>
      </c>
      <c r="AZ70" s="18" t="str">
        <f t="shared" si="24"/>
        <v>Sangat baik</v>
      </c>
      <c r="BA70" s="23">
        <v>2</v>
      </c>
      <c r="BB70" s="18" t="s">
        <v>227</v>
      </c>
      <c r="BC70" s="18" t="s">
        <v>83</v>
      </c>
      <c r="BD70" s="23" t="s">
        <v>104</v>
      </c>
      <c r="BE70" s="18" t="str">
        <f t="shared" si="25"/>
        <v>Cukup</v>
      </c>
      <c r="BF70" s="23"/>
      <c r="BG70" s="23"/>
      <c r="BH70" s="23"/>
      <c r="BI70" s="23"/>
      <c r="BJ70" s="18"/>
    </row>
    <row r="71" spans="1:62" ht="24.95" customHeight="1" x14ac:dyDescent="0.25">
      <c r="A71" s="23">
        <v>70</v>
      </c>
      <c r="B71" s="141">
        <v>2526119</v>
      </c>
      <c r="C71" s="141" t="s">
        <v>1679</v>
      </c>
      <c r="D71" s="142" t="s">
        <v>1680</v>
      </c>
      <c r="E71" s="23" t="s">
        <v>1612</v>
      </c>
      <c r="F71" s="23" t="s">
        <v>1537</v>
      </c>
      <c r="G71" s="141" t="s">
        <v>1613</v>
      </c>
      <c r="H71" s="141" t="s">
        <v>1614</v>
      </c>
      <c r="I71" s="60" t="s">
        <v>76</v>
      </c>
      <c r="J71" s="61" t="s">
        <v>77</v>
      </c>
      <c r="K71" s="61" t="s">
        <v>78</v>
      </c>
      <c r="L71" s="61" t="s">
        <v>79</v>
      </c>
      <c r="M71" s="141">
        <v>77</v>
      </c>
      <c r="N71" s="18" t="str">
        <f t="shared" si="27"/>
        <v>Mencapai kompetensi dengan baik dalam hal</v>
      </c>
      <c r="O71" s="141">
        <v>76</v>
      </c>
      <c r="P71" s="18" t="str">
        <f t="shared" si="28"/>
        <v>Mencapai kompetensi dengan baik dalam hal</v>
      </c>
      <c r="Q71" s="141">
        <v>79</v>
      </c>
      <c r="R71" s="18" t="str">
        <f t="shared" si="29"/>
        <v>Mencapai kompetensi dengan baik dalam hal</v>
      </c>
      <c r="S71" s="141">
        <v>78</v>
      </c>
      <c r="T71" s="18" t="str">
        <f t="shared" si="30"/>
        <v>Mencapai kompetensi dengan baik dalam hal</v>
      </c>
      <c r="U71" s="141">
        <v>81</v>
      </c>
      <c r="V71" s="18" t="str">
        <f t="shared" si="31"/>
        <v>Mencapai kompetensi dengan baik dalam hal</v>
      </c>
      <c r="W71" s="141">
        <v>80</v>
      </c>
      <c r="X71" s="18" t="str">
        <f t="shared" si="32"/>
        <v>Mencapai kompetensi dengan baik dalam hal</v>
      </c>
      <c r="Y71" s="141">
        <v>75</v>
      </c>
      <c r="Z71" s="18" t="str">
        <f t="shared" si="33"/>
        <v>Mencapai kompetensi dengan baik dalam hal</v>
      </c>
      <c r="AA71" s="141">
        <v>77</v>
      </c>
      <c r="AB71" s="18" t="str">
        <f t="shared" si="34"/>
        <v>Mencapai kompetensi dengan baik dalam hal</v>
      </c>
      <c r="AC71" s="141">
        <v>77</v>
      </c>
      <c r="AD71" s="18" t="str">
        <f t="shared" si="35"/>
        <v>Mencapai kompetensi dengan baik dalam hal</v>
      </c>
      <c r="AE71" s="141">
        <v>82</v>
      </c>
      <c r="AF71" s="18" t="str">
        <f t="shared" si="36"/>
        <v>Mencapai kompetensi dengan baik dalam hal</v>
      </c>
      <c r="AG71" s="141">
        <v>83</v>
      </c>
      <c r="AH71" s="18" t="str">
        <f t="shared" si="37"/>
        <v>Mencapai kompetensi dengan baik dalam hal</v>
      </c>
      <c r="AI71" s="141">
        <v>84</v>
      </c>
      <c r="AJ71" s="18" t="str">
        <f t="shared" si="38"/>
        <v>Mencapai kompetensi dengan baik dalam hal</v>
      </c>
      <c r="AK71" s="141">
        <v>81</v>
      </c>
      <c r="AL71" s="18" t="str">
        <f t="shared" si="39"/>
        <v>Mencapai kompetensi dengan baik dalam hal</v>
      </c>
      <c r="AM71" s="18" t="e">
        <f>VLOOKUP(#REF!,grades2,2,TRUE)</f>
        <v>#REF!</v>
      </c>
      <c r="AN71" s="62">
        <f t="shared" si="26"/>
        <v>82.666666666666671</v>
      </c>
      <c r="AO71" s="141">
        <v>77</v>
      </c>
      <c r="AP71" s="18" t="str">
        <f t="shared" si="23"/>
        <v>Perlu peningkatan dalam hal</v>
      </c>
      <c r="AQ71" s="141">
        <v>75</v>
      </c>
      <c r="AR71" s="18" t="str">
        <f t="shared" si="40"/>
        <v>Mencapai kompetensi dengan baik dalam hal</v>
      </c>
      <c r="AS71" s="113" t="s">
        <v>81</v>
      </c>
      <c r="AT71" s="113" t="s">
        <v>81</v>
      </c>
      <c r="AU71" s="113" t="s">
        <v>81</v>
      </c>
      <c r="AV71" s="23">
        <v>1</v>
      </c>
      <c r="AW71" s="23" t="s">
        <v>82</v>
      </c>
      <c r="AX71" s="18" t="s">
        <v>83</v>
      </c>
      <c r="AY71" s="23" t="s">
        <v>84</v>
      </c>
      <c r="AZ71" s="18" t="str">
        <f t="shared" si="24"/>
        <v>Baik</v>
      </c>
      <c r="BA71" s="23">
        <v>2</v>
      </c>
      <c r="BB71" s="18" t="s">
        <v>227</v>
      </c>
      <c r="BC71" s="18" t="s">
        <v>83</v>
      </c>
      <c r="BD71" s="23" t="s">
        <v>84</v>
      </c>
      <c r="BE71" s="18" t="str">
        <f t="shared" si="25"/>
        <v>Baik</v>
      </c>
      <c r="BF71" s="23"/>
      <c r="BG71" s="23"/>
      <c r="BH71" s="23"/>
      <c r="BI71" s="23"/>
      <c r="BJ71" s="18"/>
    </row>
    <row r="72" spans="1:62" ht="24.95" customHeight="1" x14ac:dyDescent="0.25">
      <c r="A72" s="23">
        <v>71</v>
      </c>
      <c r="B72" s="141">
        <v>2526120</v>
      </c>
      <c r="C72" s="141" t="s">
        <v>1681</v>
      </c>
      <c r="D72" s="142" t="s">
        <v>1682</v>
      </c>
      <c r="E72" s="23" t="s">
        <v>1612</v>
      </c>
      <c r="F72" s="23" t="s">
        <v>1537</v>
      </c>
      <c r="G72" s="141" t="s">
        <v>1613</v>
      </c>
      <c r="H72" s="141" t="s">
        <v>1614</v>
      </c>
      <c r="I72" s="60" t="s">
        <v>76</v>
      </c>
      <c r="J72" s="61" t="s">
        <v>77</v>
      </c>
      <c r="K72" s="61" t="s">
        <v>78</v>
      </c>
      <c r="L72" s="61" t="s">
        <v>79</v>
      </c>
      <c r="M72" s="141">
        <v>76</v>
      </c>
      <c r="N72" s="18" t="str">
        <f t="shared" si="27"/>
        <v>Mencapai kompetensi dengan baik dalam hal</v>
      </c>
      <c r="O72" s="141">
        <v>76</v>
      </c>
      <c r="P72" s="18" t="str">
        <f t="shared" si="28"/>
        <v>Mencapai kompetensi dengan baik dalam hal</v>
      </c>
      <c r="Q72" s="141">
        <v>80</v>
      </c>
      <c r="R72" s="18" t="str">
        <f t="shared" si="29"/>
        <v>Mencapai kompetensi dengan baik dalam hal</v>
      </c>
      <c r="S72" s="141">
        <v>78</v>
      </c>
      <c r="T72" s="18" t="str">
        <f t="shared" si="30"/>
        <v>Mencapai kompetensi dengan baik dalam hal</v>
      </c>
      <c r="U72" s="141">
        <v>77</v>
      </c>
      <c r="V72" s="18" t="str">
        <f t="shared" si="31"/>
        <v>Mencapai kompetensi dengan baik dalam hal</v>
      </c>
      <c r="W72" s="141">
        <v>78</v>
      </c>
      <c r="X72" s="18" t="str">
        <f t="shared" si="32"/>
        <v>Mencapai kompetensi dengan baik dalam hal</v>
      </c>
      <c r="Y72" s="141">
        <v>75</v>
      </c>
      <c r="Z72" s="18" t="str">
        <f t="shared" si="33"/>
        <v>Mencapai kompetensi dengan baik dalam hal</v>
      </c>
      <c r="AA72" s="141">
        <v>76</v>
      </c>
      <c r="AB72" s="18" t="str">
        <f t="shared" si="34"/>
        <v>Mencapai kompetensi dengan baik dalam hal</v>
      </c>
      <c r="AC72" s="141">
        <v>75</v>
      </c>
      <c r="AD72" s="18" t="str">
        <f t="shared" si="35"/>
        <v>Mencapai kompetensi dengan baik dalam hal</v>
      </c>
      <c r="AE72" s="141">
        <v>83</v>
      </c>
      <c r="AF72" s="18" t="str">
        <f t="shared" si="36"/>
        <v>Mencapai kompetensi dengan baik dalam hal</v>
      </c>
      <c r="AG72" s="141">
        <v>83</v>
      </c>
      <c r="AH72" s="18" t="str">
        <f t="shared" si="37"/>
        <v>Mencapai kompetensi dengan baik dalam hal</v>
      </c>
      <c r="AI72" s="141">
        <v>85</v>
      </c>
      <c r="AJ72" s="18" t="str">
        <f t="shared" si="38"/>
        <v>Mencapai kompetensi dengan baik dalam hal</v>
      </c>
      <c r="AK72" s="141">
        <v>84</v>
      </c>
      <c r="AL72" s="18" t="str">
        <f t="shared" si="39"/>
        <v>Mencapai kompetensi dengan baik dalam hal</v>
      </c>
      <c r="AM72" s="18" t="e">
        <f>VLOOKUP(#REF!,grades2,2,TRUE)</f>
        <v>#REF!</v>
      </c>
      <c r="AN72" s="62">
        <f t="shared" si="26"/>
        <v>84</v>
      </c>
      <c r="AO72" s="141">
        <v>75</v>
      </c>
      <c r="AP72" s="18" t="str">
        <f t="shared" si="23"/>
        <v>Perlu peningkatan dalam hal</v>
      </c>
      <c r="AQ72" s="141">
        <v>75</v>
      </c>
      <c r="AR72" s="18" t="str">
        <f t="shared" si="40"/>
        <v>Mencapai kompetensi dengan baik dalam hal</v>
      </c>
      <c r="AS72" s="113">
        <v>1</v>
      </c>
      <c r="AT72" s="113" t="s">
        <v>81</v>
      </c>
      <c r="AU72" s="113" t="s">
        <v>81</v>
      </c>
      <c r="AV72" s="23">
        <v>1</v>
      </c>
      <c r="AW72" s="23" t="s">
        <v>82</v>
      </c>
      <c r="AX72" s="18" t="s">
        <v>83</v>
      </c>
      <c r="AY72" s="23" t="s">
        <v>84</v>
      </c>
      <c r="AZ72" s="18" t="str">
        <f t="shared" si="24"/>
        <v>Baik</v>
      </c>
      <c r="BA72" s="23">
        <v>2</v>
      </c>
      <c r="BB72" s="18" t="s">
        <v>108</v>
      </c>
      <c r="BC72" s="18" t="s">
        <v>83</v>
      </c>
      <c r="BD72" s="23" t="s">
        <v>86</v>
      </c>
      <c r="BE72" s="18" t="str">
        <f t="shared" si="25"/>
        <v>Sangat baik</v>
      </c>
      <c r="BF72" s="23"/>
      <c r="BG72" s="23"/>
      <c r="BH72" s="23"/>
      <c r="BI72" s="23"/>
      <c r="BJ72" s="18"/>
    </row>
    <row r="73" spans="1:62" ht="24.95" customHeight="1" x14ac:dyDescent="0.25">
      <c r="A73" s="23">
        <v>72</v>
      </c>
      <c r="B73" s="141">
        <v>2526121</v>
      </c>
      <c r="C73" s="141" t="s">
        <v>1683</v>
      </c>
      <c r="D73" s="142" t="s">
        <v>1684</v>
      </c>
      <c r="E73" s="23" t="s">
        <v>1612</v>
      </c>
      <c r="F73" s="23" t="s">
        <v>1537</v>
      </c>
      <c r="G73" s="141" t="s">
        <v>1613</v>
      </c>
      <c r="H73" s="141" t="s">
        <v>1614</v>
      </c>
      <c r="I73" s="60" t="s">
        <v>76</v>
      </c>
      <c r="J73" s="61" t="s">
        <v>77</v>
      </c>
      <c r="K73" s="61" t="s">
        <v>78</v>
      </c>
      <c r="L73" s="61" t="s">
        <v>79</v>
      </c>
      <c r="M73" s="141">
        <v>76</v>
      </c>
      <c r="N73" s="18" t="str">
        <f t="shared" si="27"/>
        <v>Mencapai kompetensi dengan baik dalam hal</v>
      </c>
      <c r="O73" s="141">
        <v>76</v>
      </c>
      <c r="P73" s="18" t="str">
        <f t="shared" si="28"/>
        <v>Mencapai kompetensi dengan baik dalam hal</v>
      </c>
      <c r="Q73" s="141">
        <v>80</v>
      </c>
      <c r="R73" s="18" t="str">
        <f t="shared" si="29"/>
        <v>Mencapai kompetensi dengan baik dalam hal</v>
      </c>
      <c r="S73" s="141">
        <v>78</v>
      </c>
      <c r="T73" s="18" t="str">
        <f t="shared" si="30"/>
        <v>Mencapai kompetensi dengan baik dalam hal</v>
      </c>
      <c r="U73" s="141">
        <v>83</v>
      </c>
      <c r="V73" s="18" t="str">
        <f t="shared" si="31"/>
        <v>Mencapai kompetensi dengan baik dalam hal</v>
      </c>
      <c r="W73" s="141">
        <v>80</v>
      </c>
      <c r="X73" s="18" t="str">
        <f t="shared" si="32"/>
        <v>Mencapai kompetensi dengan baik dalam hal</v>
      </c>
      <c r="Y73" s="141">
        <v>75</v>
      </c>
      <c r="Z73" s="18" t="str">
        <f t="shared" si="33"/>
        <v>Mencapai kompetensi dengan baik dalam hal</v>
      </c>
      <c r="AA73" s="141">
        <v>77</v>
      </c>
      <c r="AB73" s="18" t="str">
        <f t="shared" si="34"/>
        <v>Mencapai kompetensi dengan baik dalam hal</v>
      </c>
      <c r="AC73" s="141">
        <v>80</v>
      </c>
      <c r="AD73" s="18" t="str">
        <f t="shared" si="35"/>
        <v>Mencapai kompetensi dengan baik dalam hal</v>
      </c>
      <c r="AE73" s="141">
        <v>82</v>
      </c>
      <c r="AF73" s="18" t="str">
        <f t="shared" si="36"/>
        <v>Mencapai kompetensi dengan baik dalam hal</v>
      </c>
      <c r="AG73" s="141">
        <v>83</v>
      </c>
      <c r="AH73" s="18" t="str">
        <f t="shared" si="37"/>
        <v>Mencapai kompetensi dengan baik dalam hal</v>
      </c>
      <c r="AI73" s="141">
        <v>85</v>
      </c>
      <c r="AJ73" s="18" t="str">
        <f t="shared" si="38"/>
        <v>Mencapai kompetensi dengan baik dalam hal</v>
      </c>
      <c r="AK73" s="141">
        <v>84</v>
      </c>
      <c r="AL73" s="18" t="str">
        <f t="shared" si="39"/>
        <v>Mencapai kompetensi dengan baik dalam hal</v>
      </c>
      <c r="AM73" s="18" t="e">
        <f>VLOOKUP(#REF!,grades2,2,TRUE)</f>
        <v>#REF!</v>
      </c>
      <c r="AN73" s="62">
        <f t="shared" si="26"/>
        <v>84</v>
      </c>
      <c r="AO73" s="141">
        <v>80</v>
      </c>
      <c r="AP73" s="18" t="str">
        <f t="shared" si="23"/>
        <v>Mencapai kompetensi dengan baik dalam hal</v>
      </c>
      <c r="AQ73" s="141">
        <v>75</v>
      </c>
      <c r="AR73" s="18" t="str">
        <f t="shared" si="40"/>
        <v>Mencapai kompetensi dengan baik dalam hal</v>
      </c>
      <c r="AS73" s="113">
        <v>3</v>
      </c>
      <c r="AT73" s="113" t="s">
        <v>81</v>
      </c>
      <c r="AU73" s="113" t="s">
        <v>81</v>
      </c>
      <c r="AV73" s="23">
        <v>1</v>
      </c>
      <c r="AW73" s="23" t="s">
        <v>82</v>
      </c>
      <c r="AX73" s="18" t="s">
        <v>83</v>
      </c>
      <c r="AY73" s="23" t="s">
        <v>84</v>
      </c>
      <c r="AZ73" s="18" t="str">
        <f t="shared" si="24"/>
        <v>Baik</v>
      </c>
      <c r="BA73" s="23">
        <v>2</v>
      </c>
      <c r="BB73" s="18" t="s">
        <v>125</v>
      </c>
      <c r="BC73" s="18" t="s">
        <v>83</v>
      </c>
      <c r="BD73" s="23" t="s">
        <v>104</v>
      </c>
      <c r="BE73" s="18" t="str">
        <f t="shared" si="25"/>
        <v>Cukup</v>
      </c>
      <c r="BF73" s="23"/>
      <c r="BG73" s="23"/>
      <c r="BH73" s="23"/>
      <c r="BI73" s="23"/>
      <c r="BJ73" s="18"/>
    </row>
    <row r="74" spans="1:62" ht="13.5" customHeight="1" thickBot="1" x14ac:dyDescent="0.3">
      <c r="A74" s="38"/>
      <c r="B74" s="143"/>
      <c r="C74" s="143"/>
      <c r="D74" s="144"/>
      <c r="E74" s="38"/>
      <c r="F74" s="38"/>
      <c r="G74" s="143"/>
      <c r="H74" s="143"/>
      <c r="I74" s="63"/>
      <c r="J74" s="44"/>
      <c r="K74" s="44"/>
      <c r="L74" s="44"/>
      <c r="M74" s="143"/>
      <c r="N74" s="46"/>
      <c r="O74" s="143"/>
      <c r="P74" s="46"/>
      <c r="Q74" s="143"/>
      <c r="R74" s="46"/>
      <c r="S74" s="143"/>
      <c r="T74" s="46"/>
      <c r="U74" s="143"/>
      <c r="V74" s="46"/>
      <c r="W74" s="143"/>
      <c r="X74" s="46"/>
      <c r="Y74" s="143"/>
      <c r="Z74" s="46"/>
      <c r="AA74" s="143"/>
      <c r="AB74" s="46"/>
      <c r="AC74" s="143"/>
      <c r="AD74" s="46"/>
      <c r="AE74" s="143"/>
      <c r="AF74" s="46"/>
      <c r="AG74" s="143"/>
      <c r="AH74" s="46"/>
      <c r="AI74" s="143"/>
      <c r="AJ74" s="46"/>
      <c r="AK74" s="143"/>
      <c r="AL74" s="46"/>
      <c r="AM74" s="46"/>
      <c r="AN74" s="46"/>
      <c r="AO74" s="143"/>
      <c r="AP74" s="46"/>
      <c r="AQ74" s="143"/>
      <c r="AR74" s="46"/>
      <c r="AS74" s="47"/>
      <c r="AT74" s="47"/>
      <c r="AU74" s="47"/>
      <c r="AV74" s="38"/>
      <c r="AW74" s="46"/>
      <c r="AX74" s="46"/>
      <c r="AY74" s="143"/>
      <c r="AZ74" s="46"/>
      <c r="BA74" s="38"/>
      <c r="BB74" s="38"/>
      <c r="BC74" s="38"/>
      <c r="BD74" s="38"/>
      <c r="BE74" s="46"/>
      <c r="BF74" s="46"/>
      <c r="BG74" s="143"/>
      <c r="BH74" s="46"/>
      <c r="BI74" s="38"/>
      <c r="BJ74" s="38"/>
    </row>
    <row r="75" spans="1:62" ht="15.75" thickTop="1" x14ac:dyDescent="0.25"/>
  </sheetData>
  <conditionalFormatting sqref="N2:N74 P2:P74 R2:R74 T2:T74 V2:V74 X2:X74 Z2:Z74 AB2:AB74 AD2:AD74 AF2:AF74 AH2:AH74 AJ2:AJ74 AR2:AR74 AL2:AN74">
    <cfRule type="cellIs" dxfId="14" priority="15" operator="lessThan">
      <formula>70</formula>
    </cfRule>
  </conditionalFormatting>
  <conditionalFormatting sqref="AZ74 BH74">
    <cfRule type="cellIs" dxfId="13" priority="14" operator="lessThan">
      <formula>70</formula>
    </cfRule>
  </conditionalFormatting>
  <conditionalFormatting sqref="AP2:AP74">
    <cfRule type="cellIs" dxfId="12" priority="13" operator="lessThan">
      <formula>70</formula>
    </cfRule>
  </conditionalFormatting>
  <conditionalFormatting sqref="AZ2 BE2">
    <cfRule type="cellIs" dxfId="11" priority="12" operator="lessThan">
      <formula>70</formula>
    </cfRule>
  </conditionalFormatting>
  <conditionalFormatting sqref="AY2">
    <cfRule type="cellIs" dxfId="10" priority="9" operator="lessThan">
      <formula>70</formula>
    </cfRule>
  </conditionalFormatting>
  <conditionalFormatting sqref="AY2">
    <cfRule type="cellIs" dxfId="9" priority="8" operator="lessThan">
      <formula>75</formula>
    </cfRule>
  </conditionalFormatting>
  <conditionalFormatting sqref="AW2">
    <cfRule type="cellIs" dxfId="8" priority="11" operator="lessThan">
      <formula>70</formula>
    </cfRule>
  </conditionalFormatting>
  <conditionalFormatting sqref="AW2">
    <cfRule type="cellIs" dxfId="7" priority="10" operator="lessThan">
      <formula>75</formula>
    </cfRule>
  </conditionalFormatting>
  <conditionalFormatting sqref="BJ2">
    <cfRule type="cellIs" dxfId="6" priority="7" operator="lessThan">
      <formula>70</formula>
    </cfRule>
  </conditionalFormatting>
  <conditionalFormatting sqref="AZ3:AZ73 BE3:BE73">
    <cfRule type="cellIs" dxfId="5" priority="6" operator="lessThan">
      <formula>70</formula>
    </cfRule>
  </conditionalFormatting>
  <conditionalFormatting sqref="AY3:AY73">
    <cfRule type="cellIs" dxfId="4" priority="3" operator="lessThan">
      <formula>70</formula>
    </cfRule>
  </conditionalFormatting>
  <conditionalFormatting sqref="AY3:AY73">
    <cfRule type="cellIs" dxfId="3" priority="2" operator="lessThan">
      <formula>75</formula>
    </cfRule>
  </conditionalFormatting>
  <conditionalFormatting sqref="AW3:AW73">
    <cfRule type="cellIs" dxfId="2" priority="5" operator="lessThan">
      <formula>70</formula>
    </cfRule>
  </conditionalFormatting>
  <conditionalFormatting sqref="AW3:AW73">
    <cfRule type="cellIs" dxfId="1" priority="4" operator="lessThan">
      <formula>75</formula>
    </cfRule>
  </conditionalFormatting>
  <conditionalFormatting sqref="BJ3:BJ73">
    <cfRule type="cellIs" dxfId="0" priority="1" operator="lessThan">
      <formula>70</formula>
    </cfRule>
  </conditionalFormatting>
  <printOptions horizontalCentered="1"/>
  <pageMargins left="0.19685039370078741" right="0.19685039370078741" top="0.39370078740157483" bottom="0.39370078740157483" header="0.31496062992125984" footer="0.31496062992125984"/>
  <pageSetup paperSize="8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41</vt:i4>
      </vt:variant>
    </vt:vector>
  </HeadingPairs>
  <TitlesOfParts>
    <vt:vector size="50" baseType="lpstr">
      <vt:lpstr>TKP</vt:lpstr>
      <vt:lpstr>DPIB</vt:lpstr>
      <vt:lpstr>MESIN</vt:lpstr>
      <vt:lpstr>OTO</vt:lpstr>
      <vt:lpstr>LAS</vt:lpstr>
      <vt:lpstr>LISTRIK</vt:lpstr>
      <vt:lpstr>ELEKTRO</vt:lpstr>
      <vt:lpstr>TKJ</vt:lpstr>
      <vt:lpstr>DKV</vt:lpstr>
      <vt:lpstr>DKV!grades1</vt:lpstr>
      <vt:lpstr>DPIB!grades1</vt:lpstr>
      <vt:lpstr>ELEKTRO!grades1</vt:lpstr>
      <vt:lpstr>LAS!grades1</vt:lpstr>
      <vt:lpstr>LISTRIK!grades1</vt:lpstr>
      <vt:lpstr>MESIN!grades1</vt:lpstr>
      <vt:lpstr>OTO!grades1</vt:lpstr>
      <vt:lpstr>TKJ!grades1</vt:lpstr>
      <vt:lpstr>TKP!grades1</vt:lpstr>
      <vt:lpstr>DKV!grades2</vt:lpstr>
      <vt:lpstr>TKJ!grades2</vt:lpstr>
      <vt:lpstr>DKV!grades4</vt:lpstr>
      <vt:lpstr>DPIB!grades4</vt:lpstr>
      <vt:lpstr>ELEKTRO!grades4</vt:lpstr>
      <vt:lpstr>LAS!grades4</vt:lpstr>
      <vt:lpstr>LISTRIK!grades4</vt:lpstr>
      <vt:lpstr>MESIN!grades4</vt:lpstr>
      <vt:lpstr>OTO!grades4</vt:lpstr>
      <vt:lpstr>TKJ!grades4</vt:lpstr>
      <vt:lpstr>TKP!grades4</vt:lpstr>
      <vt:lpstr>TKP!grades45</vt:lpstr>
      <vt:lpstr>OTO!grades6</vt:lpstr>
      <vt:lpstr>TKP!grades6</vt:lpstr>
      <vt:lpstr>DPIB!gradeseskul</vt:lpstr>
      <vt:lpstr>OTO!gradeseskul</vt:lpstr>
      <vt:lpstr>TKP!gradeseskul</vt:lpstr>
      <vt:lpstr>DKV!Print_Area</vt:lpstr>
      <vt:lpstr>ELEKTRO!Print_Area</vt:lpstr>
      <vt:lpstr>LAS!Print_Area</vt:lpstr>
      <vt:lpstr>LISTRIK!Print_Area</vt:lpstr>
      <vt:lpstr>MESIN!Print_Area</vt:lpstr>
      <vt:lpstr>OTO!Print_Area</vt:lpstr>
      <vt:lpstr>TKJ!Print_Area</vt:lpstr>
      <vt:lpstr>TKP!Print_Area</vt:lpstr>
      <vt:lpstr>DKV!Print_Titles</vt:lpstr>
      <vt:lpstr>ELEKTRO!Print_Titles</vt:lpstr>
      <vt:lpstr>LAS!Print_Titles</vt:lpstr>
      <vt:lpstr>LISTRIK!Print_Titles</vt:lpstr>
      <vt:lpstr>MESIN!Print_Titles</vt:lpstr>
      <vt:lpstr>OTO!Print_Titles</vt:lpstr>
      <vt:lpstr>TKJ!Print_Titles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User</dc:creator>
  <cp:lastModifiedBy>Microsoft User</cp:lastModifiedBy>
  <dcterms:created xsi:type="dcterms:W3CDTF">2026-04-19T23:58:07Z</dcterms:created>
  <dcterms:modified xsi:type="dcterms:W3CDTF">2026-04-20T00:01:49Z</dcterms:modified>
</cp:coreProperties>
</file>